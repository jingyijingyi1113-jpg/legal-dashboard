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4C754FEC-F8DB-4D39-AE8F-1BEABDD21C53}"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<sst xmlns="http://schemas.openxmlformats.org/spreadsheetml/2006/main" count="519" uniqueCount="356">
  <si>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</si>
  <si>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</si>
  <si>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</si>
  <si>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</si>
  <si>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</si>
  <si>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</si>
  <si>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</si>
  <si>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</si>
  <si>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</si>
  <si>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</si>
  <si>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</si>
  <si>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</si>
  <si>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</si>
  <si>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</si>
  <si>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</si>
  <si>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</si>
  <si>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</si>
  <si>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</si>
  <si>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</si>
  <si>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</si>
  <si>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</si>
  <si>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</si>
  <si>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</si>
  <si>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</si>
  <si>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</si>
  <si>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</si>
  <si>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</si>
  <si>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</si>
  <si>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</si>
  <si>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</si>
  <si>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</si>
  <si>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</si>
  <si>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</si>
  <si>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</si>
  <si>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</si>
  <si>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</si>
  <si>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</si>
  <si>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</si>
  <si>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</si>
  <si>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</si>
  <si>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</si>
  <si>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</si>
  <si>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</si>
  <si>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</si>
  <si>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</si>
  <si>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</si>
  <si>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</si>
  <si>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</si>
  <si>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</si>
  <si>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</si>
  <si>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</si>
  <si>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</si>
  <si>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</si>
  <si>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</si>
  <si>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</si>
  <si>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</si>
  <si>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</si>
  <si>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</si>
  <si>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</si>
  <si>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</si>
  <si>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</si>
  <si>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</si>
  <si>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</si>
  <si>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</si>
  <si>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</si>
  <si>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</si>
  <si>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</si>
  <si>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</si>
  <si>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</si>
  <si>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</si>
  <si>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</si>
  <si>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</si>
  <si>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</si>
  <si>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</si>
  <si>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</si>
  <si>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</si>
  <si>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</si>
  <si>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</si>
  <si>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</si>
  <si>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</si>
  <si>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</si>
  <si>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</si>
  <si>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</si>
  <si>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</si>
  <si>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</si>
  <si>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</si>
  <si>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</si>
  <si>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</si>
  <si>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</si>
  <si>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</si>
  <si>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</si>
  <si>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</si>
  <si>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</si>
  <si>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</si>
  <si>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</si>
  <si>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</si>
  <si>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</si>
  <si>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</si>
  <si>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</si>
  <si>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</si>
  <si>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</si>
  <si>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</si>
  <si>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</si>
  <si>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</si>
  <si>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</si>
  <si>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</si>
  <si>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</si>
  <si>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</si>
  <si>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</si>
  <si>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</si>
  <si>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</si>
  <si>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</si>
  <si>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</si>
  <si>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</si>
  <si>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</si>
  <si>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</si>
  <si>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</si>
  <si>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</si>
  <si>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</si>
  <si>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</si>
  <si>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</si>
  <si>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</si>
  <si>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</si>
  <si>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</si>
  <si>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</si>
  <si>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</si>
  <si>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</si>
  <si>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</si>
  <si>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</si>
  <si>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</si>
  <si>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</si>
  <si>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</si>
  <si>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</si>
  <si>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</si>
  <si>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</si>
  <si>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</si>
  <si>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</si>
  <si>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</si>
  <si>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</si>
  <si>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</si>
  <si>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</si>
  <si>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</si>
  <si>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</si>
  <si>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</si>
  <si>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</si>
  <si>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</si>
  <si>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</si>
  <si>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</si>
  <si>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</si>
  <si>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</si>
  <si>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</si>
  <si>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</si>
  <si>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</si>
  <si>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</si>
  <si>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</si>
  <si>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</si>
  <si>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</si>
  <si>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</si>
  <si>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</si>
  <si>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</si>
  <si>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</si>
  <si>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</si>
  <si>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</si>
  <si>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</si>
  <si>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</si>
  <si>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</si>
  <si>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</si>
  <si>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</si>
  <si>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</si>
  <si>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</si>
  <si>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</si>
  <si>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</si>
  <si>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</si>
  <si>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</si>
  <si>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</si>
  <si>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</si>
  <si>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</si>
  <si>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</si>
  <si>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</si>
  <si>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</si>
  <si>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</si>
  <si>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</si>
  <si>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</si>
  <si>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</si>
  <si>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</si>
  <si>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</si>
  <si>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</si>
  <si>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</si>
  <si>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</si>
  <si>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</si>
  <si>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</si>
  <si>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</si>
  <si>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</si>
  <si>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</si>
  <si>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</si>
  <si>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</si>
  <si>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</si>
  <si>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</si>
  <si>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</si>
  <si>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</si>
  <si>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</si>
  <si>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</si>
  <si>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</si>
  <si>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</si>
  <si>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</si>
  <si>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</si>
  <si>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</si>
  <si>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</si>
  <si>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</si>
  <si>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</si>
  <si>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</si>
  <si>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</si>
  <si>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</si>
  <si>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</si>
  <si>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</si>
  <si>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</si>
  <si>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</si>
  <si>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</si>
  <si>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</si>
  <si>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</si>
  <si>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</si>
  <si>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</si>
  <si>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</si>
  <si>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</si>
  <si>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</si>
  <si>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</si>
  <si>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</si>
  <si>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</si>
  <si>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</si>
  <si>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</si>
  <si>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</si>
  <si>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</si>
  <si>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</si>
  <si>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</si>
  <si>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</si>
  <si>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</si>
  <si>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</si>
  <si>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</si>
  <si>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</si>
  <si>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</si>
  <si>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</si>
  <si>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</si>
  <si>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</si>
  <si>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</si>
  <si>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</si>
  <si>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</si>
  <si>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</si>
  <si>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</si>
  <si>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</si>
  <si>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</si>
  <si>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</si>
  <si>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</si>
  <si>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</si>
  <si>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</si>
  <si>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</si>
  <si>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</si>
  <si>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</si>
  <si>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</si>
  <si>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</si>
  <si>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</si>
  <si>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</si>
  <si>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</si>
  <si>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</si>
  <si>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</si>
  <si>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</si>
  <si>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</si>
  <si>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</si>
  <si>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</si>
  <si>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</si>
  <si>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</si>
  <si>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</si>
  <si>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</si>
  <si>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</si>
  <si>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</si>
  <si>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</si>
  <si>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</si>
  <si>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</si>
  <si>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</si>
  <si>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</si>
  <si>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</si>
  <si>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</si>
  <si>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</si>
  <si>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</si>
  <si>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</si>
  <si>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</si>
  <si>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</si>
  <si>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</si>
  <si>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</si>
  <si>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</si>
  <si>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</si>
  <si>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</si>
  <si>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</si>
  <si>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</si>
  <si>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</si>
  <si>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</si>
  <si>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</si>
  <si>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</si>
  <si>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</si>
  <si>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</si>
  <si>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</si>
  <si>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</si>
  <si>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</si>
  <si>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</si>
  <si>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</si>
  <si>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</si>
  <si>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</si>
  <si>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</si>
  <si>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</si>
  <si>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</si>
  <si>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</si>
  <si>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</si>
  <si>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</si>
  <si>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</si>
  <si>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</si>
  <si>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</si>
  <si>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</si>
  <si>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</si>
  <si>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</si>
  <si>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</si>
  <si>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</si>
  <si>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</si>
  <si>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</si>
  <si>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</si>
  <si>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</si>
  <si>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</si>
  <si>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</si>
  <si>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</si>
  <si>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</si>
  <si>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</si>
  <si>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</si>
  <si>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</si>
  <si>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</si>
  <si>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</si>
  <si>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</si>
  <si>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</si>
  <si>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</si>
  <si>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</si>
  <si>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</si>
  <si>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</si>
  <si>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</si>
  <si>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</si>
  <si>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</si>
  <si>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Conduct legal analysis for the midas product, the outsourcing arrangement and related agreements, discussion with internal teams and external counsel, reiview the outsourcing policies and MAS new guidelines, Midas legal weekly meeting</t>
    <phoneticPr fontId="9" type="noConversion"/>
  </si>
  <si>
    <t>Review and assist with documents and director appointments</t>
    <phoneticPr fontId="9" type="noConversion"/>
  </si>
  <si>
    <t>Review and amend corporate secretarial documents and board papers</t>
    <phoneticPr fontId="9" type="noConversion"/>
  </si>
  <si>
    <t xml:space="preserve">Review and prepare service agreement and engagement letters, MsA and SOW for tax consultants and auditors  </t>
    <phoneticPr fontId="9" type="noConversion"/>
  </si>
  <si>
    <t xml:space="preserve">Review and prepare service agreement and engagement letters, MSA and SOW for finance consultants and auditors  </t>
    <phoneticPr fontId="9" type="noConversion"/>
  </si>
  <si>
    <t>Review office contract, insurance policy, lease and service and product procurement agreements</t>
    <phoneticPr fontId="9" type="noConversion"/>
  </si>
  <si>
    <t>Team meeting, attend training courses and internal knowledge sharing</t>
    <phoneticPr fontId="9" type="noConversion"/>
  </si>
  <si>
    <t>Time sheet and admin reporting</t>
    <phoneticPr fontId="9" type="noConversion"/>
  </si>
  <si>
    <t>Drafting/reviewing/commenting on documents</t>
    <phoneticPr fontId="9" type="noConversion"/>
  </si>
  <si>
    <t>conduct legal analysis for the new Tencent International Cloud product offerings in various countries</t>
    <phoneticPr fontId="9" type="noConversion"/>
  </si>
  <si>
    <t>review, amend and finalise CTs channel agreements, prepare for management/compliance meeting and board meetings, assist in CT's IT audit and Form 4 audit, attend to the manual error for CT's return sumission and communicate with MAS</t>
    <phoneticPr fontId="9" type="noConversion"/>
  </si>
  <si>
    <t>apply for the CSTC license for the Saudia Arabia internet data centre, clarifications on cybersecurity certification requirements, new CDZ projects in Turkey and Kazakhstan, new IDC project in Mexico, CHC and IDC projects in Singapore and Germany, CDN projects in Turkey. Respond to IMDA's enquiries to Aceville and Tencent Cloud International</t>
    <phoneticPr fontId="9" type="noConversion"/>
  </si>
  <si>
    <t>2,3</t>
    <phoneticPr fontId="9" type="noConversion"/>
  </si>
  <si>
    <t>3,3</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</si>
</sst>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5"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20" fillId="0" borderId="18" xfId="0" applyFont="1" applyBorder="1">
      <alignment vertical="center"/>
    </xf>
    <xf numFmtId="0" fontId="20" fillId="0" borderId="19" xfId="0" applyFont="1" applyBorder="1">
      <alignment vertical="center"/>
    </xf>
    <xf numFmtId="0" fontId="20" fillId="0" borderId="20" xfId="0" applyFont="1" applyBorder="1">
      <alignment vertical="center"/>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xf numFmtId="0" fontId="21" fillId="7" borderId="22" xfId="0" applyFont="1" applyFill="1" applyBorder="1" applyAlignment="1">
      <alignment horizontal="left" vertical="center" wrapText="1"/>
    </xf>
    <xf numFmtId="0" fontId="20" fillId="0" borderId="23" xfId="0" applyFont="1" applyBorder="1">
      <alignment vertical="center"/>
    </xf>
    <xf numFmtId="0" fontId="21" fillId="7" borderId="1" xfId="0" applyFont="1" applyFill="1" applyBorder="1" applyAlignment="1">
      <alignment horizontal="center" vertical="center" wrapText="1"/>
    </xf>
    <xf numFmtId="0" fontId="22" fillId="6" borderId="0" xfId="0" applyFont="1" applyFill="1" applyAlignment="1">
      <alignment horizontal="center" vertical="center"/>
    </xf>
    <xf numFmtId="0" fontId="23" fillId="0" borderId="24" xfId="0" applyFont="1" applyBorder="1" applyAlignment="1">
      <alignment horizontal="left"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1" fillId="0" borderId="4" xfId="0" applyFont="1" applyBorder="1" applyAlignment="1">
      <alignment horizontal="left" vertical="center" wrapText="1"/>
    </xf>
    <xf numFmtId="0" fontId="21" fillId="0" borderId="4" xfId="0" applyFont="1" applyBorder="1" applyAlignment="1"/>
    <xf numFmtId="0" fontId="23" fillId="0" borderId="1" xfId="0" applyFont="1" applyBorder="1" applyAlignment="1">
      <alignment vertical="center" wrapText="1"/>
    </xf>
    <xf numFmtId="0" fontId="20" fillId="8" borderId="1" xfId="0" applyFont="1" applyFill="1" applyBorder="1" applyAlignment="1">
      <alignment vertical="center" wrapText="1"/>
    </xf>
    <xf numFmtId="0" fontId="20" fillId="8" borderId="22" xfId="0" applyFont="1" applyFill="1" applyBorder="1" applyAlignment="1">
      <alignment vertical="center" wrapText="1"/>
    </xf>
    <xf numFmtId="0" fontId="23" fillId="0" borderId="16" xfId="0" applyFont="1" applyBorder="1" applyAlignment="1">
      <alignment horizontal="left" vertical="center" wrapText="1"/>
    </xf>
    <xf numFmtId="0" fontId="20" fillId="8" borderId="21" xfId="0" applyFont="1" applyFill="1" applyBorder="1" applyAlignment="1">
      <alignment horizontal="lef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21" xfId="0" applyFont="1" applyBorder="1">
      <alignment vertical="center"/>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1" fillId="0" borderId="21" xfId="0" applyFont="1" applyBorder="1" applyAlignment="1">
      <alignment horizontal="left" vertical="center" wrapText="1"/>
    </xf>
    <xf numFmtId="0" fontId="20"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70" zoomScaleNormal="70" workbookViewId="0">
      <selection activeCell="H8" sqref="H8"/>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6" t="s">
        <v>0</v>
      </c>
      <c r="C1" s="77"/>
      <c r="D1" s="77"/>
      <c r="E1" s="77"/>
      <c r="F1" s="77"/>
      <c r="G1" s="77"/>
      <c r="H1" s="77"/>
      <c r="I1" s="77"/>
    </row>
    <row r="2" spans="1:9" ht="15.6" x14ac:dyDescent="0.25">
      <c r="B2" s="78"/>
      <c r="C2" s="79"/>
      <c r="D2" s="79"/>
      <c r="E2" s="79"/>
      <c r="F2" s="79"/>
      <c r="G2" s="79"/>
      <c r="H2" s="79"/>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66" x14ac:dyDescent="0.25">
      <c r="B6" s="8" t="s">
        <v>341</v>
      </c>
      <c r="C6" s="9" t="s">
        <v>22</v>
      </c>
      <c r="D6" s="10" t="s">
        <v>23</v>
      </c>
      <c r="E6" s="10" t="s">
        <v>30</v>
      </c>
      <c r="F6" s="9" t="s">
        <v>332</v>
      </c>
      <c r="G6" s="11">
        <v>5.2</v>
      </c>
      <c r="H6" s="9" t="s">
        <v>24</v>
      </c>
      <c r="I6" s="16" t="s">
        <v>342</v>
      </c>
    </row>
    <row r="7" spans="1:9" s="2" customFormat="1" ht="79.2" x14ac:dyDescent="0.25">
      <c r="B7" s="8" t="s">
        <v>341</v>
      </c>
      <c r="C7" s="9" t="s">
        <v>22</v>
      </c>
      <c r="D7" s="10" t="s">
        <v>23</v>
      </c>
      <c r="E7" s="10" t="s">
        <v>30</v>
      </c>
      <c r="F7" s="9" t="s">
        <v>336</v>
      </c>
      <c r="G7" s="11">
        <v>7.2</v>
      </c>
      <c r="H7" s="9" t="s">
        <v>73</v>
      </c>
      <c r="I7" s="16" t="s">
        <v>352</v>
      </c>
    </row>
    <row r="8" spans="1:9" s="2" customFormat="1" ht="39.6" x14ac:dyDescent="0.25">
      <c r="B8" s="8" t="s">
        <v>341</v>
      </c>
      <c r="C8" s="9" t="s">
        <v>45</v>
      </c>
      <c r="D8" s="10" t="s">
        <v>52</v>
      </c>
      <c r="E8" s="10" t="s">
        <v>30</v>
      </c>
      <c r="F8" s="9" t="s">
        <v>326</v>
      </c>
      <c r="G8" s="11">
        <v>6.2</v>
      </c>
      <c r="H8" s="9" t="s">
        <v>24</v>
      </c>
      <c r="I8" s="16" t="s">
        <v>351</v>
      </c>
    </row>
    <row r="9" spans="1:9" s="2" customFormat="1" ht="72.599999999999994" customHeight="1" x14ac:dyDescent="0.25">
      <c r="B9" s="8" t="s">
        <v>341</v>
      </c>
      <c r="C9" s="9" t="s">
        <v>45</v>
      </c>
      <c r="D9" s="10" t="s">
        <v>52</v>
      </c>
      <c r="E9" s="10" t="s">
        <v>30</v>
      </c>
      <c r="F9" s="9" t="s">
        <v>326</v>
      </c>
      <c r="G9" s="11">
        <v>13.5</v>
      </c>
      <c r="H9" s="9" t="s">
        <v>79</v>
      </c>
      <c r="I9" s="16" t="s">
        <v>353</v>
      </c>
    </row>
    <row r="10" spans="1:9" s="2" customFormat="1" ht="52.8" x14ac:dyDescent="0.25">
      <c r="B10" s="8" t="s">
        <v>341</v>
      </c>
      <c r="C10" s="9" t="s">
        <v>45</v>
      </c>
      <c r="D10" s="10" t="s">
        <v>50</v>
      </c>
      <c r="E10" s="10" t="s">
        <v>30</v>
      </c>
      <c r="F10" s="9" t="s">
        <v>333</v>
      </c>
      <c r="G10" s="11">
        <v>1.2</v>
      </c>
      <c r="H10" s="9" t="s">
        <v>73</v>
      </c>
      <c r="I10" s="16" t="s">
        <v>343</v>
      </c>
    </row>
    <row r="11" spans="1:9" s="2" customFormat="1" ht="52.8" x14ac:dyDescent="0.25">
      <c r="B11" s="8" t="s">
        <v>341</v>
      </c>
      <c r="C11" s="9" t="s">
        <v>45</v>
      </c>
      <c r="D11" s="10" t="s">
        <v>47</v>
      </c>
      <c r="E11" s="10" t="s">
        <v>30</v>
      </c>
      <c r="F11" s="9" t="s">
        <v>333</v>
      </c>
      <c r="G11" s="11" t="s">
        <v>354</v>
      </c>
      <c r="H11" s="9" t="s">
        <v>73</v>
      </c>
      <c r="I11" s="16" t="s">
        <v>344</v>
      </c>
    </row>
    <row r="12" spans="1:9" s="2" customFormat="1" ht="52.8" x14ac:dyDescent="0.25">
      <c r="B12" s="8" t="s">
        <v>341</v>
      </c>
      <c r="C12" s="9" t="s">
        <v>45</v>
      </c>
      <c r="D12" s="10" t="s">
        <v>48</v>
      </c>
      <c r="E12" s="10" t="s">
        <v>30</v>
      </c>
      <c r="F12" s="9" t="s">
        <v>333</v>
      </c>
      <c r="G12" s="11" t="s">
        <v>355</v>
      </c>
      <c r="H12" s="9" t="s">
        <v>350</v>
      </c>
      <c r="I12" s="16" t="s">
        <v>345</v>
      </c>
    </row>
    <row r="13" spans="1:9" s="2" customFormat="1" ht="52.8" x14ac:dyDescent="0.25">
      <c r="B13" s="8" t="s">
        <v>341</v>
      </c>
      <c r="C13" s="9" t="s">
        <v>45</v>
      </c>
      <c r="D13" s="10" t="s">
        <v>57</v>
      </c>
      <c r="E13" s="10" t="s">
        <v>30</v>
      </c>
      <c r="F13" s="9" t="s">
        <v>333</v>
      </c>
      <c r="G13" s="11">
        <v>3.5</v>
      </c>
      <c r="H13" s="9" t="s">
        <v>73</v>
      </c>
      <c r="I13" s="16" t="s">
        <v>346</v>
      </c>
    </row>
    <row r="14" spans="1:9" s="2" customFormat="1" ht="52.8" x14ac:dyDescent="0.25">
      <c r="B14" s="8" t="s">
        <v>341</v>
      </c>
      <c r="C14" s="9" t="s">
        <v>45</v>
      </c>
      <c r="D14" s="10" t="s">
        <v>49</v>
      </c>
      <c r="E14" s="10" t="s">
        <v>30</v>
      </c>
      <c r="F14" s="9" t="s">
        <v>333</v>
      </c>
      <c r="G14" s="11">
        <v>3.2</v>
      </c>
      <c r="H14" s="9" t="s">
        <v>73</v>
      </c>
      <c r="I14" s="16" t="s">
        <v>347</v>
      </c>
    </row>
    <row r="15" spans="1:9" s="2" customFormat="1" ht="26.4" x14ac:dyDescent="0.25">
      <c r="B15" s="8" t="s">
        <v>341</v>
      </c>
      <c r="C15" s="9" t="s">
        <v>28</v>
      </c>
      <c r="D15" s="10" t="s">
        <v>31</v>
      </c>
      <c r="E15" s="10" t="s">
        <v>33</v>
      </c>
      <c r="F15" s="9" t="s">
        <v>35</v>
      </c>
      <c r="G15" s="11">
        <v>0.8</v>
      </c>
      <c r="H15" s="9" t="s">
        <v>21</v>
      </c>
      <c r="I15" s="16" t="s">
        <v>348</v>
      </c>
    </row>
    <row r="16" spans="1:9" s="2" customFormat="1" ht="26.4" x14ac:dyDescent="0.25">
      <c r="B16" s="8" t="s">
        <v>341</v>
      </c>
      <c r="C16" s="9" t="s">
        <v>28</v>
      </c>
      <c r="D16" s="10" t="s">
        <v>31</v>
      </c>
      <c r="E16" s="10" t="s">
        <v>33</v>
      </c>
      <c r="F16" s="9" t="s">
        <v>39</v>
      </c>
      <c r="G16" s="11">
        <v>0.6</v>
      </c>
      <c r="H16" s="9" t="s">
        <v>31</v>
      </c>
      <c r="I16" s="16" t="s">
        <v>349</v>
      </c>
    </row>
    <row r="17" spans="2:9" s="2" customFormat="1" ht="13.2" x14ac:dyDescent="0.25">
      <c r="B17" s="8"/>
      <c r="C17" s="9"/>
      <c r="D17" s="10"/>
      <c r="E17" s="10"/>
      <c r="F17" s="9"/>
      <c r="G17" s="11"/>
      <c r="H17" s="9"/>
      <c r="I17" s="16"/>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3.2" x14ac:dyDescent="0.25">
      <c r="B28" s="8"/>
      <c r="C28" s="9"/>
      <c r="D28" s="10"/>
      <c r="E28" s="10"/>
      <c r="F28" s="9"/>
      <c r="G28" s="11"/>
      <c r="H28" s="9"/>
      <c r="I28" s="16"/>
    </row>
    <row r="29" spans="2:9" s="2" customFormat="1" ht="13.2" x14ac:dyDescent="0.25">
      <c r="B29" s="8"/>
      <c r="C29" s="9"/>
      <c r="D29" s="10"/>
      <c r="E29" s="10"/>
      <c r="F29" s="9"/>
      <c r="G29" s="11"/>
      <c r="H29" s="9"/>
      <c r="I29" s="16"/>
    </row>
    <row r="30" spans="2:9" s="2" customFormat="1" ht="13.2" x14ac:dyDescent="0.25">
      <c r="B30" s="8"/>
      <c r="C30" s="9"/>
      <c r="D30" s="10"/>
      <c r="E30" s="10"/>
      <c r="F30" s="9"/>
      <c r="G30" s="11"/>
      <c r="H30" s="9"/>
      <c r="I30" s="16"/>
    </row>
    <row r="31" spans="2:9" s="2" customFormat="1" ht="13.2" x14ac:dyDescent="0.25">
      <c r="B31" s="8"/>
      <c r="C31" s="9"/>
      <c r="D31" s="10"/>
      <c r="E31" s="10"/>
      <c r="F31" s="9"/>
      <c r="G31" s="11"/>
      <c r="H31" s="9"/>
      <c r="I31" s="16"/>
    </row>
    <row r="32" spans="2:9" s="2" customFormat="1" ht="13.2" x14ac:dyDescent="0.25">
      <c r="B32" s="8"/>
      <c r="C32" s="9"/>
      <c r="D32" s="10"/>
      <c r="E32" s="10"/>
      <c r="F32" s="9"/>
      <c r="G32" s="11"/>
      <c r="H32" s="9"/>
      <c r="I32" s="16"/>
    </row>
    <row r="33" spans="2:9" s="2" customFormat="1" ht="13.2" x14ac:dyDescent="0.25">
      <c r="B33" s="8"/>
      <c r="C33" s="9"/>
      <c r="D33" s="10"/>
      <c r="E33" s="10"/>
      <c r="F33" s="9"/>
      <c r="G33" s="11"/>
      <c r="H33" s="9"/>
      <c r="I33" s="16"/>
    </row>
    <row r="34" spans="2:9" s="2" customFormat="1" ht="13.2" x14ac:dyDescent="0.25">
      <c r="B34" s="8"/>
      <c r="C34" s="9"/>
      <c r="D34" s="10"/>
      <c r="E34" s="10"/>
      <c r="F34" s="9"/>
      <c r="G34" s="11"/>
      <c r="H34" s="9"/>
      <c r="I34" s="16"/>
    </row>
    <row r="35" spans="2:9" s="2" customFormat="1" ht="13.2" x14ac:dyDescent="0.25">
      <c r="B35" s="8"/>
      <c r="C35" s="9"/>
      <c r="D35" s="10"/>
      <c r="E35" s="10"/>
      <c r="F35" s="9"/>
      <c r="G35" s="11"/>
      <c r="H35" s="9"/>
      <c r="I35" s="16"/>
    </row>
    <row r="36" spans="2:9" s="2" customFormat="1" ht="14.55" customHeight="1" x14ac:dyDescent="0.25">
      <c r="B36" s="80" t="s">
        <v>32</v>
      </c>
      <c r="C36" s="81"/>
      <c r="D36" s="82"/>
      <c r="E36" s="12"/>
      <c r="F36" s="12"/>
      <c r="G36" s="83">
        <f>SUM(G6:G35)</f>
        <v>41.400000000000006</v>
      </c>
      <c r="H36" s="84"/>
      <c r="I36" s="85"/>
    </row>
    <row r="39" spans="2:9" x14ac:dyDescent="0.25">
      <c r="B39" s="17" t="s">
        <v>81</v>
      </c>
      <c r="C39" s="18" t="s">
        <v>340</v>
      </c>
    </row>
    <row r="40" spans="2:9" x14ac:dyDescent="0.25">
      <c r="C40" s="18" t="s">
        <v>331</v>
      </c>
      <c r="D40" s="75"/>
    </row>
  </sheetData>
  <mergeCells count="4">
    <mergeCell ref="B1:I1"/>
    <mergeCell ref="B2:H2"/>
    <mergeCell ref="B36:D36"/>
    <mergeCell ref="G36:I36"/>
  </mergeCells>
  <phoneticPr fontId="9"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D17:D35</xm:sqref>
        </x14:dataValidation>
        <x14:dataValidation type="list" allowBlank="1" showInputMessage="1" showErrorMessage="1" xr:uid="{00000000-0002-0000-0000-000007000000}">
          <x14:formula1>
            <xm:f>Tag!$B$2:$E$2</xm:f>
          </x14:formula1>
          <xm:sqref>E17:E35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86" t="s">
        <v>92</v>
      </c>
      <c r="D1" s="87"/>
      <c r="E1" s="87"/>
      <c r="F1" s="87"/>
      <c r="G1" s="87"/>
      <c r="H1" s="87"/>
      <c r="I1" s="87"/>
      <c r="J1" s="87"/>
      <c r="K1" s="87"/>
      <c r="L1" s="87"/>
      <c r="M1" s="87"/>
      <c r="N1" s="87"/>
    </row>
    <row r="2" spans="2:14" x14ac:dyDescent="0.25">
      <c r="C2" s="88" t="s">
        <v>93</v>
      </c>
      <c r="D2" s="88"/>
      <c r="E2" s="88"/>
      <c r="F2" s="88"/>
      <c r="G2" s="88"/>
      <c r="H2" s="88"/>
      <c r="I2" s="88"/>
      <c r="J2" s="88"/>
      <c r="K2" s="88"/>
      <c r="L2" s="88"/>
      <c r="M2" s="88"/>
      <c r="N2" s="88"/>
    </row>
    <row r="3" spans="2:14" x14ac:dyDescent="0.25">
      <c r="C3" s="89" t="s">
        <v>94</v>
      </c>
      <c r="D3" s="91" t="s">
        <v>95</v>
      </c>
      <c r="E3" s="92"/>
      <c r="F3" s="89" t="s">
        <v>96</v>
      </c>
      <c r="G3" s="89" t="s">
        <v>97</v>
      </c>
      <c r="H3" s="89" t="s">
        <v>98</v>
      </c>
      <c r="I3" s="95" t="s">
        <v>99</v>
      </c>
      <c r="J3" s="89" t="s">
        <v>63</v>
      </c>
      <c r="K3" s="96" t="s">
        <v>62</v>
      </c>
      <c r="L3" s="97"/>
      <c r="M3" s="97"/>
      <c r="N3" s="98"/>
    </row>
    <row r="4" spans="2:14" x14ac:dyDescent="0.25">
      <c r="C4" s="90"/>
      <c r="D4" s="93"/>
      <c r="E4" s="94"/>
      <c r="F4" s="90"/>
      <c r="G4" s="90"/>
      <c r="H4" s="90"/>
      <c r="I4" s="90"/>
      <c r="J4" s="90"/>
      <c r="K4" s="20" t="s">
        <v>64</v>
      </c>
      <c r="L4" s="20" t="s">
        <v>65</v>
      </c>
      <c r="M4" s="20" t="s">
        <v>66</v>
      </c>
      <c r="N4" s="20" t="s">
        <v>67</v>
      </c>
    </row>
    <row r="5" spans="2:14" ht="93.6" outlineLevel="1" x14ac:dyDescent="0.25">
      <c r="C5" s="21" t="s">
        <v>100</v>
      </c>
      <c r="D5" s="99" t="s">
        <v>101</v>
      </c>
      <c r="E5" s="100"/>
      <c r="F5" s="22" t="s">
        <v>102</v>
      </c>
      <c r="G5" s="21" t="s">
        <v>103</v>
      </c>
      <c r="H5" s="21" t="s">
        <v>104</v>
      </c>
      <c r="I5" s="21" t="s">
        <v>105</v>
      </c>
      <c r="J5" s="21" t="s">
        <v>106</v>
      </c>
      <c r="K5" s="101" t="s">
        <v>107</v>
      </c>
      <c r="L5" s="101"/>
      <c r="M5" s="101"/>
      <c r="N5" s="101"/>
    </row>
    <row r="6" spans="2:14" s="23" customFormat="1" ht="187.2" outlineLevel="1" x14ac:dyDescent="0.25">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40.4" outlineLevel="1" x14ac:dyDescent="0.25">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93.6" outlineLevel="1" x14ac:dyDescent="0.25">
      <c r="B20" s="102"/>
      <c r="C20" s="115"/>
      <c r="D20" s="121" t="s">
        <v>87</v>
      </c>
      <c r="E20" s="122"/>
      <c r="F20" s="50" t="s">
        <v>188</v>
      </c>
      <c r="G20" s="44" t="s">
        <v>70</v>
      </c>
      <c r="H20" s="42">
        <v>5</v>
      </c>
      <c r="I20" s="29" t="s">
        <v>189</v>
      </c>
      <c r="J20" s="29" t="s">
        <v>190</v>
      </c>
      <c r="K20" s="36" t="s">
        <v>191</v>
      </c>
      <c r="L20" s="36" t="s">
        <v>192</v>
      </c>
      <c r="M20" s="36" t="s">
        <v>191</v>
      </c>
      <c r="N20" s="38" t="s">
        <v>191</v>
      </c>
    </row>
    <row r="21" spans="2:14" ht="171.6" x14ac:dyDescent="0.2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2025-05-20T08:28:38Z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