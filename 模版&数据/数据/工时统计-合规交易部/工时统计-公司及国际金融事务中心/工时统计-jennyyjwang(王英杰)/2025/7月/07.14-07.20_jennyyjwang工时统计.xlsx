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6FDCB6C3-A889-4B3C-8C77-1236E656C0AD}"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<sst xmlns="http://schemas.openxmlformats.org/spreadsheetml/2006/main" count="517" uniqueCount="354">
  <si>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</si>
  <si>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</si>
  <si>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</si>
  <si>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</si>
  <si>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</si>
  <si>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</si>
  <si>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</si>
  <si>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</si>
  <si>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</si>
  <si>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</si>
  <si>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</si>
  <si>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</si>
  <si>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</si>
  <si>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</si>
  <si>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</si>
  <si>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</si>
  <si>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</si>
  <si>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</si>
  <si>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</si>
  <si>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</si>
  <si>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</si>
  <si>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</si>
  <si>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</si>
  <si>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</si>
  <si>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</si>
  <si>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</si>
  <si>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</si>
  <si>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</si>
  <si>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</si>
  <si>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</si>
  <si>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</si>
  <si>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</si>
  <si>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</si>
  <si>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</si>
  <si>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</si>
  <si>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</si>
  <si>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</si>
  <si>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</si>
  <si>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</si>
  <si>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</si>
  <si>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</si>
  <si>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</si>
  <si>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</si>
  <si>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</si>
  <si>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</si>
  <si>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</si>
  <si>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</si>
  <si>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</si>
  <si>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</si>
  <si>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</si>
  <si>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</si>
  <si>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</si>
  <si>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</si>
  <si>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</si>
  <si>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</si>
  <si>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</si>
  <si>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</si>
  <si>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</si>
  <si>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</si>
  <si>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</si>
  <si>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</si>
  <si>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</si>
  <si>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</si>
  <si>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</si>
  <si>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</si>
  <si>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</si>
  <si>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</si>
  <si>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</si>
  <si>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</si>
  <si>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</si>
  <si>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</si>
  <si>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</si>
  <si>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</si>
  <si>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</si>
  <si>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</si>
  <si>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</si>
  <si>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</si>
  <si>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</si>
  <si>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</si>
  <si>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</si>
  <si>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</si>
  <si>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</si>
  <si>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</si>
  <si>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</si>
  <si>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</si>
  <si>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</si>
  <si>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</si>
  <si>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</si>
  <si>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</si>
  <si>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</si>
  <si>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</si>
  <si>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</si>
  <si>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</si>
  <si>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</si>
  <si>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</si>
  <si>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</si>
  <si>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</si>
  <si>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</si>
  <si>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</si>
  <si>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</si>
  <si>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</si>
  <si>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</si>
  <si>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</si>
  <si>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</si>
  <si>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</si>
  <si>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</si>
  <si>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</si>
  <si>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</si>
  <si>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</si>
  <si>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</si>
  <si>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</si>
  <si>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</si>
  <si>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</si>
  <si>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</si>
  <si>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</si>
  <si>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</si>
  <si>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</si>
  <si>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</si>
  <si>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</si>
  <si>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</si>
  <si>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</si>
  <si>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</si>
  <si>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</si>
  <si>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</si>
  <si>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</si>
  <si>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</si>
  <si>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</si>
  <si>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</si>
  <si>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</si>
  <si>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</si>
  <si>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</si>
  <si>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</si>
  <si>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</si>
  <si>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</si>
  <si>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</si>
  <si>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</si>
  <si>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</si>
  <si>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</si>
  <si>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</si>
  <si>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</si>
  <si>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</si>
  <si>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</si>
  <si>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</si>
  <si>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</si>
  <si>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</si>
  <si>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</si>
  <si>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</si>
  <si>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</si>
  <si>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</si>
  <si>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</si>
  <si>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</si>
  <si>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</si>
  <si>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</si>
  <si>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</si>
  <si>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</si>
  <si>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</si>
  <si>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</si>
  <si>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</si>
  <si>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</si>
  <si>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</si>
  <si>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</si>
  <si>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</si>
  <si>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</si>
  <si>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</si>
  <si>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</si>
  <si>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</si>
  <si>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</si>
  <si>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</si>
  <si>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</si>
  <si>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</si>
  <si>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</si>
  <si>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</si>
  <si>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</si>
  <si>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</si>
  <si>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</si>
  <si>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</si>
  <si>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</si>
  <si>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</si>
  <si>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</si>
  <si>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</si>
  <si>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</si>
  <si>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</si>
  <si>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</si>
  <si>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</si>
  <si>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</si>
  <si>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</si>
  <si>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</si>
  <si>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</si>
  <si>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</si>
  <si>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</si>
  <si>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</si>
  <si>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</si>
  <si>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</si>
  <si>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</si>
  <si>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</si>
  <si>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</si>
  <si>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</si>
  <si>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</si>
  <si>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</si>
  <si>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</si>
  <si>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</si>
  <si>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</si>
  <si>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</si>
  <si>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</si>
  <si>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</si>
  <si>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</si>
  <si>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</si>
  <si>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</si>
  <si>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</si>
  <si>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</si>
  <si>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</si>
  <si>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</si>
  <si>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</si>
  <si>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</si>
  <si>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</si>
  <si>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</si>
  <si>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</si>
  <si>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</si>
  <si>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</si>
  <si>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</si>
  <si>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</si>
  <si>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</si>
  <si>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</si>
  <si>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</si>
  <si>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</si>
  <si>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</si>
  <si>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</si>
  <si>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</si>
  <si>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</si>
  <si>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</si>
  <si>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</si>
  <si>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</si>
  <si>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</si>
  <si>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</si>
  <si>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</si>
  <si>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</si>
  <si>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</si>
  <si>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</si>
  <si>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</si>
  <si>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</si>
  <si>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</si>
  <si>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</si>
  <si>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</si>
  <si>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</si>
  <si>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</si>
  <si>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</si>
  <si>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</si>
  <si>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</si>
  <si>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</si>
  <si>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</si>
  <si>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</si>
  <si>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</si>
  <si>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</si>
  <si>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</si>
  <si>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</si>
  <si>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</si>
  <si>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</si>
  <si>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</si>
  <si>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</si>
  <si>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</si>
  <si>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</si>
  <si>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</si>
  <si>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</si>
  <si>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</si>
  <si>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</si>
  <si>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</si>
  <si>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</si>
  <si>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</si>
  <si>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</si>
  <si>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</si>
  <si>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</si>
  <si>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</si>
  <si>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</si>
  <si>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</si>
  <si>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</si>
  <si>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</si>
  <si>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</si>
  <si>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</si>
  <si>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</si>
  <si>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</si>
  <si>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</si>
  <si>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</si>
  <si>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</si>
  <si>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</si>
  <si>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</si>
  <si>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</si>
  <si>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</si>
  <si>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</si>
  <si>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</si>
  <si>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</si>
  <si>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</si>
  <si>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</si>
  <si>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</si>
  <si>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</si>
  <si>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</si>
  <si>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</si>
  <si>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</si>
  <si>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</si>
  <si>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</si>
  <si>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</si>
  <si>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</si>
  <si>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</si>
  <si>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</si>
  <si>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</si>
  <si>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</si>
  <si>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</si>
  <si>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</si>
  <si>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</si>
  <si>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</si>
  <si>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</si>
  <si>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</si>
  <si>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</si>
  <si>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</si>
  <si>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</si>
  <si>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</si>
  <si>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</si>
  <si>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</si>
  <si>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</si>
  <si>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</si>
  <si>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</si>
  <si>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</si>
  <si>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</si>
  <si>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</si>
  <si>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</si>
  <si>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</si>
  <si>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</si>
  <si>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</si>
  <si>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</si>
  <si>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</si>
  <si>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</si>
  <si>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</si>
  <si>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</si>
  <si>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</si>
  <si>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</si>
  <si>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</si>
  <si>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</si>
  <si>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</si>
  <si>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</si>
  <si>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</si>
  <si>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</si>
  <si>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</si>
  <si>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</si>
  <si>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</si>
  <si>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</si>
  <si>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</si>
  <si>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</si>
  <si>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</si>
  <si>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</si>
  <si>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</si>
  <si>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</si>
  <si>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</si>
  <si>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</si>
  <si>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</si>
  <si>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review, amend and finalise CTs channel agreements, prepare for management/compliance meeting and board meetings, assist in CT's IT audit and Form 4 audit, review channel agreements and attend to commercial negotiations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</si>
</sst>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70" zoomScaleNormal="70" workbookViewId="0">
      <selection activeCell="H10" sqref="H10"/>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12.3</v>
      </c>
      <c r="H6" s="9" t="s">
        <v>24</v>
      </c>
      <c r="I6" s="16" t="s">
        <v>352</v>
      </c>
    </row>
    <row r="7" spans="1:9" s="2" customFormat="1" ht="79.2" x14ac:dyDescent="0.25">
      <c r="B7" s="8" t="s">
        <v>341</v>
      </c>
      <c r="C7" s="9" t="s">
        <v>22</v>
      </c>
      <c r="D7" s="10" t="s">
        <v>23</v>
      </c>
      <c r="E7" s="10" t="s">
        <v>30</v>
      </c>
      <c r="F7" s="9" t="s">
        <v>336</v>
      </c>
      <c r="G7" s="11">
        <v>7.3</v>
      </c>
      <c r="H7" s="9" t="s">
        <v>73</v>
      </c>
      <c r="I7" s="16" t="s">
        <v>353</v>
      </c>
    </row>
    <row r="8" spans="1:9" s="2" customFormat="1" ht="39.6" x14ac:dyDescent="0.25">
      <c r="B8" s="8" t="s">
        <v>341</v>
      </c>
      <c r="C8" s="9" t="s">
        <v>45</v>
      </c>
      <c r="D8" s="10" t="s">
        <v>52</v>
      </c>
      <c r="E8" s="10" t="s">
        <v>30</v>
      </c>
      <c r="F8" s="9" t="s">
        <v>326</v>
      </c>
      <c r="G8" s="11">
        <v>3.2</v>
      </c>
      <c r="H8" s="9" t="s">
        <v>24</v>
      </c>
      <c r="I8" s="16" t="s">
        <v>350</v>
      </c>
    </row>
    <row r="9" spans="1:9" s="2" customFormat="1" ht="72.599999999999994" customHeight="1" x14ac:dyDescent="0.25">
      <c r="B9" s="8" t="s">
        <v>341</v>
      </c>
      <c r="C9" s="9" t="s">
        <v>45</v>
      </c>
      <c r="D9" s="10" t="s">
        <v>52</v>
      </c>
      <c r="E9" s="10" t="s">
        <v>30</v>
      </c>
      <c r="F9" s="9" t="s">
        <v>326</v>
      </c>
      <c r="G9" s="11">
        <v>6.7</v>
      </c>
      <c r="H9" s="9" t="s">
        <v>79</v>
      </c>
      <c r="I9" s="16" t="s">
        <v>351</v>
      </c>
    </row>
    <row r="10" spans="1:9" s="2" customFormat="1" ht="52.8" x14ac:dyDescent="0.25">
      <c r="B10" s="8" t="s">
        <v>341</v>
      </c>
      <c r="C10" s="9" t="s">
        <v>45</v>
      </c>
      <c r="D10" s="10" t="s">
        <v>50</v>
      </c>
      <c r="E10" s="10" t="s">
        <v>30</v>
      </c>
      <c r="F10" s="9" t="s">
        <v>333</v>
      </c>
      <c r="G10" s="11">
        <v>2.2999999999999998</v>
      </c>
      <c r="H10" s="9" t="s">
        <v>73</v>
      </c>
      <c r="I10" s="16" t="s">
        <v>342</v>
      </c>
    </row>
    <row r="11" spans="1:9" s="2" customFormat="1" ht="52.8" x14ac:dyDescent="0.25">
      <c r="B11" s="8" t="s">
        <v>341</v>
      </c>
      <c r="C11" s="9" t="s">
        <v>45</v>
      </c>
      <c r="D11" s="10" t="s">
        <v>47</v>
      </c>
      <c r="E11" s="10" t="s">
        <v>30</v>
      </c>
      <c r="F11" s="9" t="s">
        <v>333</v>
      </c>
      <c r="G11" s="11">
        <v>2.6</v>
      </c>
      <c r="H11" s="9" t="s">
        <v>73</v>
      </c>
      <c r="I11" s="16" t="s">
        <v>343</v>
      </c>
    </row>
    <row r="12" spans="1:9" s="2" customFormat="1" ht="52.8" x14ac:dyDescent="0.25">
      <c r="B12" s="8" t="s">
        <v>341</v>
      </c>
      <c r="C12" s="9" t="s">
        <v>45</v>
      </c>
      <c r="D12" s="10" t="s">
        <v>48</v>
      </c>
      <c r="E12" s="10" t="s">
        <v>30</v>
      </c>
      <c r="F12" s="9" t="s">
        <v>333</v>
      </c>
      <c r="G12" s="11">
        <v>2.2999999999999998</v>
      </c>
      <c r="H12" s="9" t="s">
        <v>349</v>
      </c>
      <c r="I12" s="16" t="s">
        <v>344</v>
      </c>
    </row>
    <row r="13" spans="1:9" s="2" customFormat="1" ht="52.8" x14ac:dyDescent="0.25">
      <c r="B13" s="8" t="s">
        <v>341</v>
      </c>
      <c r="C13" s="9" t="s">
        <v>45</v>
      </c>
      <c r="D13" s="10" t="s">
        <v>57</v>
      </c>
      <c r="E13" s="10" t="s">
        <v>30</v>
      </c>
      <c r="F13" s="9" t="s">
        <v>333</v>
      </c>
      <c r="G13" s="11">
        <v>1.8</v>
      </c>
      <c r="H13" s="9" t="s">
        <v>73</v>
      </c>
      <c r="I13" s="16" t="s">
        <v>345</v>
      </c>
    </row>
    <row r="14" spans="1:9" s="2" customFormat="1" ht="52.8" x14ac:dyDescent="0.25">
      <c r="B14" s="8" t="s">
        <v>341</v>
      </c>
      <c r="C14" s="9" t="s">
        <v>45</v>
      </c>
      <c r="D14" s="10" t="s">
        <v>49</v>
      </c>
      <c r="E14" s="10" t="s">
        <v>30</v>
      </c>
      <c r="F14" s="9" t="s">
        <v>333</v>
      </c>
      <c r="G14" s="11">
        <v>2.2999999999999998</v>
      </c>
      <c r="H14" s="9" t="s">
        <v>73</v>
      </c>
      <c r="I14" s="16" t="s">
        <v>346</v>
      </c>
    </row>
    <row r="15" spans="1:9" s="2" customFormat="1" ht="26.4" x14ac:dyDescent="0.25">
      <c r="B15" s="8" t="s">
        <v>341</v>
      </c>
      <c r="C15" s="9" t="s">
        <v>28</v>
      </c>
      <c r="D15" s="10" t="s">
        <v>31</v>
      </c>
      <c r="E15" s="10" t="s">
        <v>33</v>
      </c>
      <c r="F15" s="9" t="s">
        <v>35</v>
      </c>
      <c r="G15" s="11">
        <v>0.6</v>
      </c>
      <c r="H15" s="9" t="s">
        <v>21</v>
      </c>
      <c r="I15" s="16" t="s">
        <v>347</v>
      </c>
    </row>
    <row r="16" spans="1:9" s="2" customFormat="1" ht="26.4" x14ac:dyDescent="0.25">
      <c r="B16" s="8" t="s">
        <v>341</v>
      </c>
      <c r="C16" s="9" t="s">
        <v>28</v>
      </c>
      <c r="D16" s="10" t="s">
        <v>31</v>
      </c>
      <c r="E16" s="10" t="s">
        <v>33</v>
      </c>
      <c r="F16" s="9" t="s">
        <v>39</v>
      </c>
      <c r="G16" s="11">
        <v>0.5</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1" t="s">
        <v>32</v>
      </c>
      <c r="C36" s="82"/>
      <c r="D36" s="83"/>
      <c r="E36" s="12"/>
      <c r="F36" s="12"/>
      <c r="G36" s="84">
        <f>SUM(G6:G35)</f>
        <v>41.899999999999991</v>
      </c>
      <c r="H36" s="85"/>
      <c r="I36" s="86"/>
    </row>
    <row r="39" spans="2:9" x14ac:dyDescent="0.25">
      <c r="B39" s="17" t="s">
        <v>81</v>
      </c>
      <c r="C39" s="18" t="s">
        <v>340</v>
      </c>
      <c r="D39" s="76"/>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2025-08-01T03:17:06Z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