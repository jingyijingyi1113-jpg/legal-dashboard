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916"/>
  <workbookPr/>
  <mc:AlternateContent xmlns:mc="http://schemas.openxmlformats.org/markup-compatibility/2006">
    <mc:Choice Requires="x15">
      <x15ac:absPath xmlns:x15ac="http://schemas.microsoft.com/office/spreadsheetml/2010/11/ac" url="/Users/bettinawang/Desktop/"/>
    </mc:Choice>
  </mc:AlternateContent>
  <xr:revisionPtr revIDLastSave="0" documentId="13_ncr:1_{346FA50B-382E-4C42-BAD5-02FD53E7E59B}" xr6:coauthVersionLast="47" xr6:coauthVersionMax="47" xr10:uidLastSave="{00000000-0000-0000-0000-000000000000}"/>
  <bookViews>
    <workbookView xWindow="0" yWindow="500" windowWidth="28800" windowHeight="16140" xr2:uid="{00000000-000D-0000-FFFF-FFFF00000000}"/>
  </bookViews>
  <sheets>
    <sheet name="Individual Timesheet" sheetId="1" r:id="rId1"/>
    <sheet name="Tag" sheetId="7" r:id="rId2"/>
    <sheet name="Exhibit I - Virtual Group" sheetId="5" r:id="rId3"/>
    <sheet name="Exhibit II - Internal Client" sheetId="6" r:id="rId4"/>
    <sheet name="Exhibit III - 2025 BSC items" sheetId="8" r:id="rId5"/>
    <sheet name="Exhibit IV - Work categories" sheetId="3" r:id="rId6"/>
  </sheets>
  <definedNames>
    <definedName name="_BSC">Tag!$B$3:$B$17</definedName>
    <definedName name="_Management">Tag!$D$3:$D$7</definedName>
    <definedName name="_Non_CTD_兼岗">Tag!$E$3:$E$4</definedName>
    <definedName name="_OKR">Tag!#REF!</definedName>
    <definedName name="_Others">Tag!$C$3:$C$5</definedName>
    <definedName name="CTD投资法务中心OKR矩阵名称">#REF!</definedName>
    <definedName name="Others">Tag!#REF!</definedName>
    <definedName name="事项分类指定内容">'Exhibit IV - Work categories'!$A$1:$A$11</definedName>
    <definedName name="项目事项分类项目名称">'Exhibit I - Virtual Group'!$A$1:$A$13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<sst xmlns="http://schemas.openxmlformats.org/spreadsheetml/2006/main" count="566" uniqueCount="361">
  <si>
    <t>Weekly Work Record</t>
  </si>
  <si>
    <t>Name</t>
  </si>
  <si>
    <t>Virtual Group</t>
  </si>
  <si>
    <t>Internal Client</t>
  </si>
  <si>
    <t>Tag</t>
  </si>
  <si>
    <t>Item</t>
  </si>
  <si>
    <t>Hours</t>
  </si>
  <si>
    <t>Work Category</t>
  </si>
  <si>
    <t>Narrative (Optional)</t>
  </si>
  <si>
    <t>说明</t>
  </si>
  <si>
    <t>请填入记录人的企微姓名
Please insert your WeCom name</t>
  </si>
  <si>
    <t xml:space="preserve">请在菜单中选择合适的虚拟组别选项。如属行政、培训或管理类别，请选N/A。
Please select relevant virtual group from the drop-down menu. Please select N/A if the matter relates to admin, training or management tasks. </t>
  </si>
  <si>
    <t xml:space="preserve">请在菜单中选择合适的业务需求方名称。如无需求方，请选N/A。
Please select the internal client from the drop down menu. Please select N/A if no internal client is involved. </t>
  </si>
  <si>
    <t>请在菜单中选择对应事项
Please select the corresponding item from the drop-down menu</t>
  </si>
  <si>
    <t>请输入小时数，精确到小数点后一位
Please insert  respective hours number spent for such work,  accurate to one decimal place</t>
  </si>
  <si>
    <t>请在菜单中选择合适的工作类别
Please select relevant work category from the drop-down menu</t>
  </si>
  <si>
    <t>自选填写项目：简要描述工作内容
(Optional) Please insert the narrative of your work</t>
  </si>
  <si>
    <t>Non-CTD (兼岗)</t>
  </si>
  <si>
    <t>Group matter</t>
  </si>
  <si>
    <t>_Non_CTD_兼岗</t>
  </si>
  <si>
    <t>Global Research (GPA)</t>
  </si>
  <si>
    <t>Participating training sessions/team meetings</t>
  </si>
  <si>
    <t>International Financial</t>
  </si>
  <si>
    <t>Midas</t>
  </si>
  <si>
    <t>Conducting legal analysis and research</t>
  </si>
  <si>
    <t>International Employment</t>
  </si>
  <si>
    <t>HR</t>
  </si>
  <si>
    <t>Discussing with internal legal team/internal stakeholders/external counsels</t>
  </si>
  <si>
    <t>N/A</t>
  </si>
  <si>
    <t xml:space="preserve"> N/A</t>
  </si>
  <si>
    <t>_BSC</t>
  </si>
  <si>
    <t>Others</t>
  </si>
  <si>
    <t xml:space="preserve">Total Hours: </t>
  </si>
  <si>
    <t>_Others</t>
  </si>
  <si>
    <t>_Management</t>
  </si>
  <si>
    <t>团队内部会议 Team meetings</t>
  </si>
  <si>
    <t>账单处理 Billing</t>
  </si>
  <si>
    <t>预算规划 Budget planning</t>
  </si>
  <si>
    <t>International Regulatory Policy (GPA)</t>
  </si>
  <si>
    <t>绩效统计（工时和项目数据）Timesheet and matters recording</t>
  </si>
  <si>
    <t>人才管理 Human resources</t>
  </si>
  <si>
    <t>工作总结/汇报 Internal reportings / achievement summary</t>
  </si>
  <si>
    <t>一般管理 General management</t>
  </si>
  <si>
    <t>Listing Rules and Corporate Governance</t>
  </si>
  <si>
    <t>Group Financing</t>
  </si>
  <si>
    <t>International Regulatory Legal and Compliance</t>
  </si>
  <si>
    <t>MA</t>
  </si>
  <si>
    <t>Comsec</t>
  </si>
  <si>
    <t>Tax</t>
  </si>
  <si>
    <t>Admin/Operations</t>
  </si>
  <si>
    <t>GCTSM</t>
  </si>
  <si>
    <t>Treasury</t>
  </si>
  <si>
    <t>CSIG</t>
  </si>
  <si>
    <t>IEGG</t>
  </si>
  <si>
    <t>WXG</t>
  </si>
  <si>
    <t>WPHK</t>
  </si>
  <si>
    <t>WPMY</t>
  </si>
  <si>
    <t>Finance</t>
  </si>
  <si>
    <t>FiT (ZX/TG)</t>
  </si>
  <si>
    <t xml:space="preserve">Tai Fung </t>
  </si>
  <si>
    <t>Fusion Bank</t>
  </si>
  <si>
    <t>FuSure</t>
  </si>
  <si>
    <t>里程碑（必填）</t>
  </si>
  <si>
    <t>协同方
（必填）</t>
  </si>
  <si>
    <t>Q1</t>
  </si>
  <si>
    <t>Q2</t>
  </si>
  <si>
    <t>Q3</t>
  </si>
  <si>
    <t>Q4</t>
  </si>
  <si>
    <t>为集团资金组从不同角度提供法务支持。在不同类型及架构的发债、银行融资、理财产品投资等领域提出前期意见，及在执行过程中为腾讯争取最大利益</t>
  </si>
  <si>
    <t>集团资金组的工作运转顺畅，法律风险控制有效</t>
  </si>
  <si>
    <t>集团上市合规、公司治理无重大风险</t>
  </si>
  <si>
    <t>国际支付业务及国际金融持牌主体无重大合规风险，导致集团重大负面舆情</t>
  </si>
  <si>
    <t>Liz / Jason / Ian / Andy</t>
  </si>
  <si>
    <t>Drafting/reviewing/commenting on documents</t>
  </si>
  <si>
    <t>Negotiating/discussing with external parties</t>
  </si>
  <si>
    <t>Preparing internal know-how / team admin work</t>
  </si>
  <si>
    <t>Preparing internal memo / policy / procedures / guidance etc.</t>
  </si>
  <si>
    <t>Participating in training sessions</t>
  </si>
  <si>
    <t>Internal/cross-teams knowledge sharing</t>
  </si>
  <si>
    <t>Liaising with regulators or preparing written response to regulators</t>
  </si>
  <si>
    <t>管理例会 Management meetings</t>
  </si>
  <si>
    <t>Remarks:</t>
    <phoneticPr fontId="10" type="noConversion"/>
  </si>
  <si>
    <t>集团融资支持</t>
  </si>
  <si>
    <t>国际监管趋势监测、预判</t>
  </si>
  <si>
    <t>境内外主体/办公室合规管理</t>
  </si>
  <si>
    <t>国际人力资源合规管理</t>
  </si>
  <si>
    <t>国际业务合规管理</t>
  </si>
  <si>
    <t>集团上市合规风险管理</t>
  </si>
  <si>
    <t>境外金融持牌主体业务合规管理</t>
  </si>
  <si>
    <t>海外投资合规管理</t>
  </si>
  <si>
    <t>国际业务监管应对</t>
  </si>
  <si>
    <t>优化Hotdesk和专家组制度</t>
  </si>
  <si>
    <t>合规交易部-2025年组织目标制定表</t>
  </si>
  <si>
    <r>
      <rPr>
        <b/>
        <sz val="10"/>
        <color theme="1"/>
        <rFont val="等线"/>
        <family val="3"/>
        <charset val="134"/>
      </rPr>
      <t>BSC标准：</t>
    </r>
    <r>
      <rPr>
        <sz val="10"/>
        <color theme="1"/>
        <rFont val="等线"/>
        <family val="3"/>
        <charset val="134"/>
      </rPr>
      <t xml:space="preserve">
1.	一个部门的「核心领域/项目/方向」建议</t>
    </r>
    <r>
      <rPr>
        <sz val="10"/>
        <color rgb="FFC00000"/>
        <rFont val="等线"/>
        <family val="3"/>
        <charset val="134"/>
      </rPr>
      <t>聚焦、精简</t>
    </r>
    <r>
      <rPr>
        <sz val="10"/>
        <color theme="1"/>
        <rFont val="等线"/>
        <family val="3"/>
        <charset val="134"/>
      </rPr>
      <t>；
2.	衡量标准需清晰、具象、可评估，避免空话套话及过程性描述文字；
3.	每个项目标示「价值性」，价值性5分的方可列入S1级目标；每个部门标示两项最重要的项目，可以为S1级，也可以为部门级最重要的
4.	力求清晰明了，描述简洁。</t>
    </r>
  </si>
  <si>
    <t>核心领域/项目
（必填）</t>
  </si>
  <si>
    <r>
      <rPr>
        <b/>
        <sz val="12"/>
        <color rgb="FFFFFFFF"/>
        <rFont val="等线"/>
        <family val="3"/>
        <charset val="134"/>
      </rPr>
      <t>关键任务
（必填）</t>
    </r>
  </si>
  <si>
    <r>
      <rPr>
        <b/>
        <sz val="12"/>
        <color rgb="FFFFFFFF"/>
        <rFont val="等线"/>
        <family val="3"/>
        <charset val="134"/>
      </rPr>
      <t>关键策略
（必填）</t>
    </r>
  </si>
  <si>
    <r>
      <rPr>
        <b/>
        <sz val="12"/>
        <color rgb="FFFFFFFF"/>
        <rFont val="等线"/>
        <family val="3"/>
        <charset val="134"/>
      </rPr>
      <t>衡量标准
（必填）</t>
    </r>
  </si>
  <si>
    <r>
      <rPr>
        <b/>
        <sz val="12"/>
        <color rgb="FFFFFFFF"/>
        <rFont val="等线"/>
        <family val="3"/>
        <charset val="134"/>
      </rPr>
      <t>价值性 (5分制)
（必填）</t>
    </r>
  </si>
  <si>
    <t>责任主体
（必填）</t>
    <phoneticPr fontId="11" type="noConversion"/>
  </si>
  <si>
    <t>聚焦于部门层面的核心业务领域和重大项目</t>
  </si>
  <si>
    <t>把项目总目标分解为关键目标，而不是子项目</t>
  </si>
  <si>
    <t>描述解决目标的手段，即How（如何做）
要求：简单、清晰、到位</t>
  </si>
  <si>
    <t>描述任务的关键结果或达成效果
1、明确描述任务的完成时间、达成结果（可从数量或质量纬度表述）
2、表述方式尽量清晰、具象、切中要点</t>
  </si>
  <si>
    <t>1-5分，5最高，可纳入BG级</t>
  </si>
  <si>
    <t>每个领域/项目的首要责任人（leader、专家及其梯队）</t>
    <phoneticPr fontId="11" type="noConversion"/>
  </si>
  <si>
    <t>相关合作方，具体到相关最小组织单元</t>
  </si>
  <si>
    <t>基于下述两类，制定具体时间节点：
 A：启动和完成节点（如2023/XX/XX，启动XXX）
B：影响交付的关键过程节点（如2023/XX/XX，交付XX）</t>
  </si>
  <si>
    <t>1、促进金融与投资业务发展</t>
  </si>
  <si>
    <t>境内外金融业务资质申请</t>
  </si>
  <si>
    <t>金融牌照/机构申设</t>
  </si>
  <si>
    <t>1.政策研究：深入研究和理解金融法规和政策，包括申请金融牌照和申设金融机构的具体要求和流程。了解并遵守监管规定
2.资本准备：根据金融牌照和金融机构的申设要求，协同合作团队准备充足的注册资本。
3.确定主体：集团架构重组及组织架构调整，确保申设主体满足金融机构/牌照主体的股东资质和运营要求。
4.系统和流程建设：协同财务等相关团队建立符合金融行业规定的系统，包括但不限于关联交易管理系统等。</t>
  </si>
  <si>
    <t>与PA握手，确保金融牌照/机构申设前后的持续合规，并依托腾讯金融资产，为腾讯金融业务赋能</t>
  </si>
  <si>
    <t>Richard/Erin/Ian/Mia</t>
  </si>
  <si>
    <t>CDG - MA, SD,
S1 - 金融业务公共事务部
S2 - 财经投资并购及管理部，投资并购税务管理组</t>
  </si>
  <si>
    <t>确保持续合规</t>
  </si>
  <si>
    <t>国际金融业务牌照申请 - 协助牌照申请前后的持续合规</t>
  </si>
  <si>
    <t>根据业务规划和海外法律法规的变化，识别适用于业务的牌照类型，申请牌照，并提供申牌前后法务与合规支持。确保获取牌照后无重大合规风险。</t>
  </si>
  <si>
    <t>能够平衡法律风险和商业目的后识别出需要申请的牌照类型，并根据规划获取牌照，确保获取牌照后无重大合规风险</t>
  </si>
  <si>
    <t xml:space="preserve">Liz / Caspar / Jessie / Yvonne </t>
  </si>
  <si>
    <t>CDG, WXG, TEG, CSIG,</t>
  </si>
  <si>
    <t>1. CT: 完善CT的持牌业务的监管报告以及合规义务，协调举行公司董事会、合规委员会以及网络安全委员会会议以及政策更新；完成CT和CD的外包职能协议签订
2. FIT: 
(1) 完善迁移Zhenxing的标准收款业务至Tenpay Global的监管报告以及合规义务
3. WXG: 完善 WXG 的全球收单业务模式 (Global Acquiring Business Model) 的监管报告以及合规义务  【开展domestic money transfer此项持牌活动】</t>
  </si>
  <si>
    <t>1.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2. 圳星：提交MSO续牌申请文件 / 完成海外钱包汇入中国项目
3. TG: 支持TG 本年度Form 4审计工作；支持 TG 与 CT 外包协议的签署</t>
  </si>
  <si>
    <t>1. 圳星：获取MSO续牌批准  + 加拿大 RPAA 注册
2. 米大师：启动MSO续牌申请准备工作</t>
  </si>
  <si>
    <t>投资项目全流程法务支持</t>
    <phoneticPr fontId="11" type="noConversion"/>
  </si>
  <si>
    <t>在投资项目的生命周期中，于首次投资、再融资、上市等环节以及对投资资产的管理中提供专业法务支持</t>
  </si>
  <si>
    <t xml:space="preserve">1. 对现有投资公司进行分类，筛选重点投资公司予以更深入的关注（具体包括公司常态化接口人、公司治理信息、公司业务、公司潜在合规问题等等）；
2. 对潜在、或将批量发生的问题做到提前预警和提前介入，防患于未然；
3. 对涉及多方面合规和风控评估要求的项目，充分运用专家组等工具，灵活调用内外部资源，保证项目执行进度和质量；
</t>
  </si>
  <si>
    <t>在投资项目和投资公司管理过程中，就架构设计、尽职调查、审阅合同、交易谈判、投资人权利保护和相关争议风险评估、争议解决等方面提供专业法务支持。</t>
  </si>
  <si>
    <t>Jed/Erin/Catherine/Edward/Ian/Mia</t>
  </si>
  <si>
    <t>CDG - MA, SD,
S2 - 财经投资并购及管理部，投资并购税务管理组</t>
  </si>
  <si>
    <t>持续支持投资项目和被投公司管理的各类法务需求，确保无重大法律风险</t>
  </si>
  <si>
    <t>在投资项目的生命周期中，于退出交易执行等方面提供专业法务支持</t>
  </si>
  <si>
    <t xml:space="preserve">1. 与MA对齐集团整体退出策略，搭建常态化、多渠道退出机制和管理方式。
2. 二级市场退出
深入研究探索合规、高效的减持方式。对于A股市场，加强与PA团队的配合与协作，加强对退出相关政策法规在实践层面的解读认知，提高识别实操风险、规避风险的能力；
对于美股、港股及其他交易市场，熟悉减持交易搭配衍生品作为对冲的交易模式，以便更高效、更准确地作出合规性判断。
3. 非二级市场退出
配合MA的需求，开始着眼于海外公司的退出，着手收集、整理和总结开曼、BVI、美国、日本、韩国等主要地区的退出方式，协助MA进一步拓展海外投资公司的退出工作。
</t>
  </si>
  <si>
    <t>1、配合MA团队，高效、准确地执行资本市场各类减持交易。熟练设计、起草、审阅减持交易中的衍生品产品和条款；
2. A股资本市场交易，与PA团队协力，力争A股减持交易整体合规性满足要求；
3. 结合MA的需求，在境内外投资公司批量、个案退出交易中提供高效的支持。</t>
  </si>
  <si>
    <t>S1- PA
CDG - MA
S2 - 财经投资并购及管理部，投资并购税务管理组</t>
  </si>
  <si>
    <t>持续支持MA团队就现有投资公司的退出工作，确保高效执行，无重大法律风险；
完成开曼、BVI等地退出路径的确定，与MA团队共同完成相关的方法轮</t>
  </si>
  <si>
    <t>持续支持MA团队就现有投资公司的退出工作，确保高效执行，无重大法律风险；
完成韩国、美国等地退出路径的确定，与MA团队共同完成相关的方法轮</t>
  </si>
  <si>
    <t>持续支持MA团队就现有投资公司的退出工作，确保高效执行，无重大法律风险</t>
  </si>
  <si>
    <t>敏感投资领域投资指引</t>
  </si>
  <si>
    <t xml:space="preserve">充分利用全球各地律所资源，了解监管发展动态，结合公司内部实际情况输出建议。
</t>
  </si>
  <si>
    <t>研究和梳理敏感投资领域的境内外合规监管要求，为投资决策提供专业建议，并定期向业务部门输出相关投资领域、投资市场的监管合规动态。</t>
  </si>
  <si>
    <t>CDG - MA</t>
  </si>
  <si>
    <t xml:space="preserve">根据业务不时需要对相关敏感投资领域的合规监管要求进行研究和输出
</t>
  </si>
  <si>
    <t>资本市场、投融资活动创新突破</t>
    <phoneticPr fontId="11" type="noConversion"/>
  </si>
  <si>
    <t>1. 对投资额高、市场关注度高、交易结构复杂的项目，集中优势资源，重点投入支持；
2. 在重大项目中靠前站位，提前识别并全面分析潜在合规风险，严控重大项目合规风险；
3. 运用知识库、专家组等工具，拉通对齐、高效完成重大项目合规申报工作；
4. 保持对市场发展的持续关注，与律所、投行、外部咨询机构等保持日常接触。就市场流行的交易结构、监管趋势、热点问题定期开展内外部学习，保持高战斗力随时准备迎接重大项目和难点项目。</t>
  </si>
  <si>
    <t>在重大资本市场、投融资、退出等项目中，研究、设计、灵活运用各种创新交易架构，实现业务侧需求。公司领导、MA团队持续保持对 团队专业能力的信任和满意度</t>
  </si>
  <si>
    <t>Richard/Yan/Jed/Erin/Catherine/Edward/Ian/Mia</t>
  </si>
  <si>
    <t>CDG - MA
CTD-Corporate</t>
  </si>
  <si>
    <t xml:space="preserve">根据公司不时需求，及时响应
</t>
  </si>
  <si>
    <t>随着公司设立在海外市场发展的愿景，为公司的海外投资并购活动提供支持，构建各种融资架构以保障公司的最大利益。此外，鉴于今年市场仍存在不确定性，资金组更乐于在国内尝试更创新的融资渠道，为公司国内及境外营运提供稳定的资金链。针对这类型的业务发展，我们参与资金组的讨论，了解她们的方向与需求后提供适当的法务支持。我们还将确保紧跟最新的市场趋势和发展动态。</t>
  </si>
  <si>
    <t>Liz / Sally / Anderson</t>
  </si>
  <si>
    <t>Finance, Treasury</t>
  </si>
  <si>
    <t>1. 持续深度配合集团资金组境内融资、现金管理（理财投资）项目相关的法务及合规支持需求，确保相关项目及时落地，为集团资金组提供法律意见及合规支持，审查各项相关文件的条款，协助资金组识别、分析及管控其中的法律风险；
2. 持续支持集团资金组探索及搭建创新融资渠道及项目，就新旧不同融资渠道及项目提供法律意见及合规风险提示，及时响应集团资金组提出的法律意见和文件审阅需求并在文件审阅和项目执行过程中把控法律风险，以确保相应项目及时落地；
3. 继续跟进集团资金组提出的美元债券发行项目，在项目执行过程中及时响应相关的法律意见和文件审阅需求，确保相关文件符合香港证券交易所规定，保证项目及时落地；
4. 继续支持集团资金组境外融资项目，就相应融资项目提供法律意见以及合规风险提示，及时协助集团资金组审阅相关融资文件，推进各项海外融资项目落地等；
5. 持续配合集团资金组及其他部门的工作，从不同角度提供法务支持，确保其工作运转顺畅。</t>
  </si>
  <si>
    <t>研究国际监管环境和趋势、解读新法规（例如行业新法律，或者可能影响中国或者腾讯相关的行政令等）并评估其对集团和业务的影响。</t>
  </si>
  <si>
    <t>密切监控监管趋势，做好合规预警，确保业务合规，控制合规风险</t>
  </si>
  <si>
    <t>Liz / Kristy / Ian</t>
  </si>
  <si>
    <t>WXG, CSIG, PCG,  CDG, IEG, 平台法务，GC, GPA (与GPA下的国际研究组)</t>
  </si>
  <si>
    <t>了解国际监管形势，对投资重点国家、特定领域的监管趋势有方向性了解，为投资决策提供可靠依据，以及快速响应并妥善应对投资公司的应急事件</t>
  </si>
  <si>
    <t>识别投资重点国家、地区，加强对该等区域的外商投资法规和政策研究，对其外资监管体系形成系统化认识，加强和当地专家的沟通，积极跟进相关领域立法动向，向投资团队定期输出，为投资决策提供可靠依据。</t>
  </si>
  <si>
    <t>紧跟美国、欧洲、印度等投资重点区域的投资法律政策发展，及时输出有效建议，满足投资考量决策需求。</t>
  </si>
  <si>
    <t>CDG - MA
CTD - 公司法务和国际监管法务中心</t>
  </si>
  <si>
    <t>及时追踪政策、法规发展，适时向业务部门输出建议</t>
  </si>
  <si>
    <t>落实海外高风险法律的合规工作，如CFIUS, 制裁和反腐败法律（如FCPA）等</t>
  </si>
  <si>
    <t>制裁合规
1. 涉及腾讯集团国籍制裁策略，以及其他相关的策略和流程
2. 为集团提供制裁的合规意见，并且确保减低制裁风险
FCPA 反腐败合规
1. 涉及腾讯集团国籍反腐败策略，以及其他相关的策略和流程
2. 为集团提供FCPA和反腐败的合规意见，并且确保减低腐败的风险
3. 确保集团遵守FCPA和其他反腐败规矩，加强现在的策略和提供反腐败的培训</t>
  </si>
  <si>
    <t>继续完善集团的合规流程，持续监测监管动向，确保无重大合规风险</t>
  </si>
  <si>
    <t>AMLSC, Internal Control</t>
  </si>
  <si>
    <t>继续完善集团的合规流程，持续监测监管动向，确保无重大合规风险
1.  制裁合规：持续为集团的产品和服务提供制裁合规支持
2. FCPA ：持续为集团的产品和服务提供FCPA合规支持. 继续推出全球 FCPA 政策和其他相关政策措施，包括 ABC 条款</t>
  </si>
  <si>
    <t>2、合规营运无重大风险</t>
  </si>
  <si>
    <t>境内主体合规管理的法务支持</t>
  </si>
  <si>
    <t>针对境内主体：作为GCTSM工作组的组成部分，根据集团全资主体整体规划及业务需求，对集团境内主体全生命周期运营（新设、变更、注销）、董监高任免以及配合职能部门进行税务筹划、资金调拨等常规业务提供法务支持；根据集团的主体综合筹划，与GCTSM共同实施集团内主体的重组项目；根据BG业务、投资并购业务等需求，配合GCTSM提供集团主体相关信息的披露口径，对甲方的材料申报等法务支持；对集团VIE架构文件维护提供法律支持；针对集团任免的董事监事及高管提供培训支持。</t>
  </si>
  <si>
    <t>确保相关主体新设、变更、注销及董监高管理无重大合规风险。</t>
  </si>
  <si>
    <t>Erin/Mia</t>
  </si>
  <si>
    <t>及时配合GCTSM需求，提供法务支持，确保持续合规</t>
  </si>
  <si>
    <t>海外办公室和境外子公司管理的法务支持</t>
  </si>
  <si>
    <t xml:space="preserve"> 针对境外主体 ：紧密配合业务需求，与GCTSM, 董办, 财务部,税务部深度配合，管理海外主体的全生命周期的法务工作（包括日常支持、新主体设立、主体裁撤，海外200多个子公司长期应收应付账款跨境抵消的合规调研和债务抵消协议的起草等），确保无重大合规风险</t>
  </si>
  <si>
    <t>紧密配合业务需求，确保无重大合规风险</t>
  </si>
  <si>
    <t xml:space="preserve">Liz / Sally / Desiree / Iris / Yingjie </t>
  </si>
  <si>
    <t>GCTSM, Finance, Tax, Comsec</t>
  </si>
  <si>
    <t>1. 持续支持海外公司的设立裁撤，包括协助GCTSM以及公司秘书部门审阅相关公司设立、运营、董事会决议、银行开户、人事变动、授权书等文件，对海外公司设立的可行性，法律合规 要求和优化投资结构进行调研和提供法律意见
2. 续支持各大海外公司的日常合规工作，包括各协议合规审核（包括租赁协议、保险协议、本地办公设备和产品采购和各项服务采购等常规运营性法律文件）
3. 持续深度配合各部门的各种协助要求，包括支持税务、财务、海关、PA公关、人力资源等各个工作团队提出的法律合规意见和文件审阅需求，确保海外公司各方面运作的合规性 
4. 持续支持财务部门就腾讯集团海外200多个子公司涉及近40各国家的长期应收应付账款跨境抵消的合规调研</t>
  </si>
  <si>
    <t>1. 为全球所有 90个招聘实体提供海外实体招聘策略的全面指导
2. 继续支持人力资源部应对不断变化的当地劳动力要求，包括为新国家/地区的当地合规性提供建议，评估当地奖励计划。</t>
  </si>
  <si>
    <t>紧密配合业务需求，搭建海外人力资源合规框架，确保海外办公室及员工就业生命周期符合国际劳动法</t>
  </si>
  <si>
    <t>Liz / Iris / Bettina / Silvia / Andrea / Jamin / Desiree</t>
  </si>
  <si>
    <t>1. 日常人力资源：
1.1 继续支持人力资源部应对不断变化的当地劳动力要求，包括为现有国家/地区的当地合规性提供建议，评估当地奖励计划
1.2 继续应急由HR Hot desk提出的紧急人力资源事务           1.3 继续支持U.S., 韩国、澳大利亚的裁员计划            
2. 持续支持海外子公司的设立以及日常合规工作</t>
  </si>
  <si>
    <t>1. 日常人力资源：
1.1 继续支持人力资源部应对不断变化的当地劳动力要求，包括为现有国家/地区的当地合规性提供建议，评估当地奖励计划
1.2 继续应急由HR Hot desk提出的紧急人力资源事务              
2. 持续支持海外子公司的设立以及日常合规工作</t>
  </si>
  <si>
    <t>1. 为集团的非金融产品、业务提供合规和法律支持（包括合规落地、日常法律事务、牌照的申请维护等）
2. 紧密配合业务的发布、海外各国发展的需求，确保无重大合规风险。包括日常合规和法律支持、牌照的申请和维护等</t>
  </si>
  <si>
    <t>Liz / Vivienne / Yingjie / Bettina</t>
  </si>
  <si>
    <t>WXG, CSIG</t>
  </si>
  <si>
    <t>1. 持续为各新老业务（包括腾讯云、WeChat、游戏等）提供各地的展业评估、落地的可行性
2. 识别到牌照、注册需求后，为业务做相关的申请，并确保后续的维护和合规义务的满足</t>
  </si>
  <si>
    <t>1. 梳理内部上市合规经验及知识，持续向相关内部团队进行宣导，提高合规意识，加强内部团队对上市规则的理解，确保上市规则的有效遵守及集团良好的公司治理框架
2. 确保集团香港上市合规无重大风险</t>
  </si>
  <si>
    <t>Liz / Cindy / Ruby</t>
  </si>
  <si>
    <t>HR, MA legal, Comsec</t>
  </si>
  <si>
    <t>确保公司符合上市规则及披露准则</t>
  </si>
  <si>
    <t>1. 就联交所对企业管治市场谘询总结向内部团队提供培训 2. 确保公司符合上市规则及披露准则</t>
  </si>
  <si>
    <t>反洗钱及制裁法务支持</t>
    <phoneticPr fontId="11" type="noConversion"/>
  </si>
  <si>
    <t>境外反洗钱和制裁合规支持</t>
  </si>
  <si>
    <t>制裁合规
1. 为所有的集团发布产品以及运营生命周期提供制裁合规意见
2. 为所有流向俄罗斯的资金做制裁合规的把关
3. 确保集团遵守所有制裁制度，并加强现有流程，防止出现业务漏洞
AML合规
1. 确保集团遵守AML和其他反洗钱规矩，加强现在的策略和提供反腐败的培训</t>
  </si>
  <si>
    <t>Liz / Ian / Jason / Vivienne</t>
  </si>
  <si>
    <t>1. 继续为所有新出海产品（IPC) 做制裁合规的评估
2. 为集团的所有产品提供制裁合规的咨询和把关
3. 持续确保集团遵守制裁制度，防止漏洞</t>
  </si>
  <si>
    <t>境内反洗钱和制裁合规支持</t>
  </si>
  <si>
    <t>1. 协调外部律师资源，持续跟踪和更新反洗钱与制裁合规的法律法规、制度与政策，确保集团及金融业务子公司的反洗钱制度、政策符合监管要求；
2. 积极配合支持监管的问询、客诉、调查、调研、协助等中与法律相关的支持；
3. 研究从集团层面就不同非金融业务反洗钱和制裁风险进行统一管理法律和合规问题，协助搭建非金融洗钱和制裁合规的管理体系；
4. 建立制度或线上系统，对集团投资并购对象以及控股子公司进行制裁名单筛查</t>
  </si>
  <si>
    <t xml:space="preserve">1. 及时输出关于反洗钱和制裁合规相关法律法规、政策的解读分析；
2. 就搭建非金融洗钱与制裁风险管理提供良好法律支持；
3. 协助制裁与合规中心建立线上系统对投资对象以及控股子公司进行制裁名单筛查
</t>
  </si>
  <si>
    <t xml:space="preserve"> Jed/ Huanhao/Mia</t>
  </si>
  <si>
    <t>AMLSC</t>
  </si>
  <si>
    <t>1. 为集团各项业务持续提供反洗钱和制裁合规相关的合规意见；
2 了解同业集团公司跨主体之间反洗钱和制裁合规管理模式，研究集团不同主体、BG的反洗钱和制裁合规统一管理的合规卡点；
3. 协助投资项目扫描系统的搭建</t>
  </si>
  <si>
    <t>1. 为集团各项业务持续提供反洗钱和制裁合规相关的合规意见；
2 输出非金融业务反洗钱和制裁合规统一管理的法律风险研究结果和建议；
3. 协助投资项目扫描系统的搭建</t>
  </si>
  <si>
    <t>1. 为集团各项业务持续提供反洗钱和制裁合规相关的合规意见；
2.投资项目扫描系统上线使用</t>
  </si>
  <si>
    <t xml:space="preserve"> 为集团各项业务持续提供反洗钱和制裁合规相关的合规意见
</t>
  </si>
  <si>
    <t>金融投资公司业务合规管理</t>
  </si>
  <si>
    <t>在境内外金融类投资项目及投后管理过程中达到合规要求，建立统一化、系统化的信息报送机制，协助应对境内外监管要求</t>
  </si>
  <si>
    <t>1. 制定详细的信息报送流程，明确谁负责收集信息，谁负责审核信息，谁负责提交信息，以及各个步骤的时间表。
2. 培训和审计：对员工进行合规培训，确保他们了解信息报送的重要性和方法。同时，进行内部审计，检查信息报送的准确性和完整性。
3. 建立应急预案：对于可能出现的问题，如信息报送延误或错误，应该有预先设定的应对策略。
4. 协同PA保持与监管机构的良好沟通：了解监管最新要求，及时调整信息报送的内容和方式。
以上策略需要根据集团的具体情况和监管要求进行调整。</t>
  </si>
  <si>
    <t>Erin/Mia/Ian/Jed/Catherine/Edward</t>
  </si>
  <si>
    <t>内部梳理金融持牌公司的定期信息报送机制，包括信息收集范围、报送机制、过往呈报口径等等</t>
  </si>
  <si>
    <t>建立完善、系统化的金融持牌公司信息报送机制，投入运营</t>
  </si>
  <si>
    <t>持续优化持牌公司信息报送机制</t>
  </si>
  <si>
    <t>资本市场证券交易全流程合规体系建设</t>
  </si>
  <si>
    <t>1. 在资本市场交易项目中把握各项披露、交易规则和合规要求，确保项目执行符合相关证券监管机构和交易所规则；
2. 对商务团队、财务团队等周期性开展内幕信息等核心问题的培训，提升合规意识。与商务团队合作，制订资本市场增减持交易的工作指引。</t>
  </si>
  <si>
    <t>在执行资本市场股份增减持、其他证券产品投资等交易和被投上市公司投后管理过程中，达到集团层面合规要求。针对上市公司衍生品交易的增多，配置相关的体系建设。在境内外资本市场股份和其他证券投资标的相关交易项目、被投资上市公司的合规管理方面，确保集团满足作为投资者/股东相关的合规监管要求。</t>
  </si>
  <si>
    <t xml:space="preserve">1.  持续整理和完善各主要资本市场的规则和合规要求总结；
2. 持续收集合作方需求，提供资本市场相关合规内容的研究和培训
</t>
  </si>
  <si>
    <t>1.  持续整理和完善各主要资本市场的规则和合规要求总结；
2. 持续收集合作方需求，提供资本市场相关合规内容的研究和培训</t>
  </si>
  <si>
    <t>控股和重点投资公司法务风险管理</t>
    <phoneticPr fontId="11" type="noConversion"/>
  </si>
  <si>
    <t xml:space="preserve"> 1. 牵头制定境内外控股投资公司法务合规管理指引，对接各法务合规团队系统化支持控股投资公司合规管理工作；
2. 控股公司，尤其是独立运营子公司（如二方工作室），与重点投资公司类似的，对该等子公司予以更深入的关注（具体包括公司常态化接口人、公司治理信息、公司业务、公司潜在合规问题等等）；
3. 与控股和重点投资公司的法务建立日常联系和定期沟通机制，及时发现对集团有影响的投资公司重大风险。
4. 将集团的各项要求，尤其是与投资并购、重大合规事项相关的要求（例如对外投资、ESOP、公司治理等），在独立运营子公司层面予以宣讲、推广落地。</t>
  </si>
  <si>
    <t>牵头搭建控股投资公司的法务合规管理体系，和重点投资公司法务、相关集团法务建立日常联系和定期沟通机制，及时发现对集团有影响的投资公司重大风险，了解投资公司的法律、合规需求，协调集团相关部门对接支持</t>
  </si>
  <si>
    <t>CDG - MA
S1-法务平台部; PCG法务部；IEG法务部；法务综合部; 数据合规与隐私保护部; 海外法务中心; 知识产权部
CTD-Corporate</t>
  </si>
  <si>
    <t>1、整理重点投资公司清单，确定重点投资公司范围；
2、开始重点投资公司盘点工作；
3. 《控股公司管理规则》正式发文，开始搭建控股公司管理流程框架</t>
  </si>
  <si>
    <t xml:space="preserve">1、完成填写重点投资公司盘点信息表；
2. 准备汇报及重点投资公司拜访等事宜
</t>
  </si>
  <si>
    <t>1. 完成重点投资公司法务盘点工作；
2. 持续监测控股公司管理流程的执行情况并视需求调整</t>
  </si>
  <si>
    <t>持续监测控股公司管理流程的执行情况并视需求调整</t>
  </si>
  <si>
    <t>确保国际支付业务无重大合规风险</t>
  </si>
  <si>
    <t>支持国际支付业务持牌主体的持续合规管理，为持牌主体不时的业务发展及扩充计划提供法务支持，应对监管调查及日常问询，及时实施监管不时发布或提出的相关要求，针对跨境/汇款业务不时进行多地区合规分析，确保适用地区法律的有效遵守，确保跟业务合作伙伴的合同能保障持牌主体的权益</t>
  </si>
  <si>
    <t>Liz / Cindy / Jessie / Stephen / Caspar / Yingjie / Yvonne / Constant / Andrea</t>
  </si>
  <si>
    <t>CDG, TEG, WXG</t>
  </si>
  <si>
    <t>1. 米大师：
完成电商平台、支付聚合模式、兑换摸业务在23个新国家的上线合规调研；为在欧洲设立本土Midasbuy电商平台提供合规法务支持；
2. 微信跨境支付：完成微信跨境收单业务模式在8个新国家的上线合规调研；协助业务侧进行机构商准入规则的可落地性调研（可能涉及实地考察）</t>
  </si>
  <si>
    <t>1 WPHK: 开始执行WPHK业务从腾讯集团下普通机房迁移到腾讯云机房；
2 CT: 完成CT的compliance manual合规手册的更新；完成CTcompliance checklist的定稿和落地；完成CT的执行董事/CEO以及非执行董事的更换；完成CT营业地址的更新；完成CT组织架构图的更新；完成MAS的CT董事以及实际控制人的信息备案；
3 米大师：支持业务侧通过Gift Card等业务模式拓展不同地区的Midasbuy用户网络，并为业务侧在重点商务市场设立主体运营Midasbuy/Midaspay业务的法律可行性提供意见；
4 微信跨境支付：为业务侧在新市场落地跨境收单业务、推出新支付模式的法律可行性提供意见</t>
  </si>
  <si>
    <t>1 WPHK: 支持业务侧拓展香港钱包在内地的商户网络，覆盖小商户收款场景；
2. CT: 支持CT 本年度Form 4审计工作；完成CT的反洗钱合规官的更换以及相关外包协议的签署；支持CT接入微信支付的协议定稿；修改CT以及HS的商户协议以合规化CT对渠道扣款的处理；支持CT新CEO的任命和申报；支持CT多主体联运的合规方案；
3 TG: 支持TG 本年度Form 4审计工作；支持 TG 与 CT 外包协议的签署；
4 米大师：为米大师的两大新业务模式变化多主体联合运营、MOR模式提供合规意见与其他法务支持；
5 微信跨境支付：推动产品侧完成拦截美国IP的海外用户收发红包转账的事项，并跟进来华零钱包拦截策略的制定；
                                                                                                                   6 持续支持业务团队完成 VooV Meeting 运营实体变更; 持续支持业务团队推出 VooV Meeting 拨出功能</t>
  </si>
  <si>
    <t>1. TG: (1) 完成企业汇款迁移项目; (2) 完成与Visa在新加坡手掌支付的合作</t>
  </si>
  <si>
    <t>两家持牌主体：富融银行、赋诚再保险。支持业务发展、支援与监管的沟通对接，执行制度维护和合规审查</t>
  </si>
  <si>
    <t>1. 主体合规：与富融银行、赋诚再保险的法务合规团队保持联系，就持牌主体处理特别重大或复杂的法务合规问题从集团合规角度提供支持，持续提供专业培养，并通过汇报虚线对法务合规人员实施考核
2. 富融银行业务法务合规：从集团合规角度支持银行日常法务合规工作及各委员会决策，与管理层、监管机构保持恒常联系</t>
  </si>
  <si>
    <t>建立合规引流机制、推进联合建模</t>
  </si>
  <si>
    <t>Liz / Sally / Charlton / Jessie</t>
  </si>
  <si>
    <t>FuSure, Fusion Bank, Tai Fung</t>
  </si>
  <si>
    <t>1. FuSure: 继续提供集团层面的支持</t>
  </si>
  <si>
    <t>1. 大丰：准备将客资存入法庭的申请
2. FuSure: 继续提供集团层面的支持</t>
  </si>
  <si>
    <t>1. 大丰：启动客资存入法庭的申请
2. FuSure: 继续提供集团层面的支持</t>
  </si>
  <si>
    <t>支持海外投资合规管理委员会的法务合规职能:
1.  系统性梳理公司就投资海外公司向外国投资监管机关所做的各项合规承诺;
2.  基于梳理后的合规承诺，结合相关海外投资公司的具体业务经营活动，识别潜在的、违反合规承诺的高风险活动，指导海外投资公司开展针对性的纠正动作；
3. 进一步对相关业务团队和海外投资公司进行相关合规培训，增强合规意识；
4. 根据公司合规承诺和外国投资监管机关监管要求，为业务团队关于公司和海外投资公司的业务、合作、人事等计划提供及时、综合的合规指导。</t>
  </si>
  <si>
    <t>海外投资公司合规无重大失误导致集团重大负面舆情</t>
  </si>
  <si>
    <t>Yan/Liz/
Jed/Erin/Catherine/Edward/Ian/Mia</t>
  </si>
  <si>
    <t>CDG-MA</t>
  </si>
  <si>
    <t>梳理、整理海外投资中向当地监管作出的各类投资后持续合规承诺；
梳理、整理美国、德国、日本等地的过往监管沟通问询口径，形成可视化的总结</t>
  </si>
  <si>
    <t>对投后持续合规承诺、监管沟通口径整理等文件作持续更新</t>
  </si>
  <si>
    <t>3、与监管环境沟通维护良好</t>
  </si>
  <si>
    <t>就投资项目中的海外投资人投资审批、海外反垄断等相关监管沟通输出建议，主导、参与海外监管对投资公司的监管问询和挑战</t>
  </si>
  <si>
    <t xml:space="preserve">1. 梳理过往同一国家、同一监管、同一类型事项的相关监管回复，形成更为定制化但统一的对外说明、解释口径。
2. 建立起应对各类监管的内部知识体系，以力争可以预估、预判监管的询问、调查方向为目的，收集相关的经验和知识。 </t>
  </si>
  <si>
    <t>组织海外投资的各项审批申请工作，把握合规风险红线，确保海外投资业务不发生重大风险。</t>
  </si>
  <si>
    <t>1.  回顾并更新主要投资法域就外国投资和反垄断合规要求的内部总结；
2. 牵头组织海外投资项目的各项监管审批申请工作及与监管机构的沟通，确保各种申请、审批手续顺利推进</t>
  </si>
  <si>
    <t>牵头组织海外投资项目的各项监管审批申请工作及与监管机构的沟通，确保各种申请、审批手续顺利推进</t>
  </si>
  <si>
    <t>全天候应对国际业务监管的日常合规问询、执法机构的数据请求等，同时处理监管机构可能随时发起的紧急调查、紧急封禁、紧急问询以及其他关键性请求。</t>
  </si>
  <si>
    <t>业务侧紧密合作，作为监管的直接对接人，积极处理、响应监管的各项紧急需求、调查、问询等事宜，在确保无重大合规风险的基础上最大程度维护集团的利益。</t>
  </si>
  <si>
    <t>Liz / Vivienne / Yvonne / Kristy / Ian</t>
  </si>
  <si>
    <t>1. 处理各项执法机构的数据请求，确保在有法律义务的前提下符合执法机构要求，或在遇到紧急情况时协助执法机构
2. 应对监管机构的各项请求，调查，问询确保无重大合规风险</t>
  </si>
  <si>
    <t>境内投融资资本市场监管发展与重大政策争取与风险应对</t>
    <phoneticPr fontId="11" type="noConversion"/>
  </si>
  <si>
    <t>跟踪国内资本市场监管环境变化，快速响应并妥善应对投资公司的应急事件</t>
  </si>
  <si>
    <t>1、进一步完善内部快速反应和汇报机制，将相关风险作快速拆解分析，其中最紧急、重要的问题可以第一时间上升至适当的决策管理层；
2、结合国内监管执法的特点，就某一类监管活动的活跃，及时排查内部是否存在有类似情况的投资公司，作好及时的预警和准备；
3、定期跟踪进展，做相关风险预判，必要时卷入PA团队协助搭建与监管的沟通渠道。</t>
  </si>
  <si>
    <t>就应急事件作出快速反应、科学部署相关专业资源，高效应对相关紧急事件，尽量降低该等事件对腾讯的影响。主动跟踪进展，进行事后复盘，做相关风险预判。</t>
  </si>
  <si>
    <t>S1 - PA</t>
  </si>
  <si>
    <t>持续优化快速相应机制，确保相关紧急事件的妥善应对</t>
  </si>
  <si>
    <t>协同PA等团队，组织和投资业务相关的审批申请工作，应对境内各监管部门就投资业务的监管问询</t>
  </si>
  <si>
    <t>主动学习和跟进了解互联网和投资领域境内监管的新进动向和监管思路，在强监管领域或涉及境内审批/备案等流程的投资项目上，积极牵头协调投资团队和不同的PA团队沟通工作，主动参与监管沟通，提供有效稳妥的应对方案</t>
  </si>
  <si>
    <t>1. 牵头做好投资项目相关的审批申请工作，推动项目顺利进行；
2. 支持相关团队就监管问询提供应对建议，争取监管的信任和支持。</t>
  </si>
  <si>
    <t xml:space="preserve">
CDG - MA
S1- PA
</t>
  </si>
  <si>
    <t>协助境内监管对接团队，应对境内投资相关的监管问询</t>
  </si>
  <si>
    <t>4、管理增效</t>
  </si>
  <si>
    <t>执业管理平台体系完善</t>
  </si>
  <si>
    <t>智能化工作开发及运用: 全面系统管理和提升团队知识沉淀和知识分享体系</t>
  </si>
  <si>
    <t>尝试引入 AI 工具，智能化知识沉淀和分享体系，提高工作效率</t>
  </si>
  <si>
    <t>1. 引入 AI 工具提高工作效率
2. 持续优化知识沉淀和分享体系</t>
  </si>
  <si>
    <t>业务管理及合规检测中心</t>
  </si>
  <si>
    <t>同步F8产品需求至II期项目组，对F8产品作进一步调优；
确认iwiki搜索、问答功能的实现情况。</t>
  </si>
  <si>
    <t>初步实现F8产品中对上市公司基本信息的问答功能实现</t>
  </si>
  <si>
    <t>对F8产品、iwiki中AI问答功能的持续优化</t>
  </si>
  <si>
    <t>年轻人培养体系搭建</t>
  </si>
  <si>
    <t>落实毕业生轮岗学习体系，充分利用外部学习资源</t>
  </si>
  <si>
    <t>培训系统能够让毕业生对投资、金融以及上市公司治理等多方面的业务有基本认识，对法律和合规体系的日常运作模式有较深了解</t>
  </si>
  <si>
    <t>Catherine /Edward/Ian /Mia</t>
  </si>
  <si>
    <t>1. 校招生至律所外派培训，或轮岗到内部其他团队培训；
2. 新校招生入职</t>
  </si>
  <si>
    <t>校招生完成律所外派培训，继续内部团队轮岗培训</t>
  </si>
  <si>
    <t>校招生继续内部团队轮岗培训</t>
  </si>
  <si>
    <t>明确数据管理系统的法务侧管理需求，完成系统方案设计</t>
  </si>
  <si>
    <t>1、分析内部需求
2、联合财务设计系统方案
3、协同财务团队推进系统开发
4、协同S1推进看板系统开发</t>
  </si>
  <si>
    <t>完成系统方案设计，达到设计需求</t>
  </si>
  <si>
    <t>S2 - 财经投资并购及管理部</t>
  </si>
  <si>
    <t>1和财务团队明晰IMAS系统中法务侧需求；
2 和S1明晰看板系统需求</t>
  </si>
  <si>
    <t>1就IMAS试运营系统（预计430上线）进一步推进系统优化；
2开始看板系统的一期建设</t>
  </si>
  <si>
    <t>1就IMAS运营系统（预计630上线）进一步推进系统优化；
2根据看板系统一期建设成果，评估是否增加更多功能及需求</t>
  </si>
  <si>
    <t>继续优化IMAS系统及看板系统的建设</t>
  </si>
  <si>
    <t>进一步优化并完善专家组机制，发挥团队专家骨干律师在相关领域的专业能力和引领作用</t>
  </si>
  <si>
    <t>1. 在涉及相关领域的项目中配备专家组成员，进一步明确专家组成员在项目执行中的角色，及时复盘并落实责任；
2. 专家组成员对投并法务团队在相关领域的日常咨询迅速反馈，输出专业意见。
3、投资法务中心管委会定期审阅专家组的工作汇报，收集反馈，讨论专家组的运作机制及角色作用，提出优化意见</t>
  </si>
  <si>
    <t>专家组在项目执行和日常咨询中进一步明确定位，发挥专业技能，提升团队的项目执行整体水平和效率，达到知识沉淀、传承和后备人才培养的目的</t>
  </si>
  <si>
    <t xml:space="preserve">1. 完成专家组后备人选提名；
2. 落实专家组咨询事项书面记录及输出要求；
3. 设立基金投资专家组；
4. 专家组正常运作，并不时收集内部和相关合作团队的反馈
</t>
  </si>
  <si>
    <t xml:space="preserve">专家组正常运作，并不时收集内部和相关合作团队的反馈
</t>
  </si>
  <si>
    <t>进一步优化并完善Hotdesk机制</t>
  </si>
  <si>
    <t>专家们24小时待命；每个地区/地区的专家都对集团其他地区的业务有了解；相互分享在负责地区的专业意见/经验。</t>
  </si>
  <si>
    <t>通过做到前述具体的任务，实现在需要时专家们可以快速接受另一个地区任务，专业覆盖腾讯所有的职场，遇到紧急情况可以提供24小时全方位的支持</t>
  </si>
  <si>
    <t>确保hotdesk运行顺畅</t>
  </si>
  <si>
    <t>精细化管理工具搭建</t>
    <phoneticPr fontId="11" type="noConversion"/>
  </si>
  <si>
    <t>进一步优化完善VOC工作记录工具</t>
  </si>
  <si>
    <t xml:space="preserve">1. 就工作记录持续收集团队反馈，对工作记录表进行完善；
2. 对收集到的工时记录信息从相关维度进行数据分析。
</t>
  </si>
  <si>
    <t>及时并精细化体现团队整体和各团队成员的工作量和阶段性工作重心，为衡量中心整体产出价值提供参考维度，进一步实现挖潜增效。</t>
  </si>
  <si>
    <t>1. 开始推行使用优化后的记录表格模板和工时记录机制；
2. 提炼数据进行月度和季度盘点分析
3.研究VOC工具中的V值</t>
  </si>
  <si>
    <t>1. 持续推进工作记录制度执行，收集团队反馈；
2. 提炼数据进行月度和年度盘点分析，并在团队内同步分析结果</t>
  </si>
  <si>
    <t>附录：评估标准说明如下：</t>
  </si>
  <si>
    <t>评估等级</t>
  </si>
  <si>
    <t>通俗叫法</t>
  </si>
  <si>
    <t>5星</t>
  </si>
  <si>
    <t>了不起</t>
  </si>
  <si>
    <t>4星(+/-)</t>
  </si>
  <si>
    <t>非常棒</t>
  </si>
  <si>
    <t>3星(+/-)</t>
  </si>
  <si>
    <t>好样的</t>
  </si>
  <si>
    <t>2星</t>
  </si>
  <si>
    <t>加把劲</t>
  </si>
  <si>
    <t>1星</t>
  </si>
  <si>
    <t>逆袭吧</t>
  </si>
  <si>
    <t>请对照附表IV确认该项事务是否为BSC事项，如非BSC，请选填"Others"或"Management"。
Confirm whether it is a BSC item by reference to Exhibit IV. If it is a non-BSC item, please select "Others" or "Management".</t>
  </si>
  <si>
    <t>CTD-0105 集团融资支持 Group financing</t>
  </si>
  <si>
    <t>CTD-0106 国际监管趋势监测、预判 (海外高风险法律的合规工作, 如CFIUS, 制裁和反腐败法律（如FCPA）等) International regulatory monitoring and assessment (compliance with high-risk overseas laws such as CFIUS, sanctions, FCPA)</t>
  </si>
  <si>
    <t>CTD-0202 国际人力资源合规管理 Overseas HR support</t>
  </si>
  <si>
    <t>CTD-0203 国际业务合规管理 Overseas businesses/products compliance</t>
  </si>
  <si>
    <t>CTD-0204 集团上市合规风险管理 Listing Rules compliance</t>
  </si>
  <si>
    <t>CTD-0402 优化Hotdesk制度 Optimising Hotdesks</t>
  </si>
  <si>
    <t>CTD-0401 执业管理平台体系完善 (智能化工作开发及运用: 全面系统管理和提升团队知识沉淀和知识分享体系、年轻人培养体系搭建) Management - AI &amp; Youth Training</t>
  </si>
  <si>
    <t>CTD-0403 精细化管理工具搭建 (优化完善VOC工作记录工具) Optimising VOC recording tools</t>
  </si>
  <si>
    <t>AL/SL/Other Leave on</t>
  </si>
  <si>
    <t>Public Holiday on</t>
  </si>
  <si>
    <t xml:space="preserve">CTD-0101 境外金融业务资质申请 (国际金融业务牌照申请 - 协助牌照申请前后的持续合规) Overseas financial license applications &amp; post-license/ongoing compliance </t>
  </si>
  <si>
    <t>CTD-0201 境外主体/办公室合规管理 (海外办公室和境外子公司管理的法务支持) Overseas entities/offices compliance</t>
  </si>
  <si>
    <t>CTD-0210 海外投资合规管理 Overseas investment compliance (CFIUS)</t>
  </si>
  <si>
    <t>CTD-0205 反洗钱和制裁合规支持(境外) AML and Sanctions compliance (offshore)</t>
  </si>
  <si>
    <t>CTD-0209 境外金融持牌主体业务合规管理 Overseas financial licensed entities' business compliance</t>
  </si>
  <si>
    <t>CTD-0106 国际监管趋势监测、预判 (研究国际监管环境和趋势、解读新法规并评估其对集团和业务的影响) International regulatory monitoring and assessment (analysing new emerging laws and their impact on business operations)</t>
  </si>
  <si>
    <r>
      <t>Date: 2025</t>
    </r>
    <r>
      <rPr>
        <b/>
        <sz val="10"/>
        <color theme="0"/>
        <rFont val="等线"/>
        <family val="4"/>
        <charset val="134"/>
      </rPr>
      <t xml:space="preserve">-01-06 </t>
    </r>
    <r>
      <rPr>
        <b/>
        <sz val="10"/>
        <color theme="0"/>
        <rFont val="新細明體"/>
        <family val="1"/>
        <charset val="136"/>
      </rPr>
      <t xml:space="preserve">- </t>
    </r>
    <r>
      <rPr>
        <b/>
        <sz val="10"/>
        <color theme="0"/>
        <rFont val="Calibri"/>
        <family val="2"/>
        <scheme val="minor"/>
      </rPr>
      <t>2025-01-12</t>
    </r>
  </si>
  <si>
    <t>CTD-0301 国际业务监管应对  International regulatory requests/queries/responses</t>
  </si>
  <si>
    <t>bettinawang</t>
  </si>
  <si>
    <t xml:space="preserve">matter recording </t>
  </si>
  <si>
    <t>Discuss with external counsel and local HR on Korea workplace harassment case, drafting and reviewing communication with employee</t>
  </si>
  <si>
    <t>Review and amendment of notice of termination, discussion with HR on employee's latest actions, reviewing communication, drafting communication with employee</t>
  </si>
  <si>
    <t xml:space="preserve">discussion, drafting and reviewing Singpapore sexual harassment case. </t>
  </si>
  <si>
    <t>IEG</t>
  </si>
  <si>
    <t>discussion on next round of PPI submission, collecting data, discussion with Brianyu from IEGG legal on logistics, new games, games that shut down etc</t>
  </si>
  <si>
    <t>review BG Investment Project Management Guidelines</t>
  </si>
  <si>
    <t>billing</t>
  </si>
  <si>
    <t xml:space="preserve">global NDA template project kick off call, reviewing template, comparison with existing template, instructing counsel, liaising with EU and US regions </t>
  </si>
  <si>
    <t xml:space="preserve">Discussion, review and assessment of harassment claim in SG </t>
  </si>
  <si>
    <t>Review response to delayed payment of salary for employee, assessing interest payment and IRO regulations</t>
  </si>
  <si>
    <t>HRBP talk</t>
  </si>
  <si>
    <t xml:space="preserve">discussion on Saudi POA and Pakistan POA with HR and Ashurst </t>
  </si>
  <si>
    <t xml:space="preserve">discussion on training scope for UK office, liaising with Latham on timings </t>
  </si>
  <si>
    <t>Proxima Beta Turkey注册地址变更</t>
  </si>
  <si>
    <t>review Thailand employment agreement, drafting discretionary bonus language, discussion and feedback to HR on candidate's specific circumstance</t>
  </si>
  <si>
    <t>Review and discussion on employment certificate Japan</t>
  </si>
  <si>
    <t>Discussion on shutting down Japan branch office and liaising with local counsel on the same</t>
  </si>
  <si>
    <t>assessment and response to Dowson's concerns on French and germany cloud entity being used as general hire entity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</si>
</sst>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_ "/>
    <numFmt numFmtId="165" formatCode="0.0_ "/>
  </numFmts>
  <fonts count="31">
    <font>
      <sz val="11"/>
      <color theme="1"/>
      <name val="Calibri"/>
      <charset val="134"/>
      <scheme val="minor"/>
    </font>
    <font>
      <sz val="10"/>
      <color theme="1"/>
      <name val="Calibri"/>
      <family val="2"/>
      <scheme val="minor"/>
    </font>
    <font>
      <b/>
      <sz val="12"/>
      <color theme="0"/>
      <name val="Calibri"/>
      <family val="2"/>
      <scheme val="minor"/>
    </font>
    <font>
      <b/>
      <sz val="10"/>
      <color theme="4" tint="-0.499984740745262"/>
      <name val="Calibri"/>
      <family val="2"/>
      <scheme val="minor"/>
    </font>
    <font>
      <b/>
      <i/>
      <sz val="10"/>
      <color theme="1"/>
      <name val="Calibri"/>
      <family val="2"/>
      <scheme val="minor"/>
    </font>
    <font>
      <sz val="10"/>
      <color theme="4" tint="-0.499984740745262"/>
      <name val="Calibri"/>
      <family val="2"/>
      <scheme val="minor"/>
    </font>
    <font>
      <i/>
      <sz val="10"/>
      <color theme="4" tint="-0.499984740745262"/>
      <name val="Calibri"/>
      <family val="2"/>
      <scheme val="minor"/>
    </font>
    <font>
      <b/>
      <sz val="10"/>
      <color theme="0"/>
      <name val="Calibri"/>
      <family val="2"/>
      <scheme val="minor"/>
    </font>
    <font>
      <b/>
      <i/>
      <sz val="10"/>
      <color theme="4" tint="-0.499984740745262"/>
      <name val="Calibri"/>
      <family val="2"/>
      <scheme val="minor"/>
    </font>
    <font>
      <b/>
      <sz val="10"/>
      <color theme="0"/>
      <name val="等线"/>
      <family val="4"/>
      <charset val="134"/>
    </font>
    <font>
      <sz val="9"/>
      <name val="Calibri"/>
      <family val="3"/>
      <charset val="136"/>
      <scheme val="minor"/>
    </font>
    <font>
      <b/>
      <sz val="11"/>
      <color theme="1"/>
      <name val="Calibri"/>
      <family val="1"/>
      <charset val="136"/>
      <scheme val="minor"/>
    </font>
    <font>
      <b/>
      <sz val="10"/>
      <color theme="0"/>
      <name val="新細明體"/>
      <family val="1"/>
      <charset val="136"/>
    </font>
    <font>
      <sz val="12"/>
      <color theme="1"/>
      <name val="Aptos Narrow"/>
      <family val="2"/>
    </font>
    <font>
      <b/>
      <sz val="14"/>
      <name val="等线"/>
      <family val="3"/>
      <charset val="134"/>
    </font>
    <font>
      <b/>
      <sz val="14"/>
      <color theme="1"/>
      <name val="等线"/>
      <family val="3"/>
      <charset val="134"/>
    </font>
    <font>
      <sz val="10"/>
      <color theme="1"/>
      <name val="等线"/>
      <family val="3"/>
      <charset val="134"/>
    </font>
    <font>
      <b/>
      <sz val="10"/>
      <color theme="1"/>
      <name val="等线"/>
      <family val="3"/>
      <charset val="134"/>
    </font>
    <font>
      <sz val="10"/>
      <color rgb="FFC00000"/>
      <name val="等线"/>
      <family val="3"/>
      <charset val="134"/>
    </font>
    <font>
      <b/>
      <sz val="12"/>
      <color theme="0"/>
      <name val="等线"/>
      <family val="3"/>
      <charset val="134"/>
    </font>
    <font>
      <b/>
      <sz val="12"/>
      <color rgb="FFFFFFFF"/>
      <name val="等线"/>
      <family val="3"/>
      <charset val="134"/>
    </font>
    <font>
      <sz val="12"/>
      <color theme="1"/>
      <name val="等线"/>
      <family val="3"/>
      <charset val="134"/>
    </font>
    <font>
      <sz val="12"/>
      <name val="等线"/>
      <family val="3"/>
      <charset val="134"/>
    </font>
    <font>
      <sz val="10"/>
      <color theme="1"/>
      <name val="Aptos Narrow"/>
      <family val="2"/>
    </font>
    <font>
      <sz val="12"/>
      <color rgb="FF000000"/>
      <name val="等线"/>
      <family val="3"/>
      <charset val="134"/>
    </font>
    <font>
      <b/>
      <sz val="10"/>
      <color theme="1"/>
      <name val="微软雅黑"/>
      <family val="2"/>
      <charset val="134"/>
    </font>
    <font>
      <b/>
      <sz val="11"/>
      <color theme="1"/>
      <name val="微软雅黑"/>
      <family val="2"/>
      <charset val="134"/>
    </font>
    <font>
      <sz val="10"/>
      <name val="Aptos Narrow"/>
      <family val="2"/>
    </font>
    <font>
      <b/>
      <sz val="9"/>
      <color theme="0"/>
      <name val="微软雅黑"/>
      <family val="2"/>
      <charset val="134"/>
    </font>
    <font>
      <sz val="9"/>
      <color rgb="FF000000"/>
      <name val="微软雅黑"/>
      <family val="2"/>
      <charset val="134"/>
    </font>
    <font>
      <sz val="11"/>
      <color theme="1"/>
      <name val="Calibri"/>
      <family val="2"/>
      <scheme val="minor"/>
    </font>
  </fonts>
  <fills count="11">
    <fill>
      <patternFill patternType="none"/>
    </fill>
    <fill>
      <patternFill patternType="gray125"/>
    </fill>
    <fill>
      <patternFill patternType="solid">
        <fgColor rgb="FF0070C0"/>
        <bgColor indexed="64"/>
      </patternFill>
    </fill>
    <fill>
      <patternFill patternType="solid">
        <fgColor theme="4" tint="-0.249977111117893"/>
        <bgColor indexed="64"/>
      </patternFill>
    </fill>
    <fill>
      <patternFill patternType="solid">
        <fgColor theme="8" tint="0.79992065187536243"/>
        <bgColor indexed="64"/>
      </patternFill>
    </fill>
    <fill>
      <patternFill patternType="solid">
        <fgColor theme="7" tint="0.79992065187536243"/>
        <bgColor indexed="64"/>
      </patternFill>
    </fill>
    <fill>
      <patternFill patternType="solid">
        <fgColor theme="7" tint="0.79998168889431442"/>
        <bgColor indexed="64"/>
      </patternFill>
    </fill>
    <fill>
      <patternFill patternType="solid">
        <fgColor theme="0"/>
        <bgColor indexed="64"/>
      </patternFill>
    </fill>
    <fill>
      <patternFill patternType="solid">
        <fgColor theme="0" tint="-4.9958800012207406E-2"/>
        <bgColor indexed="64"/>
      </patternFill>
    </fill>
    <fill>
      <patternFill patternType="solid">
        <fgColor theme="4" tint="0.79992065187536243"/>
        <bgColor indexed="64"/>
      </patternFill>
    </fill>
    <fill>
      <patternFill patternType="solid">
        <fgColor rgb="FFFFFF00"/>
        <bgColor auto="1"/>
      </patternFill>
    </fill>
  </fills>
  <borders count="37">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ck">
        <color auto="1"/>
      </left>
      <right/>
      <top/>
      <bottom/>
      <diagonal/>
    </border>
    <border>
      <left style="thick">
        <color auto="1"/>
      </left>
      <right/>
      <top/>
      <bottom style="thin">
        <color auto="1"/>
      </bottom>
      <diagonal/>
    </border>
    <border>
      <left/>
      <right/>
      <top/>
      <bottom style="thin">
        <color auto="1"/>
      </bottom>
      <diagonal/>
    </border>
    <border>
      <left style="thick">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style="thin">
        <color auto="1"/>
      </top>
      <bottom style="thick">
        <color auto="1"/>
      </bottom>
      <diagonal/>
    </border>
    <border>
      <left style="thin">
        <color auto="1"/>
      </left>
      <right/>
      <top style="thin">
        <color auto="1"/>
      </top>
      <bottom style="thick">
        <color auto="1"/>
      </bottom>
      <diagonal/>
    </border>
    <border>
      <left/>
      <right style="thick">
        <color auto="1"/>
      </right>
      <top/>
      <bottom style="thin">
        <color auto="1"/>
      </bottom>
      <diagonal/>
    </border>
    <border>
      <left style="thin">
        <color auto="1"/>
      </left>
      <right style="thick">
        <color auto="1"/>
      </right>
      <top style="thin">
        <color auto="1"/>
      </top>
      <bottom style="thin">
        <color auto="1"/>
      </bottom>
      <diagonal/>
    </border>
    <border>
      <left/>
      <right style="thick">
        <color auto="1"/>
      </right>
      <top style="thin">
        <color auto="1"/>
      </top>
      <bottom style="thick">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right/>
      <top/>
      <bottom style="medium">
        <color auto="1"/>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s>
  <cellStyleXfs count="1">
    <xf numFmtId="0" fontId="0" fillId="0" borderId="0">
      <alignment vertical="center"/>
    </xf>
  </cellStyleXfs>
  <cellXfs count="131">
    <xf numFmtId="0" fontId="0" fillId="0" borderId="0" xfId="0">
      <alignment vertical="center"/>
    </xf>
    <xf numFmtId="0" fontId="0" fillId="0" borderId="0" xfId="0" applyAlignment="1">
      <alignment vertical="center" wrapText="1"/>
    </xf>
    <xf numFmtId="0" fontId="1" fillId="0" borderId="0" xfId="0" applyFont="1">
      <alignment vertical="center"/>
    </xf>
    <xf numFmtId="0" fontId="3" fillId="0" borderId="8" xfId="0" applyFont="1" applyBorder="1" applyAlignment="1">
      <alignment horizontal="center" vertical="center" wrapText="1"/>
    </xf>
    <xf numFmtId="0" fontId="3" fillId="0" borderId="1" xfId="0" applyFont="1" applyBorder="1" applyAlignment="1">
      <alignment horizontal="center" vertical="center" wrapText="1"/>
    </xf>
    <xf numFmtId="0" fontId="4" fillId="4" borderId="0" xfId="0" applyFont="1" applyFill="1" applyAlignment="1">
      <alignment horizontal="right" vertical="center"/>
    </xf>
    <xf numFmtId="0" fontId="5" fillId="4" borderId="8" xfId="0" applyFont="1" applyFill="1" applyBorder="1" applyAlignment="1">
      <alignment vertical="center" wrapText="1"/>
    </xf>
    <xf numFmtId="0" fontId="5" fillId="4" borderId="1" xfId="0" applyFont="1" applyFill="1" applyBorder="1" applyAlignment="1">
      <alignment vertical="center" wrapText="1"/>
    </xf>
    <xf numFmtId="0" fontId="6" fillId="5" borderId="8" xfId="0" applyFont="1" applyFill="1" applyBorder="1">
      <alignment vertical="center"/>
    </xf>
    <xf numFmtId="0" fontId="6" fillId="5" borderId="1" xfId="0" applyFont="1" applyFill="1" applyBorder="1" applyAlignment="1">
      <alignment vertical="center" wrapText="1"/>
    </xf>
    <xf numFmtId="0" fontId="6" fillId="5" borderId="1" xfId="0" applyFont="1" applyFill="1" applyBorder="1">
      <alignment vertical="center"/>
    </xf>
    <xf numFmtId="165" fontId="6" fillId="5" borderId="1" xfId="0" applyNumberFormat="1" applyFont="1" applyFill="1" applyBorder="1" applyAlignment="1">
      <alignment horizontal="center" vertical="center"/>
    </xf>
    <xf numFmtId="0" fontId="3" fillId="0" borderId="10" xfId="0" applyFont="1" applyBorder="1" applyAlignment="1">
      <alignment horizontal="right" vertical="center"/>
    </xf>
    <xf numFmtId="0" fontId="7" fillId="3" borderId="13" xfId="0" applyFont="1" applyFill="1" applyBorder="1" applyAlignment="1">
      <alignment horizontal="right" vertical="center"/>
    </xf>
    <xf numFmtId="0" fontId="8" fillId="0" borderId="14" xfId="0" applyFont="1" applyBorder="1" applyAlignment="1">
      <alignment horizontal="center" vertical="center"/>
    </xf>
    <xf numFmtId="0" fontId="5" fillId="4" borderId="14" xfId="0" applyFont="1" applyFill="1" applyBorder="1" applyAlignment="1">
      <alignment vertical="center" wrapText="1"/>
    </xf>
    <xf numFmtId="0" fontId="6" fillId="5" borderId="14" xfId="0" applyFont="1" applyFill="1" applyBorder="1" applyAlignment="1">
      <alignment vertical="center" wrapText="1"/>
    </xf>
    <xf numFmtId="0" fontId="1" fillId="6" borderId="0" xfId="0" applyFont="1" applyFill="1">
      <alignment vertical="center"/>
    </xf>
    <xf numFmtId="0" fontId="11" fillId="0" borderId="0" xfId="0" applyFont="1">
      <alignment vertical="center"/>
    </xf>
    <xf numFmtId="0" fontId="11" fillId="0" borderId="0" xfId="0" applyFont="1" applyAlignment="1">
      <alignment vertical="center" wrapText="1"/>
    </xf>
    <xf numFmtId="0" fontId="13" fillId="7" borderId="0" xfId="0" applyFont="1" applyFill="1">
      <alignment vertical="center"/>
    </xf>
    <xf numFmtId="0" fontId="19" fillId="2" borderId="1" xfId="0" applyFont="1" applyFill="1" applyBorder="1" applyAlignment="1">
      <alignment horizontal="center" vertical="center" wrapText="1"/>
    </xf>
    <xf numFmtId="0" fontId="22" fillId="8" borderId="1" xfId="0" applyFont="1" applyFill="1" applyBorder="1" applyAlignment="1">
      <alignment horizontal="left" vertical="center" wrapText="1"/>
    </xf>
    <xf numFmtId="0" fontId="22" fillId="8" borderId="24" xfId="0" applyFont="1" applyFill="1" applyBorder="1" applyAlignment="1">
      <alignment horizontal="left" vertical="center" wrapText="1"/>
    </xf>
    <xf numFmtId="0" fontId="23" fillId="7" borderId="0" xfId="0" applyFont="1" applyFill="1">
      <alignment vertical="center"/>
    </xf>
    <xf numFmtId="0" fontId="23" fillId="7" borderId="0" xfId="0" applyFont="1" applyFill="1" applyAlignment="1">
      <alignment horizontal="center" vertical="center"/>
    </xf>
    <xf numFmtId="0" fontId="24" fillId="0" borderId="4" xfId="0" applyFont="1" applyBorder="1" applyAlignment="1">
      <alignment horizontal="left" vertical="center" wrapText="1"/>
    </xf>
    <xf numFmtId="0" fontId="24" fillId="0" borderId="26" xfId="0" applyFont="1" applyBorder="1" applyAlignment="1">
      <alignment horizontal="left" vertical="center" wrapText="1"/>
    </xf>
    <xf numFmtId="0" fontId="24" fillId="0" borderId="1" xfId="0" applyFont="1" applyBorder="1" applyAlignment="1">
      <alignment horizontal="left" vertical="center" wrapText="1"/>
    </xf>
    <xf numFmtId="0" fontId="24" fillId="0" borderId="27" xfId="0" applyFont="1" applyBorder="1" applyAlignment="1">
      <alignment horizontal="center" vertical="center" wrapText="1"/>
    </xf>
    <xf numFmtId="164" fontId="24" fillId="0" borderId="1" xfId="0" applyNumberFormat="1" applyFont="1" applyBorder="1" applyAlignment="1">
      <alignment vertical="center" wrapText="1"/>
    </xf>
    <xf numFmtId="164" fontId="24" fillId="0" borderId="1" xfId="0" applyNumberFormat="1" applyFont="1" applyBorder="1">
      <alignment vertical="center"/>
    </xf>
    <xf numFmtId="0" fontId="24" fillId="0" borderId="1" xfId="0" applyFont="1" applyBorder="1">
      <alignment vertical="center"/>
    </xf>
    <xf numFmtId="0" fontId="24" fillId="0" borderId="16" xfId="0" applyFont="1" applyBorder="1" applyAlignment="1">
      <alignment horizontal="left" vertical="center" wrapText="1"/>
    </xf>
    <xf numFmtId="0" fontId="24" fillId="0" borderId="0" xfId="0" applyFont="1" applyAlignment="1">
      <alignment vertical="center" wrapText="1"/>
    </xf>
    <xf numFmtId="0" fontId="24" fillId="0" borderId="0" xfId="0" applyFont="1" applyAlignment="1">
      <alignment horizontal="center" vertical="center"/>
    </xf>
    <xf numFmtId="0" fontId="24" fillId="0" borderId="1" xfId="0" applyFont="1" applyBorder="1" applyAlignment="1">
      <alignment horizontal="center" vertical="center" wrapText="1"/>
    </xf>
    <xf numFmtId="164" fontId="24" fillId="0" borderId="4" xfId="0" applyNumberFormat="1" applyFont="1" applyBorder="1" applyAlignment="1">
      <alignment horizontal="left" vertical="center" wrapText="1"/>
    </xf>
    <xf numFmtId="164" fontId="24" fillId="0" borderId="4" xfId="0" applyNumberFormat="1" applyFont="1" applyBorder="1" applyAlignment="1">
      <alignment horizontal="left" vertical="center"/>
    </xf>
    <xf numFmtId="0" fontId="24" fillId="0" borderId="28" xfId="0" applyFont="1" applyBorder="1" applyAlignment="1">
      <alignment vertical="center" wrapText="1"/>
    </xf>
    <xf numFmtId="0" fontId="24" fillId="0" borderId="4" xfId="0" applyFont="1" applyBorder="1" applyAlignment="1">
      <alignment vertical="center" wrapText="1"/>
    </xf>
    <xf numFmtId="0" fontId="24" fillId="0" borderId="21" xfId="0" applyFont="1" applyBorder="1" applyAlignment="1">
      <alignment horizontal="left" vertical="center" wrapText="1"/>
    </xf>
    <xf numFmtId="0" fontId="24" fillId="0" borderId="27" xfId="0" applyFont="1" applyBorder="1" applyAlignment="1">
      <alignment horizontal="left" vertical="center" wrapText="1"/>
    </xf>
    <xf numFmtId="0" fontId="24" fillId="0" borderId="1" xfId="0" applyFont="1" applyBorder="1" applyAlignment="1">
      <alignment horizontal="center" vertical="center"/>
    </xf>
    <xf numFmtId="0" fontId="24" fillId="0" borderId="23" xfId="0" applyFont="1" applyBorder="1" applyAlignment="1">
      <alignment horizontal="left" vertical="center" wrapText="1"/>
    </xf>
    <xf numFmtId="0" fontId="24" fillId="0" borderId="1" xfId="0" applyFont="1" applyBorder="1" applyAlignment="1">
      <alignment vertical="center" wrapText="1"/>
    </xf>
    <xf numFmtId="0" fontId="24" fillId="0" borderId="28" xfId="0" applyFont="1" applyBorder="1">
      <alignment vertical="center"/>
    </xf>
    <xf numFmtId="0" fontId="24" fillId="0" borderId="20" xfId="0" applyFont="1" applyBorder="1" applyAlignment="1">
      <alignment horizontal="left" vertical="center" wrapText="1"/>
    </xf>
    <xf numFmtId="0" fontId="22" fillId="0" borderId="1" xfId="0" applyFont="1" applyBorder="1" applyAlignment="1">
      <alignment horizontal="left" vertical="center" wrapText="1"/>
    </xf>
    <xf numFmtId="164" fontId="22" fillId="0" borderId="1" xfId="0" applyNumberFormat="1" applyFont="1" applyBorder="1" applyAlignment="1">
      <alignment vertical="center" wrapText="1"/>
    </xf>
    <xf numFmtId="164" fontId="24" fillId="0" borderId="28" xfId="0" applyNumberFormat="1" applyFont="1" applyBorder="1" applyAlignment="1">
      <alignment horizontal="left" vertical="center" wrapText="1"/>
    </xf>
    <xf numFmtId="0" fontId="24" fillId="0" borderId="27" xfId="0" applyFont="1" applyBorder="1" applyAlignment="1">
      <alignment vertical="center" wrapText="1"/>
    </xf>
    <xf numFmtId="0" fontId="24" fillId="0" borderId="3" xfId="0" applyFont="1" applyBorder="1" applyAlignment="1">
      <alignment vertical="center" wrapText="1"/>
    </xf>
    <xf numFmtId="0" fontId="24" fillId="0" borderId="2" xfId="0" applyFont="1" applyBorder="1" applyAlignment="1">
      <alignment vertical="center" wrapText="1"/>
    </xf>
    <xf numFmtId="0" fontId="24" fillId="0" borderId="29" xfId="0" applyFont="1" applyBorder="1" applyAlignment="1">
      <alignment vertical="center" wrapText="1"/>
    </xf>
    <xf numFmtId="0" fontId="24" fillId="0" borderId="21" xfId="0" applyFont="1" applyBorder="1" applyAlignment="1">
      <alignment vertical="center" wrapText="1"/>
    </xf>
    <xf numFmtId="164" fontId="22" fillId="10" borderId="1" xfId="0" applyNumberFormat="1" applyFont="1" applyFill="1" applyBorder="1" applyAlignment="1">
      <alignment vertical="center" wrapText="1"/>
    </xf>
    <xf numFmtId="0" fontId="24" fillId="0" borderId="1" xfId="0" applyFont="1" applyBorder="1" applyAlignment="1">
      <alignment horizontal="left" vertical="center"/>
    </xf>
    <xf numFmtId="0" fontId="25" fillId="7" borderId="0" xfId="0" applyFont="1" applyFill="1" applyAlignment="1">
      <alignment horizontal="center" vertical="center"/>
    </xf>
    <xf numFmtId="0" fontId="26" fillId="7" borderId="0" xfId="0" applyFont="1" applyFill="1" applyAlignment="1">
      <alignment horizontal="center"/>
    </xf>
    <xf numFmtId="0" fontId="27" fillId="7" borderId="0" xfId="0" applyFont="1" applyFill="1" applyAlignment="1">
      <alignment horizontal="left" vertical="top"/>
    </xf>
    <xf numFmtId="0" fontId="27" fillId="7" borderId="0" xfId="0" applyFont="1" applyFill="1" applyAlignment="1">
      <alignment horizontal="left" vertical="center"/>
    </xf>
    <xf numFmtId="0" fontId="26" fillId="7" borderId="30" xfId="0" applyFont="1" applyFill="1" applyBorder="1" applyAlignment="1">
      <alignment wrapText="1"/>
    </xf>
    <xf numFmtId="0" fontId="26" fillId="7" borderId="0" xfId="0" applyFont="1" applyFill="1" applyAlignment="1">
      <alignment wrapText="1"/>
    </xf>
    <xf numFmtId="0" fontId="27" fillId="7" borderId="0" xfId="0" applyFont="1" applyFill="1">
      <alignment vertical="center"/>
    </xf>
    <xf numFmtId="0" fontId="23" fillId="7" borderId="0" xfId="0" applyFont="1" applyFill="1" applyAlignment="1">
      <alignment horizontal="left" vertical="top"/>
    </xf>
    <xf numFmtId="0" fontId="23" fillId="7" borderId="0" xfId="0" applyFont="1" applyFill="1" applyAlignment="1">
      <alignment horizontal="left" vertical="center"/>
    </xf>
    <xf numFmtId="0" fontId="28" fillId="2" borderId="31" xfId="0" applyFont="1" applyFill="1" applyBorder="1" applyAlignment="1">
      <alignment horizontal="center" vertical="center" wrapText="1"/>
    </xf>
    <xf numFmtId="0" fontId="28" fillId="2" borderId="32" xfId="0" applyFont="1" applyFill="1" applyBorder="1" applyAlignment="1">
      <alignment horizontal="center" vertical="center" wrapText="1"/>
    </xf>
    <xf numFmtId="0" fontId="29" fillId="0" borderId="33" xfId="0" applyFont="1" applyBorder="1" applyAlignment="1">
      <alignment horizontal="center" vertical="center" wrapText="1"/>
    </xf>
    <xf numFmtId="0" fontId="29" fillId="0" borderId="34" xfId="0" applyFont="1" applyBorder="1" applyAlignment="1">
      <alignment horizontal="center" vertical="center" wrapText="1"/>
    </xf>
    <xf numFmtId="0" fontId="29" fillId="0" borderId="35" xfId="0" applyFont="1" applyBorder="1" applyAlignment="1">
      <alignment horizontal="center" vertical="center" wrapText="1"/>
    </xf>
    <xf numFmtId="0" fontId="29" fillId="0" borderId="36" xfId="0" applyFont="1" applyBorder="1" applyAlignment="1">
      <alignment horizontal="center" vertical="center" wrapText="1"/>
    </xf>
    <xf numFmtId="0" fontId="13" fillId="7" borderId="0" xfId="0" applyFont="1" applyFill="1" applyAlignment="1"/>
    <xf numFmtId="0" fontId="13" fillId="0" borderId="0" xfId="0" applyFont="1">
      <alignment vertical="center"/>
    </xf>
    <xf numFmtId="0" fontId="13" fillId="0" borderId="0" xfId="0" applyFont="1" applyAlignment="1">
      <alignment horizontal="center"/>
    </xf>
    <xf numFmtId="0" fontId="2" fillId="3" borderId="5" xfId="0" applyFont="1" applyFill="1" applyBorder="1" applyAlignment="1">
      <alignment horizontal="center" vertical="center"/>
    </xf>
    <xf numFmtId="0" fontId="2" fillId="3" borderId="0" xfId="0" applyFont="1" applyFill="1" applyAlignment="1">
      <alignment horizontal="center" vertical="center"/>
    </xf>
    <xf numFmtId="0" fontId="2" fillId="3" borderId="6" xfId="0" applyFont="1" applyFill="1" applyBorder="1" applyAlignment="1">
      <alignment horizontal="center" vertical="center"/>
    </xf>
    <xf numFmtId="0" fontId="2" fillId="3" borderId="7" xfId="0" applyFont="1" applyFill="1" applyBorder="1" applyAlignment="1">
      <alignment horizontal="center" vertical="center"/>
    </xf>
    <xf numFmtId="0" fontId="3" fillId="0" borderId="9" xfId="0" applyFont="1" applyBorder="1" applyAlignment="1">
      <alignment horizontal="right" vertical="center"/>
    </xf>
    <xf numFmtId="0" fontId="3" fillId="0" borderId="10" xfId="0" applyFont="1" applyBorder="1" applyAlignment="1">
      <alignment horizontal="right" vertical="center"/>
    </xf>
    <xf numFmtId="0" fontId="3" fillId="0" borderId="11" xfId="0" applyFont="1" applyBorder="1" applyAlignment="1">
      <alignment horizontal="right" vertical="center"/>
    </xf>
    <xf numFmtId="165" fontId="3" fillId="0" borderId="12" xfId="0" applyNumberFormat="1" applyFont="1" applyBorder="1" applyAlignment="1">
      <alignment horizontal="left" vertical="center"/>
    </xf>
    <xf numFmtId="165" fontId="3" fillId="0" borderId="10" xfId="0" applyNumberFormat="1" applyFont="1" applyBorder="1" applyAlignment="1">
      <alignment horizontal="left" vertical="center"/>
    </xf>
    <xf numFmtId="165" fontId="3" fillId="0" borderId="15" xfId="0" applyNumberFormat="1" applyFont="1" applyBorder="1" applyAlignment="1">
      <alignment horizontal="left" vertical="center"/>
    </xf>
    <xf numFmtId="0" fontId="14" fillId="0" borderId="1" xfId="0" applyFont="1" applyBorder="1" applyAlignment="1">
      <alignment horizontal="center" vertical="center"/>
    </xf>
    <xf numFmtId="0" fontId="15" fillId="0" borderId="1" xfId="0" applyFont="1" applyBorder="1" applyAlignment="1">
      <alignment horizontal="center" vertical="center"/>
    </xf>
    <xf numFmtId="0" fontId="16" fillId="0" borderId="1" xfId="0" applyFont="1" applyBorder="1" applyAlignment="1">
      <alignment horizontal="left" vertical="center" wrapText="1"/>
    </xf>
    <xf numFmtId="0" fontId="19" fillId="2" borderId="16" xfId="0" applyFont="1" applyFill="1" applyBorder="1" applyAlignment="1">
      <alignment horizontal="center" vertical="center" wrapText="1"/>
    </xf>
    <xf numFmtId="0" fontId="19" fillId="2" borderId="21" xfId="0" applyFont="1" applyFill="1" applyBorder="1" applyAlignment="1">
      <alignment horizontal="center" vertical="center" wrapText="1"/>
    </xf>
    <xf numFmtId="0" fontId="19" fillId="2" borderId="17" xfId="0" applyFont="1" applyFill="1" applyBorder="1" applyAlignment="1">
      <alignment horizontal="center" vertical="center" wrapText="1"/>
    </xf>
    <xf numFmtId="0" fontId="21" fillId="0" borderId="18" xfId="0" applyFont="1" applyBorder="1">
      <alignment vertical="center"/>
    </xf>
    <xf numFmtId="0" fontId="21" fillId="0" borderId="19" xfId="0" applyFont="1" applyBorder="1">
      <alignment vertical="center"/>
    </xf>
    <xf numFmtId="0" fontId="21" fillId="0" borderId="20" xfId="0" applyFont="1" applyBorder="1">
      <alignment vertical="center"/>
    </xf>
    <xf numFmtId="0" fontId="20" fillId="2" borderId="16" xfId="0" applyFont="1" applyFill="1" applyBorder="1" applyAlignment="1">
      <alignment horizontal="center" vertical="center" wrapText="1"/>
    </xf>
    <xf numFmtId="0" fontId="19" fillId="2" borderId="19"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19" fillId="2" borderId="20" xfId="0" applyFont="1" applyFill="1" applyBorder="1" applyAlignment="1">
      <alignment horizontal="center" vertical="center" wrapText="1"/>
    </xf>
    <xf numFmtId="0" fontId="22" fillId="8" borderId="22" xfId="0" applyFont="1" applyFill="1" applyBorder="1" applyAlignment="1">
      <alignment horizontal="left" vertical="center" wrapText="1"/>
    </xf>
    <xf numFmtId="0" fontId="21" fillId="0" borderId="23" xfId="0" applyFont="1" applyBorder="1">
      <alignment vertical="center"/>
    </xf>
    <xf numFmtId="0" fontId="22" fillId="8" borderId="1" xfId="0" applyFont="1" applyFill="1" applyBorder="1" applyAlignment="1">
      <alignment horizontal="center" vertical="center" wrapText="1"/>
    </xf>
    <xf numFmtId="0" fontId="23" fillId="7" borderId="0" xfId="0" applyFont="1" applyFill="1" applyAlignment="1">
      <alignment horizontal="center" vertical="center"/>
    </xf>
    <xf numFmtId="0" fontId="24" fillId="0" borderId="24" xfId="0" applyFont="1" applyBorder="1" applyAlignment="1">
      <alignment horizontal="left" vertical="center" wrapText="1"/>
    </xf>
    <xf numFmtId="0" fontId="21" fillId="0" borderId="16" xfId="0" applyFont="1" applyBorder="1">
      <alignment vertical="center"/>
    </xf>
    <xf numFmtId="0" fontId="21" fillId="0" borderId="17" xfId="0" applyFont="1" applyBorder="1">
      <alignment vertical="center"/>
    </xf>
    <xf numFmtId="0" fontId="24" fillId="0" borderId="17" xfId="0" applyFont="1" applyBorder="1" applyAlignment="1">
      <alignment horizontal="left" vertical="center" wrapText="1"/>
    </xf>
    <xf numFmtId="0" fontId="24" fillId="0" borderId="25" xfId="0" applyFont="1" applyBorder="1" applyAlignment="1">
      <alignment horizontal="left" vertical="center" wrapText="1"/>
    </xf>
    <xf numFmtId="0" fontId="24" fillId="0" borderId="2" xfId="0" applyFont="1" applyBorder="1" applyAlignment="1">
      <alignment horizontal="left" vertical="center" wrapText="1"/>
    </xf>
    <xf numFmtId="0" fontId="21" fillId="0" borderId="3" xfId="0" applyFont="1" applyBorder="1">
      <alignment vertical="center"/>
    </xf>
    <xf numFmtId="0" fontId="24" fillId="0" borderId="19" xfId="0" applyFont="1" applyBorder="1" applyAlignment="1">
      <alignment horizontal="left" vertical="center" wrapText="1"/>
    </xf>
    <xf numFmtId="0" fontId="22" fillId="0" borderId="4" xfId="0" applyFont="1" applyBorder="1" applyAlignment="1">
      <alignment horizontal="left" vertical="center" wrapText="1"/>
    </xf>
    <xf numFmtId="0" fontId="22" fillId="0" borderId="4" xfId="0" applyFont="1" applyBorder="1" applyAlignment="1"/>
    <xf numFmtId="0" fontId="24" fillId="0" borderId="1" xfId="0" applyFont="1" applyBorder="1" applyAlignment="1">
      <alignment vertical="center" wrapText="1"/>
    </xf>
    <xf numFmtId="0" fontId="21" fillId="9" borderId="1" xfId="0" applyFont="1" applyFill="1" applyBorder="1" applyAlignment="1">
      <alignment vertical="center" wrapText="1"/>
    </xf>
    <xf numFmtId="0" fontId="21" fillId="9" borderId="22" xfId="0" applyFont="1" applyFill="1" applyBorder="1" applyAlignment="1">
      <alignment vertical="center" wrapText="1"/>
    </xf>
    <xf numFmtId="0" fontId="24" fillId="0" borderId="16" xfId="0" applyFont="1" applyBorder="1" applyAlignment="1">
      <alignment horizontal="left" vertical="center" wrapText="1"/>
    </xf>
    <xf numFmtId="0" fontId="21" fillId="9" borderId="21" xfId="0" applyFont="1" applyFill="1" applyBorder="1" applyAlignment="1">
      <alignment horizontal="left" vertical="center" wrapText="1"/>
    </xf>
    <xf numFmtId="0" fontId="24" fillId="0" borderId="22" xfId="0" applyFont="1" applyBorder="1" applyAlignment="1">
      <alignment vertical="center" wrapText="1"/>
    </xf>
    <xf numFmtId="0" fontId="21" fillId="0" borderId="27" xfId="0" applyFont="1" applyBorder="1">
      <alignment vertical="center"/>
    </xf>
    <xf numFmtId="0" fontId="24" fillId="0" borderId="25" xfId="0" applyFont="1" applyBorder="1" applyAlignment="1">
      <alignment vertical="center" wrapText="1"/>
    </xf>
    <xf numFmtId="0" fontId="24" fillId="0" borderId="4" xfId="0" applyFont="1" applyBorder="1" applyAlignment="1">
      <alignment vertical="center" wrapText="1"/>
    </xf>
    <xf numFmtId="0" fontId="21" fillId="0" borderId="4" xfId="0" applyFont="1" applyBorder="1">
      <alignment vertical="center"/>
    </xf>
    <xf numFmtId="0" fontId="24" fillId="0" borderId="17" xfId="0" applyFont="1" applyBorder="1" applyAlignment="1">
      <alignment vertical="center" wrapText="1"/>
    </xf>
    <xf numFmtId="0" fontId="21" fillId="0" borderId="21" xfId="0" applyFont="1" applyBorder="1">
      <alignment vertical="center"/>
    </xf>
    <xf numFmtId="0" fontId="21" fillId="0" borderId="1" xfId="0" applyFont="1" applyBorder="1" applyAlignment="1">
      <alignment vertical="center" wrapText="1"/>
    </xf>
    <xf numFmtId="0" fontId="24" fillId="0" borderId="4" xfId="0" applyFont="1" applyBorder="1" applyAlignment="1">
      <alignment horizontal="left" vertical="center" wrapText="1"/>
    </xf>
    <xf numFmtId="0" fontId="22" fillId="0" borderId="4" xfId="0" applyFont="1" applyBorder="1">
      <alignment vertical="center"/>
    </xf>
    <xf numFmtId="0" fontId="22" fillId="0" borderId="21" xfId="0" applyFont="1" applyBorder="1" applyAlignment="1">
      <alignment horizontal="left" vertical="center" wrapText="1"/>
    </xf>
    <xf numFmtId="0" fontId="21" fillId="9" borderId="16" xfId="0" applyFont="1" applyFill="1" applyBorder="1" applyAlignment="1">
      <alignment horizontal="left" vertical="center" wrapText="1"/>
    </xf>
    <xf numFmtId="16" fontId="30" fillId="0" borderId="0" xfId="0" applyNumberFormat="1" applyFo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9"/>
  <sheetViews>
    <sheetView tabSelected="1" topLeftCell="A16" zoomScaleNormal="95" workbookViewId="0">
      <selection activeCell="F10" sqref="F10"/>
    </sheetView>
  </sheetViews>
  <sheetFormatPr baseColWidth="10" defaultColWidth="9" defaultRowHeight="15"/>
  <cols>
    <col min="2" max="2" width="12.83203125" customWidth="1"/>
    <col min="3" max="3" width="28.5" style="1" customWidth="1"/>
    <col min="4" max="4" width="18.5" customWidth="1"/>
    <col min="5" max="5" width="17.83203125" customWidth="1"/>
    <col min="6" max="6" width="32.5" customWidth="1"/>
    <col min="7" max="7" width="13.1640625" customWidth="1"/>
    <col min="8" max="8" width="41" customWidth="1"/>
    <col min="9" max="9" width="42.6640625" customWidth="1"/>
  </cols>
  <sheetData>
    <row r="1" spans="1:9" ht="16">
      <c r="B1" s="76" t="s">
        <v>0</v>
      </c>
      <c r="C1" s="77"/>
      <c r="D1" s="77"/>
      <c r="E1" s="77"/>
      <c r="F1" s="77"/>
      <c r="G1" s="77"/>
      <c r="H1" s="77"/>
      <c r="I1" s="77"/>
    </row>
    <row r="2" spans="1:9" ht="16">
      <c r="B2" s="78"/>
      <c r="C2" s="79"/>
      <c r="D2" s="79"/>
      <c r="E2" s="79"/>
      <c r="F2" s="79"/>
      <c r="G2" s="79"/>
      <c r="H2" s="79"/>
      <c r="I2" s="13" t="s">
        <v>339</v>
      </c>
    </row>
    <row r="3" spans="1:9">
      <c r="B3" s="3" t="s">
        <v>1</v>
      </c>
      <c r="C3" s="4" t="s">
        <v>2</v>
      </c>
      <c r="D3" s="4" t="s">
        <v>3</v>
      </c>
      <c r="E3" s="4" t="s">
        <v>4</v>
      </c>
      <c r="F3" s="4" t="s">
        <v>5</v>
      </c>
      <c r="G3" s="4" t="s">
        <v>6</v>
      </c>
      <c r="H3" s="4" t="s">
        <v>7</v>
      </c>
      <c r="I3" s="14" t="s">
        <v>8</v>
      </c>
    </row>
    <row r="4" spans="1:9">
      <c r="B4" s="3"/>
      <c r="C4" s="4"/>
      <c r="D4" s="4"/>
      <c r="E4" s="4"/>
      <c r="F4" s="4"/>
      <c r="G4" s="4"/>
      <c r="H4" s="4"/>
      <c r="I4" s="14"/>
    </row>
    <row r="5" spans="1:9" s="2" customFormat="1" ht="165.5" customHeight="1">
      <c r="A5" s="5" t="s">
        <v>9</v>
      </c>
      <c r="B5" s="6" t="s">
        <v>10</v>
      </c>
      <c r="C5" s="7" t="s">
        <v>11</v>
      </c>
      <c r="D5" s="7" t="s">
        <v>12</v>
      </c>
      <c r="E5" s="7" t="s">
        <v>322</v>
      </c>
      <c r="F5" s="7" t="s">
        <v>13</v>
      </c>
      <c r="G5" s="7" t="s">
        <v>14</v>
      </c>
      <c r="H5" s="7" t="s">
        <v>15</v>
      </c>
      <c r="I5" s="15" t="s">
        <v>16</v>
      </c>
    </row>
    <row r="6" spans="1:9" s="2" customFormat="1" ht="45">
      <c r="B6" s="8" t="s">
        <v>341</v>
      </c>
      <c r="C6" s="9" t="s">
        <v>25</v>
      </c>
      <c r="D6" s="10" t="s">
        <v>26</v>
      </c>
      <c r="E6" s="10" t="s">
        <v>30</v>
      </c>
      <c r="F6" s="9" t="s">
        <v>326</v>
      </c>
      <c r="G6" s="11">
        <v>5.6</v>
      </c>
      <c r="H6" s="9" t="s">
        <v>27</v>
      </c>
      <c r="I6" s="16" t="s">
        <v>343</v>
      </c>
    </row>
    <row r="7" spans="1:9" s="2" customFormat="1" ht="30">
      <c r="B7" s="8" t="s">
        <v>341</v>
      </c>
      <c r="C7" s="9" t="s">
        <v>45</v>
      </c>
      <c r="D7" s="10" t="s">
        <v>50</v>
      </c>
      <c r="E7" s="10" t="s">
        <v>30</v>
      </c>
      <c r="F7" s="9" t="s">
        <v>326</v>
      </c>
      <c r="G7" s="11">
        <v>2.5</v>
      </c>
      <c r="H7" s="9" t="s">
        <v>73</v>
      </c>
      <c r="I7" s="16" t="s">
        <v>345</v>
      </c>
    </row>
    <row r="8" spans="1:9" s="2" customFormat="1" ht="45">
      <c r="B8" s="8" t="s">
        <v>341</v>
      </c>
      <c r="C8" s="9" t="s">
        <v>45</v>
      </c>
      <c r="D8" s="10" t="s">
        <v>346</v>
      </c>
      <c r="E8" s="10" t="s">
        <v>30</v>
      </c>
      <c r="F8" s="9" t="s">
        <v>326</v>
      </c>
      <c r="G8" s="11">
        <v>2.8</v>
      </c>
      <c r="H8" s="9" t="s">
        <v>73</v>
      </c>
      <c r="I8" s="16" t="s">
        <v>347</v>
      </c>
    </row>
    <row r="9" spans="1:9" s="2" customFormat="1" ht="45">
      <c r="B9" s="8" t="s">
        <v>341</v>
      </c>
      <c r="C9" s="9" t="s">
        <v>25</v>
      </c>
      <c r="D9" s="10" t="s">
        <v>26</v>
      </c>
      <c r="E9" s="10" t="s">
        <v>30</v>
      </c>
      <c r="F9" s="9" t="s">
        <v>325</v>
      </c>
      <c r="G9" s="11">
        <v>3.5</v>
      </c>
      <c r="H9" s="9" t="s">
        <v>73</v>
      </c>
      <c r="I9" s="16" t="s">
        <v>344</v>
      </c>
    </row>
    <row r="10" spans="1:9" s="2" customFormat="1" ht="30">
      <c r="B10" s="8" t="s">
        <v>341</v>
      </c>
      <c r="C10" s="9" t="s">
        <v>25</v>
      </c>
      <c r="D10" s="17" t="s">
        <v>26</v>
      </c>
      <c r="E10" s="10" t="s">
        <v>30</v>
      </c>
      <c r="F10" s="9" t="s">
        <v>325</v>
      </c>
      <c r="G10" s="11">
        <v>2.2999999999999998</v>
      </c>
      <c r="H10" s="9" t="s">
        <v>73</v>
      </c>
      <c r="I10" s="16" t="s">
        <v>348</v>
      </c>
    </row>
    <row r="11" spans="1:9" s="2" customFormat="1" ht="45">
      <c r="B11" s="8" t="s">
        <v>341</v>
      </c>
      <c r="C11" s="9" t="s">
        <v>25</v>
      </c>
      <c r="D11" s="10" t="s">
        <v>26</v>
      </c>
      <c r="E11" s="10" t="s">
        <v>30</v>
      </c>
      <c r="F11" s="9" t="s">
        <v>325</v>
      </c>
      <c r="G11" s="11">
        <v>3.2</v>
      </c>
      <c r="H11" s="9" t="s">
        <v>73</v>
      </c>
      <c r="I11" s="16" t="s">
        <v>350</v>
      </c>
    </row>
    <row r="12" spans="1:9" s="2" customFormat="1" ht="30">
      <c r="B12" s="8" t="s">
        <v>341</v>
      </c>
      <c r="C12" s="9" t="s">
        <v>25</v>
      </c>
      <c r="D12" s="10" t="s">
        <v>26</v>
      </c>
      <c r="E12" s="10" t="s">
        <v>30</v>
      </c>
      <c r="F12" s="9" t="s">
        <v>325</v>
      </c>
      <c r="G12" s="11">
        <v>1.2</v>
      </c>
      <c r="H12" s="9" t="s">
        <v>27</v>
      </c>
      <c r="I12" s="16" t="s">
        <v>351</v>
      </c>
    </row>
    <row r="13" spans="1:9" s="2" customFormat="1" ht="30">
      <c r="B13" s="8" t="s">
        <v>341</v>
      </c>
      <c r="C13" s="9" t="s">
        <v>25</v>
      </c>
      <c r="D13" s="10" t="s">
        <v>26</v>
      </c>
      <c r="E13" s="10" t="s">
        <v>30</v>
      </c>
      <c r="F13" s="9" t="s">
        <v>325</v>
      </c>
      <c r="G13" s="11">
        <v>1.8</v>
      </c>
      <c r="H13" s="9" t="s">
        <v>73</v>
      </c>
      <c r="I13" s="16" t="s">
        <v>352</v>
      </c>
    </row>
    <row r="14" spans="1:9" s="2" customFormat="1" ht="30">
      <c r="B14" s="8" t="s">
        <v>341</v>
      </c>
      <c r="C14" s="9" t="s">
        <v>25</v>
      </c>
      <c r="D14" s="10" t="s">
        <v>26</v>
      </c>
      <c r="E14" s="10" t="s">
        <v>30</v>
      </c>
      <c r="F14" s="9" t="s">
        <v>325</v>
      </c>
      <c r="G14" s="11">
        <v>1</v>
      </c>
      <c r="H14" s="9" t="s">
        <v>27</v>
      </c>
      <c r="I14" s="16" t="s">
        <v>353</v>
      </c>
    </row>
    <row r="15" spans="1:9" s="2" customFormat="1" ht="30">
      <c r="B15" s="8" t="s">
        <v>341</v>
      </c>
      <c r="C15" s="9" t="s">
        <v>25</v>
      </c>
      <c r="D15" s="10" t="s">
        <v>26</v>
      </c>
      <c r="E15" s="10" t="s">
        <v>30</v>
      </c>
      <c r="F15" s="9" t="s">
        <v>325</v>
      </c>
      <c r="G15" s="11">
        <v>1.7</v>
      </c>
      <c r="H15" s="9" t="s">
        <v>27</v>
      </c>
      <c r="I15" s="16" t="s">
        <v>355</v>
      </c>
    </row>
    <row r="16" spans="1:9" s="2" customFormat="1" ht="30">
      <c r="B16" s="8" t="s">
        <v>341</v>
      </c>
      <c r="C16" s="9" t="s">
        <v>45</v>
      </c>
      <c r="D16" s="10" t="s">
        <v>50</v>
      </c>
      <c r="E16" s="10" t="s">
        <v>30</v>
      </c>
      <c r="F16" s="9" t="s">
        <v>325</v>
      </c>
      <c r="G16" s="11">
        <v>2.2000000000000002</v>
      </c>
      <c r="H16" s="9" t="s">
        <v>27</v>
      </c>
      <c r="I16" s="16" t="s">
        <v>354</v>
      </c>
    </row>
    <row r="17" spans="2:9" s="2" customFormat="1" ht="30">
      <c r="B17" s="8" t="s">
        <v>341</v>
      </c>
      <c r="C17" s="9" t="s">
        <v>45</v>
      </c>
      <c r="D17" s="10" t="s">
        <v>50</v>
      </c>
      <c r="E17" s="10" t="s">
        <v>30</v>
      </c>
      <c r="F17" s="9" t="s">
        <v>326</v>
      </c>
      <c r="G17" s="11">
        <v>0.9</v>
      </c>
      <c r="H17" s="9" t="s">
        <v>73</v>
      </c>
      <c r="I17" s="16" t="s">
        <v>356</v>
      </c>
    </row>
    <row r="18" spans="2:9" s="2" customFormat="1" ht="30">
      <c r="B18" s="8" t="s">
        <v>341</v>
      </c>
      <c r="C18" s="9" t="s">
        <v>45</v>
      </c>
      <c r="D18" s="10" t="s">
        <v>50</v>
      </c>
      <c r="E18" s="10" t="s">
        <v>30</v>
      </c>
      <c r="F18" s="9" t="s">
        <v>326</v>
      </c>
      <c r="G18" s="11">
        <v>1.5</v>
      </c>
      <c r="H18" s="9" t="s">
        <v>27</v>
      </c>
      <c r="I18" s="16" t="s">
        <v>359</v>
      </c>
    </row>
    <row r="19" spans="2:9" s="2" customFormat="1" ht="30">
      <c r="B19" s="8" t="s">
        <v>341</v>
      </c>
      <c r="C19" s="9" t="s">
        <v>25</v>
      </c>
      <c r="D19" s="10" t="s">
        <v>26</v>
      </c>
      <c r="E19" s="10" t="s">
        <v>30</v>
      </c>
      <c r="F19" s="9" t="s">
        <v>325</v>
      </c>
      <c r="G19" s="11">
        <v>1</v>
      </c>
      <c r="H19" s="9" t="s">
        <v>73</v>
      </c>
      <c r="I19" s="16" t="s">
        <v>358</v>
      </c>
    </row>
    <row r="20" spans="2:9" s="2" customFormat="1" ht="45">
      <c r="B20" s="8" t="s">
        <v>341</v>
      </c>
      <c r="C20" s="9" t="s">
        <v>25</v>
      </c>
      <c r="D20" s="10" t="s">
        <v>26</v>
      </c>
      <c r="E20" s="10" t="s">
        <v>30</v>
      </c>
      <c r="F20" s="9" t="s">
        <v>325</v>
      </c>
      <c r="G20" s="11">
        <v>1.8</v>
      </c>
      <c r="H20" s="9" t="s">
        <v>73</v>
      </c>
      <c r="I20" s="16" t="s">
        <v>357</v>
      </c>
    </row>
    <row r="21" spans="2:9" s="2" customFormat="1" ht="45">
      <c r="B21" s="8" t="s">
        <v>341</v>
      </c>
      <c r="C21" s="9" t="s">
        <v>45</v>
      </c>
      <c r="D21" s="10" t="s">
        <v>50</v>
      </c>
      <c r="E21" s="10" t="s">
        <v>30</v>
      </c>
      <c r="F21" s="9" t="s">
        <v>334</v>
      </c>
      <c r="G21" s="11">
        <v>1.7</v>
      </c>
      <c r="H21" s="9" t="s">
        <v>73</v>
      </c>
      <c r="I21" s="16" t="s">
        <v>360</v>
      </c>
    </row>
    <row r="22" spans="2:9" s="2" customFormat="1" ht="30">
      <c r="B22" s="8" t="s">
        <v>341</v>
      </c>
      <c r="C22" s="9" t="s">
        <v>28</v>
      </c>
      <c r="D22" s="10" t="s">
        <v>31</v>
      </c>
      <c r="E22" s="10" t="s">
        <v>33</v>
      </c>
      <c r="F22" s="9" t="s">
        <v>39</v>
      </c>
      <c r="G22" s="11">
        <v>2.2000000000000002</v>
      </c>
      <c r="H22" s="9" t="s">
        <v>73</v>
      </c>
      <c r="I22" s="16" t="s">
        <v>342</v>
      </c>
    </row>
    <row r="23" spans="2:9" s="2" customFormat="1">
      <c r="B23" s="8" t="s">
        <v>341</v>
      </c>
      <c r="C23" s="9" t="s">
        <v>28</v>
      </c>
      <c r="D23" s="10" t="s">
        <v>31</v>
      </c>
      <c r="E23" s="10" t="s">
        <v>33</v>
      </c>
      <c r="F23" s="9" t="s">
        <v>36</v>
      </c>
      <c r="G23" s="11">
        <v>0.3</v>
      </c>
      <c r="H23" s="9" t="s">
        <v>73</v>
      </c>
      <c r="I23" s="16" t="s">
        <v>349</v>
      </c>
    </row>
    <row r="24" spans="2:9" s="2" customFormat="1" ht="14">
      <c r="B24" s="8"/>
      <c r="C24" s="9"/>
      <c r="D24" s="10"/>
      <c r="E24" s="10"/>
      <c r="F24" s="9"/>
      <c r="G24" s="11"/>
      <c r="H24" s="9"/>
      <c r="I24" s="16"/>
    </row>
    <row r="25" spans="2:9" s="2" customFormat="1" ht="14.5" customHeight="1">
      <c r="B25" s="80" t="s">
        <v>32</v>
      </c>
      <c r="C25" s="81"/>
      <c r="D25" s="82"/>
      <c r="E25" s="12"/>
      <c r="F25" s="12"/>
      <c r="G25" s="83">
        <f>SUM(G6:G24)</f>
        <v>37.199999999999996</v>
      </c>
      <c r="H25" s="84"/>
      <c r="I25" s="85"/>
    </row>
    <row r="28" spans="2:9" ht="16">
      <c r="B28" s="18" t="s">
        <v>81</v>
      </c>
      <c r="C28" s="19" t="s">
        <v>331</v>
      </c>
      <c r="D28" s="130">
        <v>45744</v>
      </c>
    </row>
    <row r="29" spans="2:9" ht="16">
      <c r="C29" s="19" t="s">
        <v>332</v>
      </c>
    </row>
  </sheetData>
  <mergeCells count="4">
    <mergeCell ref="B1:I1"/>
    <mergeCell ref="B2:H2"/>
    <mergeCell ref="B25:D25"/>
    <mergeCell ref="G25:I25"/>
  </mergeCells>
  <phoneticPr fontId="10" type="noConversion"/>
  <dataValidations count="3">
    <dataValidation type="list" allowBlank="1" showInputMessage="1" showErrorMessage="1" sqref="F6:F24" xr:uid="{00000000-0002-0000-0000-000002000000}">
      <formula1>INDIRECT($E6)</formula1>
    </dataValidation>
    <dataValidation type="list" errorStyle="warning" allowBlank="1" sqref="C7:C24" xr:uid="{00000000-0002-0000-0000-000005000000}">
      <formula1>项目事项分类项目名称</formula1>
    </dataValidation>
    <dataValidation type="list" allowBlank="1" showInputMessage="1" showErrorMessage="1" sqref="H6:H24" xr:uid="{00000000-0002-0000-0000-000006000000}">
      <formula1>事项分类指定内容</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promptTitle="Internal Client" xr:uid="{00000000-0002-0000-0000-000004000000}">
          <x14:formula1>
            <xm:f>'Exhibit II - Internal Client'!$A$1:$A$20</xm:f>
          </x14:formula1>
          <xm:sqref>D24</xm:sqref>
        </x14:dataValidation>
        <x14:dataValidation type="list" allowBlank="1" showInputMessage="1" showErrorMessage="1" xr:uid="{00000000-0002-0000-0000-000007000000}">
          <x14:formula1>
            <xm:f>Tag!$B$2:$E$2</xm:f>
          </x14:formula1>
          <xm:sqref>E24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E17"/>
  <sheetViews>
    <sheetView zoomScale="80" zoomScaleNormal="80" workbookViewId="0">
      <selection activeCell="C13" sqref="C13"/>
    </sheetView>
  </sheetViews>
  <sheetFormatPr baseColWidth="10" defaultColWidth="8.83203125" defaultRowHeight="15"/>
  <cols>
    <col min="2" max="4" width="40.83203125" customWidth="1"/>
    <col min="5" max="5" width="17.6640625" customWidth="1"/>
  </cols>
  <sheetData>
    <row r="2" spans="2:5">
      <c r="B2" t="s">
        <v>30</v>
      </c>
      <c r="C2" t="s">
        <v>33</v>
      </c>
      <c r="D2" t="s">
        <v>34</v>
      </c>
      <c r="E2" t="s">
        <v>19</v>
      </c>
    </row>
    <row r="3" spans="2:5" ht="85.5" customHeight="1">
      <c r="B3" s="1" t="s">
        <v>333</v>
      </c>
      <c r="C3" s="1" t="s">
        <v>35</v>
      </c>
      <c r="D3" s="1" t="s">
        <v>80</v>
      </c>
      <c r="E3" s="1" t="s">
        <v>20</v>
      </c>
    </row>
    <row r="4" spans="2:5" ht="48">
      <c r="B4" s="1" t="s">
        <v>323</v>
      </c>
      <c r="C4" s="1" t="s">
        <v>36</v>
      </c>
      <c r="D4" s="1" t="s">
        <v>37</v>
      </c>
      <c r="E4" s="1" t="s">
        <v>38</v>
      </c>
    </row>
    <row r="5" spans="2:5" ht="96">
      <c r="B5" s="1" t="s">
        <v>338</v>
      </c>
      <c r="C5" s="1" t="s">
        <v>39</v>
      </c>
      <c r="D5" s="1" t="s">
        <v>40</v>
      </c>
      <c r="E5" s="1"/>
    </row>
    <row r="6" spans="2:5" ht="94.5" customHeight="1">
      <c r="B6" s="1" t="s">
        <v>324</v>
      </c>
      <c r="C6" s="1"/>
      <c r="D6" s="1" t="s">
        <v>41</v>
      </c>
      <c r="E6" s="1"/>
    </row>
    <row r="7" spans="2:5" ht="54" customHeight="1">
      <c r="B7" s="1" t="s">
        <v>334</v>
      </c>
      <c r="C7" s="1"/>
      <c r="D7" s="1" t="s">
        <v>42</v>
      </c>
      <c r="E7" s="1"/>
    </row>
    <row r="8" spans="2:5" ht="53.25" customHeight="1">
      <c r="B8" s="1" t="s">
        <v>325</v>
      </c>
      <c r="E8" s="1"/>
    </row>
    <row r="9" spans="2:5" ht="32">
      <c r="B9" s="1" t="s">
        <v>326</v>
      </c>
      <c r="C9" s="1"/>
      <c r="D9" s="1"/>
    </row>
    <row r="10" spans="2:5" ht="32">
      <c r="B10" s="1" t="s">
        <v>327</v>
      </c>
      <c r="C10" s="1"/>
      <c r="D10" s="1"/>
    </row>
    <row r="11" spans="2:5" ht="32">
      <c r="B11" s="1" t="s">
        <v>336</v>
      </c>
      <c r="C11" s="1"/>
      <c r="D11" s="1"/>
    </row>
    <row r="12" spans="2:5" ht="48">
      <c r="B12" s="1" t="s">
        <v>337</v>
      </c>
      <c r="C12" s="1"/>
      <c r="D12" s="1"/>
    </row>
    <row r="13" spans="2:5" ht="32">
      <c r="B13" s="1" t="s">
        <v>335</v>
      </c>
      <c r="C13" s="1"/>
      <c r="D13" s="1"/>
    </row>
    <row r="14" spans="2:5" ht="32">
      <c r="B14" s="1" t="s">
        <v>340</v>
      </c>
      <c r="C14" s="1"/>
      <c r="D14" s="1"/>
    </row>
    <row r="15" spans="2:5" ht="16">
      <c r="B15" s="1" t="s">
        <v>328</v>
      </c>
    </row>
    <row r="16" spans="2:5" ht="85.5" customHeight="1">
      <c r="B16" s="1" t="s">
        <v>329</v>
      </c>
    </row>
    <row r="17" spans="2:2" ht="48">
      <c r="B17" s="1" t="s">
        <v>330</v>
      </c>
    </row>
  </sheetData>
  <dataConsolidate/>
  <phoneticPr fontId="10"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7"/>
  <sheetViews>
    <sheetView workbookViewId="0">
      <selection activeCell="A12" sqref="A12"/>
    </sheetView>
  </sheetViews>
  <sheetFormatPr baseColWidth="10" defaultColWidth="9" defaultRowHeight="15"/>
  <cols>
    <col min="1" max="1" width="62.1640625" customWidth="1"/>
  </cols>
  <sheetData>
    <row r="1" spans="1:1">
      <c r="A1" t="s">
        <v>43</v>
      </c>
    </row>
    <row r="2" spans="1:1">
      <c r="A2" t="s">
        <v>44</v>
      </c>
    </row>
    <row r="3" spans="1:1">
      <c r="A3" t="s">
        <v>22</v>
      </c>
    </row>
    <row r="4" spans="1:1">
      <c r="A4" t="s">
        <v>45</v>
      </c>
    </row>
    <row r="5" spans="1:1">
      <c r="A5" t="s">
        <v>25</v>
      </c>
    </row>
    <row r="6" spans="1:1">
      <c r="A6" t="s">
        <v>17</v>
      </c>
    </row>
    <row r="7" spans="1:1">
      <c r="A7" t="s">
        <v>28</v>
      </c>
    </row>
  </sheetData>
  <phoneticPr fontId="10"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21"/>
  <sheetViews>
    <sheetView workbookViewId="0">
      <selection activeCell="A21" sqref="A21"/>
    </sheetView>
  </sheetViews>
  <sheetFormatPr baseColWidth="10" defaultColWidth="9" defaultRowHeight="15"/>
  <cols>
    <col min="1" max="1" width="22.5" customWidth="1"/>
  </cols>
  <sheetData>
    <row r="1" spans="1:1">
      <c r="A1" t="s">
        <v>46</v>
      </c>
    </row>
    <row r="2" spans="1:1">
      <c r="A2" t="s">
        <v>47</v>
      </c>
    </row>
    <row r="3" spans="1:1">
      <c r="A3" t="s">
        <v>26</v>
      </c>
    </row>
    <row r="4" spans="1:1">
      <c r="A4" t="s">
        <v>48</v>
      </c>
    </row>
    <row r="5" spans="1:1">
      <c r="A5" t="s">
        <v>49</v>
      </c>
    </row>
    <row r="6" spans="1:1">
      <c r="A6" t="s">
        <v>50</v>
      </c>
    </row>
    <row r="7" spans="1:1">
      <c r="A7" t="s">
        <v>51</v>
      </c>
    </row>
    <row r="8" spans="1:1">
      <c r="A8" t="s">
        <v>52</v>
      </c>
    </row>
    <row r="9" spans="1:1">
      <c r="A9" t="s">
        <v>53</v>
      </c>
    </row>
    <row r="10" spans="1:1">
      <c r="A10" t="s">
        <v>54</v>
      </c>
    </row>
    <row r="11" spans="1:1">
      <c r="A11" t="s">
        <v>55</v>
      </c>
    </row>
    <row r="12" spans="1:1">
      <c r="A12" t="s">
        <v>56</v>
      </c>
    </row>
    <row r="13" spans="1:1">
      <c r="A13" t="s">
        <v>57</v>
      </c>
    </row>
    <row r="14" spans="1:1">
      <c r="A14" t="s">
        <v>58</v>
      </c>
    </row>
    <row r="15" spans="1:1">
      <c r="A15" t="s">
        <v>23</v>
      </c>
    </row>
    <row r="16" spans="1:1">
      <c r="A16" t="s">
        <v>59</v>
      </c>
    </row>
    <row r="17" spans="1:1">
      <c r="A17" t="s">
        <v>60</v>
      </c>
    </row>
    <row r="18" spans="1:1">
      <c r="A18" t="s">
        <v>61</v>
      </c>
    </row>
    <row r="19" spans="1:1">
      <c r="A19" t="s">
        <v>18</v>
      </c>
    </row>
    <row r="20" spans="1:1">
      <c r="A20" t="s">
        <v>31</v>
      </c>
    </row>
    <row r="21" spans="1:1">
      <c r="A21" t="s">
        <v>29</v>
      </c>
    </row>
  </sheetData>
  <phoneticPr fontId="10"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67C021-12C6-4FC5-BA86-BF9C43DEF124}">
  <dimension ref="A1:O48"/>
  <sheetViews>
    <sheetView topLeftCell="A43" workbookViewId="0">
      <selection activeCell="F61" sqref="F61"/>
    </sheetView>
  </sheetViews>
  <sheetFormatPr baseColWidth="10" defaultColWidth="8.83203125" defaultRowHeight="16" outlineLevelRow="1"/>
  <cols>
    <col min="1" max="1" width="2" style="20" customWidth="1"/>
    <col min="2" max="2" width="3.1640625" style="20" customWidth="1"/>
    <col min="3" max="3" width="18.5" style="74" customWidth="1"/>
    <col min="4" max="4" width="9.1640625" style="74"/>
    <col min="5" max="5" width="24.6640625" style="74" customWidth="1"/>
    <col min="6" max="6" width="41.83203125" style="74" customWidth="1"/>
    <col min="7" max="7" width="32.1640625" style="74" customWidth="1"/>
    <col min="8" max="8" width="16.83203125" style="74" customWidth="1"/>
    <col min="9" max="9" width="17.5" style="75" customWidth="1"/>
    <col min="10" max="10" width="18.83203125" style="74" hidden="1" customWidth="1"/>
    <col min="11" max="11" width="29.1640625" style="74" customWidth="1"/>
    <col min="12" max="12" width="23.6640625" style="74" customWidth="1"/>
    <col min="13" max="13" width="25.83203125" style="74" customWidth="1"/>
    <col min="14" max="14" width="28.83203125" style="20" customWidth="1"/>
    <col min="15" max="15" width="9.1640625" style="20"/>
  </cols>
  <sheetData>
    <row r="1" spans="2:14" ht="18">
      <c r="C1" s="86" t="s">
        <v>92</v>
      </c>
      <c r="D1" s="87"/>
      <c r="E1" s="87"/>
      <c r="F1" s="87"/>
      <c r="G1" s="87"/>
      <c r="H1" s="87"/>
      <c r="I1" s="87"/>
      <c r="J1" s="87"/>
      <c r="K1" s="87"/>
      <c r="L1" s="87"/>
      <c r="M1" s="87"/>
      <c r="N1" s="87"/>
    </row>
    <row r="2" spans="2:14">
      <c r="C2" s="88" t="s">
        <v>93</v>
      </c>
      <c r="D2" s="88"/>
      <c r="E2" s="88"/>
      <c r="F2" s="88"/>
      <c r="G2" s="88"/>
      <c r="H2" s="88"/>
      <c r="I2" s="88"/>
      <c r="J2" s="88"/>
      <c r="K2" s="88"/>
      <c r="L2" s="88"/>
      <c r="M2" s="88"/>
      <c r="N2" s="88"/>
    </row>
    <row r="3" spans="2:14">
      <c r="C3" s="89" t="s">
        <v>94</v>
      </c>
      <c r="D3" s="91" t="s">
        <v>95</v>
      </c>
      <c r="E3" s="92"/>
      <c r="F3" s="89" t="s">
        <v>96</v>
      </c>
      <c r="G3" s="89" t="s">
        <v>97</v>
      </c>
      <c r="H3" s="89" t="s">
        <v>98</v>
      </c>
      <c r="I3" s="95" t="s">
        <v>99</v>
      </c>
      <c r="J3" s="89" t="s">
        <v>63</v>
      </c>
      <c r="K3" s="96" t="s">
        <v>62</v>
      </c>
      <c r="L3" s="97"/>
      <c r="M3" s="97"/>
      <c r="N3" s="98"/>
    </row>
    <row r="4" spans="2:14" ht="17">
      <c r="C4" s="90"/>
      <c r="D4" s="93"/>
      <c r="E4" s="94"/>
      <c r="F4" s="90"/>
      <c r="G4" s="90"/>
      <c r="H4" s="90"/>
      <c r="I4" s="90"/>
      <c r="J4" s="90"/>
      <c r="K4" s="21" t="s">
        <v>64</v>
      </c>
      <c r="L4" s="21" t="s">
        <v>65</v>
      </c>
      <c r="M4" s="21" t="s">
        <v>66</v>
      </c>
      <c r="N4" s="21" t="s">
        <v>67</v>
      </c>
    </row>
    <row r="5" spans="2:14" ht="102" outlineLevel="1">
      <c r="C5" s="22" t="s">
        <v>100</v>
      </c>
      <c r="D5" s="99" t="s">
        <v>101</v>
      </c>
      <c r="E5" s="100"/>
      <c r="F5" s="23" t="s">
        <v>102</v>
      </c>
      <c r="G5" s="22" t="s">
        <v>103</v>
      </c>
      <c r="H5" s="22" t="s">
        <v>104</v>
      </c>
      <c r="I5" s="22" t="s">
        <v>105</v>
      </c>
      <c r="J5" s="22" t="s">
        <v>106</v>
      </c>
      <c r="K5" s="101" t="s">
        <v>107</v>
      </c>
      <c r="L5" s="101"/>
      <c r="M5" s="101"/>
      <c r="N5" s="101"/>
    </row>
    <row r="6" spans="2:14" s="24" customFormat="1" ht="187" outlineLevel="1">
      <c r="B6" s="102"/>
      <c r="C6" s="103" t="s">
        <v>108</v>
      </c>
      <c r="D6" s="107" t="s">
        <v>109</v>
      </c>
      <c r="E6" s="26" t="s">
        <v>110</v>
      </c>
      <c r="F6" s="27" t="s">
        <v>111</v>
      </c>
      <c r="G6" s="28" t="s">
        <v>112</v>
      </c>
      <c r="H6" s="29">
        <v>5</v>
      </c>
      <c r="I6" s="30" t="s">
        <v>113</v>
      </c>
      <c r="J6" s="30" t="s">
        <v>114</v>
      </c>
      <c r="K6" s="31" t="s">
        <v>115</v>
      </c>
      <c r="L6" s="32" t="s">
        <v>115</v>
      </c>
      <c r="M6" s="32" t="s">
        <v>115</v>
      </c>
      <c r="N6" s="32" t="s">
        <v>115</v>
      </c>
    </row>
    <row r="7" spans="2:14" s="24" customFormat="1" ht="356" outlineLevel="1">
      <c r="B7" s="102"/>
      <c r="C7" s="104"/>
      <c r="D7" s="104"/>
      <c r="E7" s="33" t="s">
        <v>116</v>
      </c>
      <c r="F7" s="34" t="s">
        <v>117</v>
      </c>
      <c r="G7" s="28" t="s">
        <v>118</v>
      </c>
      <c r="H7" s="35">
        <v>5</v>
      </c>
      <c r="I7" s="36" t="s">
        <v>119</v>
      </c>
      <c r="J7" s="30" t="s">
        <v>120</v>
      </c>
      <c r="K7" s="37" t="s">
        <v>121</v>
      </c>
      <c r="L7" s="38" t="s">
        <v>115</v>
      </c>
      <c r="M7" s="37" t="s">
        <v>122</v>
      </c>
      <c r="N7" s="39" t="s">
        <v>123</v>
      </c>
    </row>
    <row r="8" spans="2:14" s="24" customFormat="1" ht="272" outlineLevel="1">
      <c r="B8" s="102"/>
      <c r="C8" s="105"/>
      <c r="D8" s="108" t="s">
        <v>124</v>
      </c>
      <c r="E8" s="28" t="s">
        <v>125</v>
      </c>
      <c r="F8" s="27" t="s">
        <v>126</v>
      </c>
      <c r="G8" s="40" t="s">
        <v>127</v>
      </c>
      <c r="H8" s="29">
        <v>5</v>
      </c>
      <c r="I8" s="30" t="s">
        <v>128</v>
      </c>
      <c r="J8" s="30" t="s">
        <v>129</v>
      </c>
      <c r="K8" s="40" t="s">
        <v>130</v>
      </c>
      <c r="L8" s="40" t="s">
        <v>130</v>
      </c>
      <c r="M8" s="40" t="s">
        <v>130</v>
      </c>
      <c r="N8" s="39" t="s">
        <v>130</v>
      </c>
    </row>
    <row r="9" spans="2:14" s="24" customFormat="1" ht="340" outlineLevel="1">
      <c r="B9" s="102"/>
      <c r="C9" s="105"/>
      <c r="D9" s="109"/>
      <c r="E9" s="28" t="s">
        <v>131</v>
      </c>
      <c r="F9" s="27" t="s">
        <v>132</v>
      </c>
      <c r="G9" s="40" t="s">
        <v>133</v>
      </c>
      <c r="H9" s="29">
        <v>5</v>
      </c>
      <c r="I9" s="30" t="s">
        <v>128</v>
      </c>
      <c r="J9" s="30" t="s">
        <v>134</v>
      </c>
      <c r="K9" s="40" t="s">
        <v>135</v>
      </c>
      <c r="L9" s="40" t="s">
        <v>136</v>
      </c>
      <c r="M9" s="40" t="s">
        <v>137</v>
      </c>
      <c r="N9" s="39" t="s">
        <v>137</v>
      </c>
    </row>
    <row r="10" spans="2:14" s="24" customFormat="1" ht="85" outlineLevel="1">
      <c r="B10" s="102"/>
      <c r="C10" s="104"/>
      <c r="D10" s="110" t="s">
        <v>138</v>
      </c>
      <c r="E10" s="94"/>
      <c r="F10" s="28" t="s">
        <v>139</v>
      </c>
      <c r="G10" s="41" t="s">
        <v>140</v>
      </c>
      <c r="H10" s="36">
        <v>4</v>
      </c>
      <c r="I10" s="30" t="s">
        <v>128</v>
      </c>
      <c r="J10" s="31" t="s">
        <v>141</v>
      </c>
      <c r="K10" s="40" t="s">
        <v>142</v>
      </c>
      <c r="L10" s="40" t="s">
        <v>142</v>
      </c>
      <c r="M10" s="40" t="s">
        <v>142</v>
      </c>
      <c r="N10" s="39" t="s">
        <v>142</v>
      </c>
    </row>
    <row r="11" spans="2:14" s="24" customFormat="1" ht="306" outlineLevel="1">
      <c r="B11" s="102"/>
      <c r="C11" s="104"/>
      <c r="D11" s="107" t="s">
        <v>143</v>
      </c>
      <c r="E11" s="100"/>
      <c r="F11" s="28" t="s">
        <v>144</v>
      </c>
      <c r="G11" s="28" t="s">
        <v>145</v>
      </c>
      <c r="H11" s="29">
        <v>5</v>
      </c>
      <c r="I11" s="30" t="s">
        <v>146</v>
      </c>
      <c r="J11" s="30" t="s">
        <v>147</v>
      </c>
      <c r="K11" s="30" t="s">
        <v>148</v>
      </c>
      <c r="L11" s="30" t="s">
        <v>148</v>
      </c>
      <c r="M11" s="30" t="s">
        <v>148</v>
      </c>
      <c r="N11" s="30" t="s">
        <v>148</v>
      </c>
    </row>
    <row r="12" spans="2:14" s="24" customFormat="1" ht="409.6" outlineLevel="1">
      <c r="B12" s="102"/>
      <c r="C12" s="105"/>
      <c r="D12" s="26" t="s">
        <v>82</v>
      </c>
      <c r="E12" s="40" t="s">
        <v>68</v>
      </c>
      <c r="F12" s="42" t="s">
        <v>149</v>
      </c>
      <c r="G12" s="28" t="s">
        <v>69</v>
      </c>
      <c r="H12" s="43">
        <v>5</v>
      </c>
      <c r="I12" s="31" t="s">
        <v>150</v>
      </c>
      <c r="J12" s="31" t="s">
        <v>151</v>
      </c>
      <c r="K12" s="37" t="s">
        <v>152</v>
      </c>
      <c r="L12" s="37" t="s">
        <v>152</v>
      </c>
      <c r="M12" s="37" t="s">
        <v>152</v>
      </c>
      <c r="N12" s="39" t="s">
        <v>152</v>
      </c>
    </row>
    <row r="13" spans="2:14" s="24" customFormat="1" ht="102" outlineLevel="1">
      <c r="B13" s="25"/>
      <c r="C13" s="105"/>
      <c r="D13" s="111" t="s">
        <v>83</v>
      </c>
      <c r="E13" s="44" t="s">
        <v>153</v>
      </c>
      <c r="F13" s="28" t="s">
        <v>153</v>
      </c>
      <c r="G13" s="45" t="s">
        <v>154</v>
      </c>
      <c r="H13" s="43">
        <v>5</v>
      </c>
      <c r="I13" s="31" t="s">
        <v>155</v>
      </c>
      <c r="J13" s="45" t="s">
        <v>156</v>
      </c>
      <c r="K13" s="38" t="s">
        <v>115</v>
      </c>
      <c r="L13" s="38" t="s">
        <v>115</v>
      </c>
      <c r="M13" s="38" t="s">
        <v>115</v>
      </c>
      <c r="N13" s="46" t="s">
        <v>115</v>
      </c>
    </row>
    <row r="14" spans="2:14" s="24" customFormat="1" ht="102" outlineLevel="1">
      <c r="B14" s="25"/>
      <c r="C14" s="106"/>
      <c r="D14" s="112"/>
      <c r="E14" s="26" t="s">
        <v>157</v>
      </c>
      <c r="F14" s="42" t="s">
        <v>158</v>
      </c>
      <c r="G14" s="45" t="s">
        <v>159</v>
      </c>
      <c r="H14" s="43">
        <v>4</v>
      </c>
      <c r="I14" s="30" t="s">
        <v>128</v>
      </c>
      <c r="J14" s="30" t="s">
        <v>160</v>
      </c>
      <c r="K14" s="30" t="s">
        <v>161</v>
      </c>
      <c r="L14" s="30" t="s">
        <v>161</v>
      </c>
      <c r="M14" s="30" t="s">
        <v>161</v>
      </c>
      <c r="N14" s="30" t="s">
        <v>161</v>
      </c>
    </row>
    <row r="15" spans="2:14" s="24" customFormat="1" ht="323" outlineLevel="1">
      <c r="B15" s="25"/>
      <c r="C15" s="93"/>
      <c r="D15" s="112"/>
      <c r="E15" s="47" t="s">
        <v>162</v>
      </c>
      <c r="F15" s="48" t="s">
        <v>163</v>
      </c>
      <c r="G15" s="45" t="s">
        <v>164</v>
      </c>
      <c r="H15" s="43">
        <v>5</v>
      </c>
      <c r="I15" s="30" t="s">
        <v>72</v>
      </c>
      <c r="J15" s="45" t="s">
        <v>165</v>
      </c>
      <c r="K15" s="49" t="s">
        <v>166</v>
      </c>
      <c r="L15" s="49" t="s">
        <v>166</v>
      </c>
      <c r="M15" s="49" t="s">
        <v>166</v>
      </c>
      <c r="N15" s="49" t="s">
        <v>166</v>
      </c>
    </row>
    <row r="16" spans="2:14" s="24" customFormat="1" ht="204" outlineLevel="1">
      <c r="B16" s="102"/>
      <c r="C16" s="113" t="s">
        <v>167</v>
      </c>
      <c r="D16" s="116" t="s">
        <v>84</v>
      </c>
      <c r="E16" s="41" t="s">
        <v>168</v>
      </c>
      <c r="F16" s="45" t="s">
        <v>169</v>
      </c>
      <c r="G16" s="45" t="s">
        <v>170</v>
      </c>
      <c r="H16" s="43">
        <v>5</v>
      </c>
      <c r="I16" s="49" t="s">
        <v>171</v>
      </c>
      <c r="J16" s="30" t="s">
        <v>50</v>
      </c>
      <c r="K16" s="49" t="s">
        <v>172</v>
      </c>
      <c r="L16" s="49" t="s">
        <v>172</v>
      </c>
      <c r="M16" s="49" t="s">
        <v>172</v>
      </c>
      <c r="N16" s="49" t="s">
        <v>172</v>
      </c>
    </row>
    <row r="17" spans="2:14" s="24" customFormat="1" ht="409.6" outlineLevel="1">
      <c r="B17" s="102"/>
      <c r="C17" s="114"/>
      <c r="D17" s="117"/>
      <c r="E17" s="41" t="s">
        <v>173</v>
      </c>
      <c r="F17" s="45" t="s">
        <v>174</v>
      </c>
      <c r="G17" s="45" t="s">
        <v>175</v>
      </c>
      <c r="H17" s="43">
        <v>4</v>
      </c>
      <c r="I17" s="30" t="s">
        <v>176</v>
      </c>
      <c r="J17" s="30" t="s">
        <v>177</v>
      </c>
      <c r="K17" s="37" t="s">
        <v>178</v>
      </c>
      <c r="L17" s="37" t="s">
        <v>178</v>
      </c>
      <c r="M17" s="37" t="s">
        <v>178</v>
      </c>
      <c r="N17" s="50" t="s">
        <v>178</v>
      </c>
    </row>
    <row r="18" spans="2:14" s="24" customFormat="1" ht="221" outlineLevel="1">
      <c r="B18" s="102"/>
      <c r="C18" s="114"/>
      <c r="D18" s="118" t="s">
        <v>85</v>
      </c>
      <c r="E18" s="119"/>
      <c r="F18" s="45" t="s">
        <v>179</v>
      </c>
      <c r="G18" s="45" t="s">
        <v>180</v>
      </c>
      <c r="H18" s="43">
        <v>5</v>
      </c>
      <c r="I18" s="30" t="s">
        <v>181</v>
      </c>
      <c r="J18" s="30" t="s">
        <v>26</v>
      </c>
      <c r="K18" s="37" t="s">
        <v>182</v>
      </c>
      <c r="L18" s="37" t="s">
        <v>183</v>
      </c>
      <c r="M18" s="37" t="s">
        <v>183</v>
      </c>
      <c r="N18" s="39" t="s">
        <v>183</v>
      </c>
    </row>
    <row r="19" spans="2:14" s="24" customFormat="1" ht="170" outlineLevel="1">
      <c r="B19" s="102"/>
      <c r="C19" s="114"/>
      <c r="D19" s="120" t="s">
        <v>86</v>
      </c>
      <c r="E19" s="100"/>
      <c r="F19" s="45" t="s">
        <v>184</v>
      </c>
      <c r="G19" s="28" t="s">
        <v>175</v>
      </c>
      <c r="H19" s="43">
        <v>5</v>
      </c>
      <c r="I19" s="30" t="s">
        <v>185</v>
      </c>
      <c r="J19" s="45" t="s">
        <v>186</v>
      </c>
      <c r="K19" s="37" t="s">
        <v>187</v>
      </c>
      <c r="L19" s="37" t="s">
        <v>187</v>
      </c>
      <c r="M19" s="37" t="s">
        <v>187</v>
      </c>
      <c r="N19" s="50" t="s">
        <v>187</v>
      </c>
    </row>
    <row r="20" spans="2:14" s="24" customFormat="1" ht="102" outlineLevel="1">
      <c r="B20" s="102"/>
      <c r="C20" s="115"/>
      <c r="D20" s="121" t="s">
        <v>87</v>
      </c>
      <c r="E20" s="122"/>
      <c r="F20" s="51" t="s">
        <v>188</v>
      </c>
      <c r="G20" s="45" t="s">
        <v>70</v>
      </c>
      <c r="H20" s="43">
        <v>5</v>
      </c>
      <c r="I20" s="30" t="s">
        <v>189</v>
      </c>
      <c r="J20" s="30" t="s">
        <v>190</v>
      </c>
      <c r="K20" s="37" t="s">
        <v>191</v>
      </c>
      <c r="L20" s="37" t="s">
        <v>192</v>
      </c>
      <c r="M20" s="37" t="s">
        <v>191</v>
      </c>
      <c r="N20" s="39" t="s">
        <v>191</v>
      </c>
    </row>
    <row r="21" spans="2:14" ht="238">
      <c r="B21" s="102"/>
      <c r="C21" s="114"/>
      <c r="D21" s="123" t="s">
        <v>193</v>
      </c>
      <c r="E21" s="52" t="s">
        <v>194</v>
      </c>
      <c r="F21" s="51" t="s">
        <v>195</v>
      </c>
      <c r="G21" s="45" t="s">
        <v>164</v>
      </c>
      <c r="H21" s="43">
        <v>5</v>
      </c>
      <c r="I21" s="30" t="s">
        <v>196</v>
      </c>
      <c r="J21" s="45" t="s">
        <v>165</v>
      </c>
      <c r="K21" s="37" t="s">
        <v>197</v>
      </c>
      <c r="L21" s="37" t="s">
        <v>197</v>
      </c>
      <c r="M21" s="37" t="s">
        <v>197</v>
      </c>
      <c r="N21" s="50" t="s">
        <v>197</v>
      </c>
    </row>
    <row r="22" spans="2:14" s="24" customFormat="1" ht="255" outlineLevel="1">
      <c r="B22" s="102"/>
      <c r="C22" s="114"/>
      <c r="D22" s="93"/>
      <c r="E22" s="40" t="s">
        <v>198</v>
      </c>
      <c r="F22" s="51" t="s">
        <v>199</v>
      </c>
      <c r="G22" s="45" t="s">
        <v>200</v>
      </c>
      <c r="H22" s="43">
        <v>5</v>
      </c>
      <c r="I22" s="30" t="s">
        <v>201</v>
      </c>
      <c r="J22" s="30" t="s">
        <v>202</v>
      </c>
      <c r="K22" s="53" t="s">
        <v>203</v>
      </c>
      <c r="L22" s="53" t="s">
        <v>204</v>
      </c>
      <c r="M22" s="53" t="s">
        <v>205</v>
      </c>
      <c r="N22" s="54" t="s">
        <v>206</v>
      </c>
    </row>
    <row r="23" spans="2:14" s="24" customFormat="1" ht="323" outlineLevel="1">
      <c r="B23" s="102"/>
      <c r="C23" s="113"/>
      <c r="D23" s="26" t="s">
        <v>207</v>
      </c>
      <c r="E23" s="51" t="s">
        <v>208</v>
      </c>
      <c r="F23" s="45" t="s">
        <v>209</v>
      </c>
      <c r="G23" s="45" t="s">
        <v>208</v>
      </c>
      <c r="H23" s="29">
        <v>5</v>
      </c>
      <c r="I23" s="30" t="s">
        <v>210</v>
      </c>
      <c r="J23" s="30" t="s">
        <v>114</v>
      </c>
      <c r="K23" s="30" t="s">
        <v>211</v>
      </c>
      <c r="L23" s="30" t="s">
        <v>211</v>
      </c>
      <c r="M23" s="30" t="s">
        <v>212</v>
      </c>
      <c r="N23" s="30" t="s">
        <v>213</v>
      </c>
    </row>
    <row r="24" spans="2:14" s="24" customFormat="1" ht="170" outlineLevel="1">
      <c r="B24" s="102"/>
      <c r="C24" s="114"/>
      <c r="D24" s="120" t="s">
        <v>214</v>
      </c>
      <c r="E24" s="92"/>
      <c r="F24" s="45" t="s">
        <v>215</v>
      </c>
      <c r="G24" s="45" t="s">
        <v>216</v>
      </c>
      <c r="H24" s="43">
        <v>5</v>
      </c>
      <c r="I24" s="30" t="s">
        <v>128</v>
      </c>
      <c r="J24" s="30" t="s">
        <v>141</v>
      </c>
      <c r="K24" s="30" t="s">
        <v>217</v>
      </c>
      <c r="L24" s="30" t="s">
        <v>218</v>
      </c>
      <c r="M24" s="30" t="s">
        <v>218</v>
      </c>
      <c r="N24" s="30" t="s">
        <v>218</v>
      </c>
    </row>
    <row r="25" spans="2:14" s="24" customFormat="1" ht="372" outlineLevel="1">
      <c r="B25" s="102"/>
      <c r="C25" s="115"/>
      <c r="D25" s="121" t="s">
        <v>219</v>
      </c>
      <c r="E25" s="122"/>
      <c r="F25" s="51" t="s">
        <v>220</v>
      </c>
      <c r="G25" s="45" t="s">
        <v>221</v>
      </c>
      <c r="H25" s="43">
        <v>5</v>
      </c>
      <c r="I25" s="30" t="s">
        <v>128</v>
      </c>
      <c r="J25" s="30" t="s">
        <v>222</v>
      </c>
      <c r="K25" s="30" t="s">
        <v>223</v>
      </c>
      <c r="L25" s="30" t="s">
        <v>224</v>
      </c>
      <c r="M25" s="30" t="s">
        <v>225</v>
      </c>
      <c r="N25" s="30" t="s">
        <v>226</v>
      </c>
    </row>
    <row r="26" spans="2:14" s="24" customFormat="1" ht="409.6" outlineLevel="1">
      <c r="B26" s="102"/>
      <c r="C26" s="114"/>
      <c r="D26" s="116" t="s">
        <v>88</v>
      </c>
      <c r="E26" s="55" t="s">
        <v>227</v>
      </c>
      <c r="F26" s="45" t="s">
        <v>228</v>
      </c>
      <c r="G26" s="45" t="s">
        <v>71</v>
      </c>
      <c r="H26" s="43">
        <v>5</v>
      </c>
      <c r="I26" s="45" t="s">
        <v>229</v>
      </c>
      <c r="J26" s="30" t="s">
        <v>230</v>
      </c>
      <c r="K26" s="37" t="s">
        <v>231</v>
      </c>
      <c r="L26" s="37" t="s">
        <v>232</v>
      </c>
      <c r="M26" s="37" t="s">
        <v>233</v>
      </c>
      <c r="N26" s="39" t="s">
        <v>234</v>
      </c>
    </row>
    <row r="27" spans="2:14" s="24" customFormat="1" ht="170" outlineLevel="1">
      <c r="B27" s="102"/>
      <c r="C27" s="114"/>
      <c r="D27" s="124"/>
      <c r="E27" s="45" t="s">
        <v>235</v>
      </c>
      <c r="F27" s="45" t="s">
        <v>236</v>
      </c>
      <c r="G27" s="45" t="s">
        <v>237</v>
      </c>
      <c r="H27" s="43">
        <v>5</v>
      </c>
      <c r="I27" s="30" t="s">
        <v>238</v>
      </c>
      <c r="J27" s="30" t="s">
        <v>239</v>
      </c>
      <c r="K27" s="37" t="s">
        <v>240</v>
      </c>
      <c r="L27" s="37" t="s">
        <v>240</v>
      </c>
      <c r="M27" s="37" t="s">
        <v>241</v>
      </c>
      <c r="N27" s="39" t="s">
        <v>242</v>
      </c>
    </row>
    <row r="28" spans="2:14" s="24" customFormat="1" ht="306" outlineLevel="1">
      <c r="B28" s="102"/>
      <c r="C28" s="114"/>
      <c r="D28" s="118" t="s">
        <v>89</v>
      </c>
      <c r="E28" s="119"/>
      <c r="F28" s="45" t="s">
        <v>243</v>
      </c>
      <c r="G28" s="45" t="s">
        <v>244</v>
      </c>
      <c r="H28" s="43">
        <v>5</v>
      </c>
      <c r="I28" s="30" t="s">
        <v>245</v>
      </c>
      <c r="J28" s="56" t="s">
        <v>246</v>
      </c>
      <c r="K28" s="30" t="s">
        <v>247</v>
      </c>
      <c r="L28" s="30" t="s">
        <v>247</v>
      </c>
      <c r="M28" s="30" t="s">
        <v>248</v>
      </c>
      <c r="N28" s="30" t="s">
        <v>248</v>
      </c>
    </row>
    <row r="29" spans="2:14" s="24" customFormat="1" ht="153" outlineLevel="1">
      <c r="B29" s="102"/>
      <c r="C29" s="113" t="s">
        <v>249</v>
      </c>
      <c r="D29" s="126" t="s">
        <v>90</v>
      </c>
      <c r="E29" s="47" t="s">
        <v>250</v>
      </c>
      <c r="F29" s="28" t="s">
        <v>251</v>
      </c>
      <c r="G29" s="45" t="s">
        <v>252</v>
      </c>
      <c r="H29" s="43">
        <v>5</v>
      </c>
      <c r="I29" s="30" t="s">
        <v>128</v>
      </c>
      <c r="J29" s="30" t="s">
        <v>160</v>
      </c>
      <c r="K29" s="30" t="s">
        <v>253</v>
      </c>
      <c r="L29" s="30" t="s">
        <v>254</v>
      </c>
      <c r="M29" s="30" t="s">
        <v>253</v>
      </c>
      <c r="N29" s="30" t="s">
        <v>254</v>
      </c>
    </row>
    <row r="30" spans="2:14" s="24" customFormat="1" ht="170" outlineLevel="1">
      <c r="B30" s="102"/>
      <c r="C30" s="125"/>
      <c r="D30" s="127"/>
      <c r="E30" s="42" t="s">
        <v>255</v>
      </c>
      <c r="F30" s="28" t="s">
        <v>255</v>
      </c>
      <c r="G30" s="45" t="s">
        <v>256</v>
      </c>
      <c r="H30" s="43">
        <v>5</v>
      </c>
      <c r="I30" s="30" t="s">
        <v>257</v>
      </c>
      <c r="J30" s="45" t="s">
        <v>156</v>
      </c>
      <c r="K30" s="37" t="s">
        <v>258</v>
      </c>
      <c r="L30" s="37" t="s">
        <v>258</v>
      </c>
      <c r="M30" s="37" t="s">
        <v>258</v>
      </c>
      <c r="N30" s="50" t="s">
        <v>258</v>
      </c>
    </row>
    <row r="31" spans="2:14" s="24" customFormat="1" ht="187" outlineLevel="1">
      <c r="B31" s="102"/>
      <c r="C31" s="125"/>
      <c r="D31" s="116" t="s">
        <v>259</v>
      </c>
      <c r="E31" s="28" t="s">
        <v>260</v>
      </c>
      <c r="F31" s="28" t="s">
        <v>261</v>
      </c>
      <c r="G31" s="45" t="s">
        <v>262</v>
      </c>
      <c r="H31" s="43">
        <v>5</v>
      </c>
      <c r="I31" s="30" t="s">
        <v>128</v>
      </c>
      <c r="J31" s="31" t="s">
        <v>263</v>
      </c>
      <c r="K31" s="30" t="s">
        <v>264</v>
      </c>
      <c r="L31" s="30" t="s">
        <v>264</v>
      </c>
      <c r="M31" s="30" t="s">
        <v>264</v>
      </c>
      <c r="N31" s="30" t="s">
        <v>264</v>
      </c>
    </row>
    <row r="32" spans="2:14" s="24" customFormat="1" ht="102" outlineLevel="1">
      <c r="B32" s="102"/>
      <c r="C32" s="125"/>
      <c r="D32" s="128"/>
      <c r="E32" s="28" t="s">
        <v>265</v>
      </c>
      <c r="F32" s="28" t="s">
        <v>266</v>
      </c>
      <c r="G32" s="45" t="s">
        <v>267</v>
      </c>
      <c r="H32" s="43">
        <v>4</v>
      </c>
      <c r="I32" s="30" t="s">
        <v>128</v>
      </c>
      <c r="J32" s="30" t="s">
        <v>268</v>
      </c>
      <c r="K32" s="37" t="s">
        <v>269</v>
      </c>
      <c r="L32" s="37" t="s">
        <v>269</v>
      </c>
      <c r="M32" s="37" t="s">
        <v>269</v>
      </c>
      <c r="N32" s="50" t="s">
        <v>269</v>
      </c>
    </row>
    <row r="33" spans="1:14" s="24" customFormat="1" ht="85" outlineLevel="1">
      <c r="B33" s="102"/>
      <c r="C33" s="113" t="s">
        <v>270</v>
      </c>
      <c r="D33" s="103" t="s">
        <v>271</v>
      </c>
      <c r="E33" s="45" t="s">
        <v>272</v>
      </c>
      <c r="F33" s="28" t="s">
        <v>273</v>
      </c>
      <c r="G33" s="45" t="s">
        <v>274</v>
      </c>
      <c r="H33" s="36">
        <v>4</v>
      </c>
      <c r="I33" s="30" t="s">
        <v>128</v>
      </c>
      <c r="J33" s="30" t="s">
        <v>275</v>
      </c>
      <c r="K33" s="30" t="s">
        <v>276</v>
      </c>
      <c r="L33" s="30" t="s">
        <v>277</v>
      </c>
      <c r="M33" s="30" t="s">
        <v>278</v>
      </c>
      <c r="N33" s="30" t="s">
        <v>278</v>
      </c>
    </row>
    <row r="34" spans="1:14" s="24" customFormat="1" ht="68" outlineLevel="1">
      <c r="B34" s="102"/>
      <c r="C34" s="114"/>
      <c r="D34" s="129"/>
      <c r="E34" s="45" t="s">
        <v>279</v>
      </c>
      <c r="F34" s="57" t="s">
        <v>280</v>
      </c>
      <c r="G34" s="45" t="s">
        <v>281</v>
      </c>
      <c r="H34" s="36">
        <v>4</v>
      </c>
      <c r="I34" s="30" t="s">
        <v>282</v>
      </c>
      <c r="J34" s="30" t="s">
        <v>275</v>
      </c>
      <c r="K34" s="30" t="s">
        <v>283</v>
      </c>
      <c r="L34" s="30" t="s">
        <v>284</v>
      </c>
      <c r="M34" s="30" t="s">
        <v>285</v>
      </c>
      <c r="N34" s="30" t="s">
        <v>285</v>
      </c>
    </row>
    <row r="35" spans="1:14" s="24" customFormat="1" ht="102" outlineLevel="1">
      <c r="B35" s="102"/>
      <c r="C35" s="114"/>
      <c r="D35" s="117"/>
      <c r="E35" s="28" t="s">
        <v>286</v>
      </c>
      <c r="F35" s="48" t="s">
        <v>287</v>
      </c>
      <c r="G35" s="45" t="s">
        <v>288</v>
      </c>
      <c r="H35" s="36">
        <v>4</v>
      </c>
      <c r="I35" s="30" t="s">
        <v>128</v>
      </c>
      <c r="J35" s="30" t="s">
        <v>289</v>
      </c>
      <c r="K35" s="49" t="s">
        <v>290</v>
      </c>
      <c r="L35" s="49" t="s">
        <v>291</v>
      </c>
      <c r="M35" s="49" t="s">
        <v>292</v>
      </c>
      <c r="N35" s="49" t="s">
        <v>293</v>
      </c>
    </row>
    <row r="36" spans="1:14" s="24" customFormat="1" ht="170" outlineLevel="1">
      <c r="B36" s="102"/>
      <c r="C36" s="114"/>
      <c r="D36" s="103" t="s">
        <v>91</v>
      </c>
      <c r="E36" s="45" t="s">
        <v>294</v>
      </c>
      <c r="F36" s="28" t="s">
        <v>295</v>
      </c>
      <c r="G36" s="45" t="s">
        <v>296</v>
      </c>
      <c r="H36" s="36">
        <v>4</v>
      </c>
      <c r="I36" s="30" t="s">
        <v>128</v>
      </c>
      <c r="J36" s="30" t="s">
        <v>28</v>
      </c>
      <c r="K36" s="30" t="s">
        <v>297</v>
      </c>
      <c r="L36" s="30" t="s">
        <v>298</v>
      </c>
      <c r="M36" s="30" t="s">
        <v>298</v>
      </c>
      <c r="N36" s="30" t="s">
        <v>298</v>
      </c>
    </row>
    <row r="37" spans="1:14" s="24" customFormat="1" ht="85" outlineLevel="1">
      <c r="B37" s="102"/>
      <c r="C37" s="114"/>
      <c r="D37" s="117"/>
      <c r="E37" s="45" t="s">
        <v>299</v>
      </c>
      <c r="F37" s="28" t="s">
        <v>300</v>
      </c>
      <c r="G37" s="45" t="s">
        <v>301</v>
      </c>
      <c r="H37" s="43">
        <v>4</v>
      </c>
      <c r="I37" s="30" t="s">
        <v>181</v>
      </c>
      <c r="J37" s="30" t="s">
        <v>26</v>
      </c>
      <c r="K37" s="45" t="s">
        <v>302</v>
      </c>
      <c r="L37" s="45" t="s">
        <v>302</v>
      </c>
      <c r="M37" s="45" t="s">
        <v>302</v>
      </c>
      <c r="N37" s="45" t="s">
        <v>302</v>
      </c>
    </row>
    <row r="38" spans="1:14" s="24" customFormat="1" ht="119" outlineLevel="1">
      <c r="B38" s="102"/>
      <c r="C38" s="114"/>
      <c r="D38" s="45" t="s">
        <v>303</v>
      </c>
      <c r="E38" s="45" t="s">
        <v>304</v>
      </c>
      <c r="F38" s="28" t="s">
        <v>305</v>
      </c>
      <c r="G38" s="45" t="s">
        <v>306</v>
      </c>
      <c r="H38" s="36">
        <v>5</v>
      </c>
      <c r="I38" s="30" t="s">
        <v>128</v>
      </c>
      <c r="J38" s="30" t="s">
        <v>275</v>
      </c>
      <c r="K38" s="30" t="s">
        <v>307</v>
      </c>
      <c r="L38" s="30" t="s">
        <v>308</v>
      </c>
      <c r="M38" s="30" t="s">
        <v>308</v>
      </c>
      <c r="N38" s="30" t="s">
        <v>308</v>
      </c>
    </row>
    <row r="39" spans="1:14" ht="17">
      <c r="C39" s="58"/>
      <c r="D39" s="58"/>
      <c r="E39" s="58"/>
      <c r="F39" s="58"/>
      <c r="G39" s="58"/>
      <c r="H39" s="58"/>
      <c r="I39" s="58"/>
      <c r="J39" s="59"/>
      <c r="K39" s="59"/>
      <c r="L39" s="59"/>
      <c r="M39" s="59"/>
    </row>
    <row r="40" spans="1:14" s="64" customFormat="1" ht="37" thickBot="1">
      <c r="A40" s="60"/>
      <c r="B40" s="61"/>
      <c r="C40" s="62" t="s">
        <v>309</v>
      </c>
      <c r="D40" s="62"/>
      <c r="E40" s="63"/>
      <c r="F40" s="63"/>
      <c r="G40" s="63"/>
    </row>
    <row r="41" spans="1:14" s="24" customFormat="1" ht="15">
      <c r="A41" s="65"/>
      <c r="B41" s="66"/>
      <c r="C41" s="67" t="s">
        <v>310</v>
      </c>
      <c r="D41" s="68" t="s">
        <v>311</v>
      </c>
    </row>
    <row r="42" spans="1:14" s="24" customFormat="1" ht="15">
      <c r="A42" s="65"/>
      <c r="B42" s="66"/>
      <c r="C42" s="69" t="s">
        <v>312</v>
      </c>
      <c r="D42" s="70" t="s">
        <v>313</v>
      </c>
    </row>
    <row r="43" spans="1:14" s="24" customFormat="1" ht="15">
      <c r="A43" s="65"/>
      <c r="B43" s="66"/>
      <c r="C43" s="69" t="s">
        <v>314</v>
      </c>
      <c r="D43" s="70" t="s">
        <v>315</v>
      </c>
    </row>
    <row r="44" spans="1:14" s="24" customFormat="1" ht="15">
      <c r="A44" s="65"/>
      <c r="B44" s="66"/>
      <c r="C44" s="69" t="s">
        <v>316</v>
      </c>
      <c r="D44" s="70" t="s">
        <v>317</v>
      </c>
    </row>
    <row r="45" spans="1:14" s="24" customFormat="1" ht="15">
      <c r="A45" s="65"/>
      <c r="B45" s="66"/>
      <c r="C45" s="69" t="s">
        <v>318</v>
      </c>
      <c r="D45" s="70" t="s">
        <v>319</v>
      </c>
    </row>
    <row r="46" spans="1:14" s="24" customFormat="1" thickBot="1">
      <c r="A46" s="65"/>
      <c r="B46" s="66"/>
      <c r="C46" s="71" t="s">
        <v>320</v>
      </c>
      <c r="D46" s="72" t="s">
        <v>321</v>
      </c>
    </row>
    <row r="47" spans="1:14">
      <c r="C47" s="73"/>
      <c r="D47" s="73"/>
      <c r="E47" s="73"/>
      <c r="F47" s="73"/>
      <c r="G47" s="73"/>
    </row>
    <row r="48" spans="1:14">
      <c r="C48" s="73"/>
      <c r="D48" s="73"/>
      <c r="E48" s="73"/>
      <c r="F48" s="73"/>
      <c r="G48" s="73"/>
    </row>
  </sheetData>
  <mergeCells count="38">
    <mergeCell ref="C29:C32"/>
    <mergeCell ref="D29:D30"/>
    <mergeCell ref="D31:D32"/>
    <mergeCell ref="B33:B38"/>
    <mergeCell ref="C33:C38"/>
    <mergeCell ref="D33:D35"/>
    <mergeCell ref="D36:D37"/>
    <mergeCell ref="B29:B32"/>
    <mergeCell ref="B16:B28"/>
    <mergeCell ref="C16:C28"/>
    <mergeCell ref="D16:D17"/>
    <mergeCell ref="D18:E18"/>
    <mergeCell ref="D19:E19"/>
    <mergeCell ref="D20:E20"/>
    <mergeCell ref="D21:D22"/>
    <mergeCell ref="D24:E24"/>
    <mergeCell ref="D25:E25"/>
    <mergeCell ref="D26:D27"/>
    <mergeCell ref="D28:E28"/>
    <mergeCell ref="D5:E5"/>
    <mergeCell ref="K5:N5"/>
    <mergeCell ref="B6:B12"/>
    <mergeCell ref="C6:C15"/>
    <mergeCell ref="D6:D7"/>
    <mergeCell ref="D8:D9"/>
    <mergeCell ref="D10:E10"/>
    <mergeCell ref="D11:E11"/>
    <mergeCell ref="D13:D15"/>
    <mergeCell ref="C1:N1"/>
    <mergeCell ref="C2:N2"/>
    <mergeCell ref="C3:C4"/>
    <mergeCell ref="D3:E4"/>
    <mergeCell ref="F3:F4"/>
    <mergeCell ref="G3:G4"/>
    <mergeCell ref="H3:H4"/>
    <mergeCell ref="I3:I4"/>
    <mergeCell ref="J3:J4"/>
    <mergeCell ref="K3:N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11"/>
  <sheetViews>
    <sheetView workbookViewId="0">
      <selection activeCell="A11" sqref="A11"/>
    </sheetView>
  </sheetViews>
  <sheetFormatPr baseColWidth="10" defaultColWidth="9" defaultRowHeight="15"/>
  <cols>
    <col min="1" max="1" width="82.5" customWidth="1"/>
  </cols>
  <sheetData>
    <row r="1" spans="1:1">
      <c r="A1" t="s">
        <v>73</v>
      </c>
    </row>
    <row r="2" spans="1:1">
      <c r="A2" t="s">
        <v>27</v>
      </c>
    </row>
    <row r="3" spans="1:1">
      <c r="A3" t="s">
        <v>74</v>
      </c>
    </row>
    <row r="4" spans="1:1">
      <c r="A4" t="s">
        <v>24</v>
      </c>
    </row>
    <row r="5" spans="1:1">
      <c r="A5" t="s">
        <v>75</v>
      </c>
    </row>
    <row r="6" spans="1:1">
      <c r="A6" t="s">
        <v>76</v>
      </c>
    </row>
    <row r="7" spans="1:1">
      <c r="A7" t="s">
        <v>77</v>
      </c>
    </row>
    <row r="8" spans="1:1">
      <c r="A8" t="s">
        <v>78</v>
      </c>
    </row>
    <row r="9" spans="1:1">
      <c r="A9" t="s">
        <v>21</v>
      </c>
    </row>
    <row r="10" spans="1:1">
      <c r="A10" t="s">
        <v>79</v>
      </c>
    </row>
    <row r="11" spans="1:1">
      <c r="A11" t="s">
        <v>31</v>
      </c>
    </row>
  </sheetData>
  <phoneticPr fontId="10" type="noConversion"/>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D2D4EB3-2858-4CB4-9133-9EF7956A69D2}">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6</vt:i4>
      </vt:variant>
    </vt:vector>
  </HeadingPairs>
  <TitlesOfParts>
    <vt:vector size="12" baseType="lpstr">
      <vt:lpstr>Individual Timesheet</vt:lpstr>
      <vt:lpstr>Tag</vt:lpstr>
      <vt:lpstr>Exhibit I - Virtual Group</vt:lpstr>
      <vt:lpstr>Exhibit II - Internal Client</vt:lpstr>
      <vt:lpstr>Exhibit III - 2025 BSC items</vt:lpstr>
      <vt:lpstr>Exhibit IV - Work categories</vt:lpstr>
      <vt:lpstr>_BSC</vt:lpstr>
      <vt:lpstr>_Management</vt:lpstr>
      <vt:lpstr>_Non_CTD_兼岗</vt:lpstr>
      <vt:lpstr>_Others</vt:lpstr>
      <vt:lpstr>事项分类指定内容</vt:lpstr>
      <vt:lpstr>项目事项分类项目名称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H101226</cp:lastModifiedBy>
  <dcterms:created xsi:type="dcterms:W3CDTF">2024-05-07T02:03:00Z</dcterms:created>
  <dcterms:modified xsi:type="dcterms:W3CDTF">2025-04-01T04:43:04Z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EACA986CC3AD490889457F6E25FD4C5F_13</vt:lpwstr>
  </property>
  <property fmtid="{D5CDD505-2E9C-101B-9397-08002B2CF9AE}" pid="3" name="KSOProductBuildVer">
    <vt:lpwstr>2052-12.1.0.17147</vt:lpwstr>
  </property>
</Properties>
</file>