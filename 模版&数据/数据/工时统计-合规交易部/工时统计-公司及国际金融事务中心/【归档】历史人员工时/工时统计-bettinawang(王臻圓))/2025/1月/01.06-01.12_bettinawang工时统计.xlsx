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7EAAA3F2-2879-40A1-9B61-660D97A3F3B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<sst xmlns="http://schemas.openxmlformats.org/spreadsheetml/2006/main" count="379" uniqueCount="207">
  <si>
    <t>Weekly Work Record</t>
  </si>
  <si>
    <r>
      <rPr>
        <b/>
        <sz val="10"/>
        <color theme="0"/>
        <rFont val="新細明體"/>
        <family val="2"/>
        <scheme val="minor"/>
      </rPr>
      <t>Date: 202[</t>
    </r>
    <r>
      <rPr>
        <b/>
        <sz val="10"/>
        <color theme="0"/>
        <rFont val="等线"/>
        <family val="4"/>
        <charset val="134"/>
      </rPr>
      <t>·] - [·] - [·]</t>
    </r>
    <r>
      <rPr>
        <b/>
        <sz val="10"/>
        <color theme="0"/>
        <rFont val="新細明體"/>
        <family val="2"/>
        <scheme val="minor"/>
      </rPr>
      <t xml:space="preserve"> ~ 202[·] - [·] - [·] </t>
    </r>
  </si>
  <si>
    <t>Name</t>
  </si>
  <si>
    <t>Virtual Group</t>
  </si>
  <si>
    <t>Internal Client</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</si>
  <si>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</si>
  <si>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</si>
  <si>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</si>
  <si>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</si>
  <si>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</si>
  <si>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</si>
  <si>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</si>
  <si>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</si>
  <si>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</si>
  <si>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</si>
  <si>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</si>
  <si>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</si>
  <si>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</si>
  <si>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</si>
  <si>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</si>
  <si>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</si>
  <si>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</si>
  <si>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</si>
  <si>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</si>
  <si>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</si>
  <si>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</si>
  <si>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</si>
  <si>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</si>
  <si>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</si>
  <si>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</si>
  <si>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</si>
  <si>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</si>
  <si>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</si>
  <si>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</si>
  <si>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</si>
  <si>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</si>
  <si>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</si>
  <si>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</si>
  <si>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</si>
  <si>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</si>
  <si>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</si>
  <si>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</si>
  <si>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</si>
  <si>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</si>
  <si>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</si>
  <si>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</si>
  <si>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</si>
  <si>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</si>
  <si>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</si>
  <si>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</si>
  <si>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</si>
  <si>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</si>
  <si>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</si>
  <si>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</si>
  <si>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</si>
  <si>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</si>
  <si>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</si>
  <si>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</si>
  <si>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</si>
  <si>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</si>
  <si>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</si>
  <si>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</si>
  <si>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</si>
  <si>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</si>
  <si>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</si>
  <si>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</si>
  <si>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</si>
  <si>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</si>
  <si>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</si>
  <si>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</si>
  <si>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</si>
  <si>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</si>
  <si>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</si>
  <si>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</si>
  <si>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</si>
  <si>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</si>
  <si>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</si>
  <si>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</si>
  <si>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</si>
  <si>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</si>
  <si>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</si>
  <si>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</si>
  <si>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</si>
  <si>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</si>
  <si>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</si>
  <si>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</si>
  <si>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</si>
  <si>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</si>
  <si>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</si>
  <si>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</si>
  <si>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</si>
  <si>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</si>
  <si>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</si>
  <si>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</si>
  <si>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</si>
  <si>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</si>
  <si>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</si>
  <si>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</si>
  <si>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</si>
  <si>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</si>
  <si>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</si>
  <si>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</si>
  <si>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</si>
  <si>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</si>
  <si>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</si>
  <si>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</si>
  <si>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</si>
  <si>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</si>
  <si>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</si>
  <si>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</si>
  <si>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</si>
  <si>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</si>
  <si>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</si>
  <si>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</si>
  <si>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</si>
  <si>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</si>
  <si>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</si>
  <si>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</si>
  <si>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</si>
  <si>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</si>
  <si>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</si>
  <si>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</si>
  <si>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</si>
  <si>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</si>
  <si>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</si>
  <si>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</si>
  <si>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</si>
  <si>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</si>
  <si>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</si>
  <si>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</si>
  <si>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</si>
  <si>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</si>
  <si>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</si>
  <si>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</si>
  <si>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</si>
  <si>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</si>
  <si>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</si>
  <si>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</si>
  <si>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</si>
  <si>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</si>
  <si>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</si>
  <si>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</si>
  <si>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</si>
  <si>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</si>
  <si>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</si>
  <si>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</si>
  <si>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</si>
  <si>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</si>
  <si>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</si>
  <si>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</si>
  <si>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</si>
  <si>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</si>
  <si>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</si>
  <si>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</si>
  <si>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</si>
  <si>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</si>
  <si>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</si>
  <si>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</si>
  <si>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</si>
  <si>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</si>
  <si>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</si>
  <si>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</si>
  <si>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</si>
  <si>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</si>
  <si>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</si>
  <si>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</si>
  <si>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</si>
  <si>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</si>
  <si>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</si>
  <si>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</si>
  <si>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</si>
  <si>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</si>
  <si>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</si>
  <si>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</si>
  <si>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</si>
  <si>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</si>
  <si>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</si>
  <si>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</si>
  <si>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O</t>
  </si>
  <si>
    <t>Reviewing comments and amendments from Beyondsoft, drafting response and furher amendments to service agreement, liaising with HR and business teams on amendments</t>
  </si>
  <si>
    <t xml:space="preserve">timesheet entry </t>
  </si>
  <si>
    <t>Reviewing final version of service agreement with Beyondsoft, circulating comments to internal teams</t>
  </si>
  <si>
    <t xml:space="preserve">Reviewing adequacy of appointment letter as proof of employment </t>
  </si>
  <si>
    <t xml:space="preserve">Discussion on whether audited financial statement is necessary for company about to be deregistered, conducting analysis on the same and whether directors have authority after the company is deregistered </t>
  </si>
  <si>
    <t>Reviewing Consulting Service Agreement-IEG BD - SHUICHI MOTODA</t>
  </si>
  <si>
    <t>reviewing NZ Customs Registration and off-shore records letter for L&amp;Q Oasis, discussion with Liz and Jason on the purpose of this application</t>
  </si>
  <si>
    <t xml:space="preserve">review New Zealand Office's ISP Internet Services Upgrading Contract Renewal </t>
  </si>
  <si>
    <t>drafting and responding to Intern issues&amp;queries across APAC region</t>
  </si>
  <si>
    <t>review 海外猎头框架协议修改 and responding to amendments</t>
  </si>
  <si>
    <t>obtaining and submitted latest audited financial statements</t>
  </si>
  <si>
    <t>Conducting research and analysis on whether wet ink singature is necessary for deed of release, whether notice of termination requires acknowledgment from employees in Australia</t>
  </si>
  <si>
    <t>discussion with Martin Chiu and Act5 HR on liquidation and employee management after announcement of redundancy, discussing overall package and exit procedure for employees</t>
  </si>
  <si>
    <t>Reviewing Companies Ordinance and discussing with Kimcheng on continuing obligations for company in the process of de-registrastion</t>
  </si>
  <si>
    <t xml:space="preserve">completing BSC Q4 </t>
  </si>
  <si>
    <t>Discussion on severance package for HK employee and best method to conclude termination through mutual separation</t>
  </si>
  <si>
    <t>Drafting wordings to cerify true copy of documentation for L&amp;Q Auckland</t>
  </si>
  <si>
    <t>Discussion with IPDP and desiree on Japan employment agreement and the inclusion of specific personal information on employees</t>
  </si>
  <si>
    <t xml:space="preserve">Discussion with HK HR on the application of company chops for the use of HR, reviewing application and language </t>
  </si>
  <si>
    <t>Reviewing POA draft for L&amp;Q Oasis Limited, Proxima Delta FZ-LLC, Proxima Beta Pakistan (Private) Limited and Proxima Beta Egypt</t>
  </si>
  <si>
    <t xml:space="preserve">Discussion and analysis on TCI and First App Holdings Limited as contracting entity of cloud / voov meeting product in HK and worldwide </t>
  </si>
  <si>
    <t>Discussion with Monicali on APAC internship questions and responses, research on follow up queries from HR, responding to Monicali on follow up questions</t>
  </si>
  <si>
    <t>reviewing 印度尼西亚主体 PT Kite Bird Indonesia SOW for payroll services, commenting on terms, negotiating with vendor</t>
  </si>
  <si>
    <t xml:space="preserve">drafting documentation for the transfer of HK employees from one employing entity to another, drafting communication to employees on the same issue, discussion with HR on the transfer process and handling of communication, preparing FAQ template </t>
  </si>
  <si>
    <t>drafting amendment contract for changes to service agreement with payroll vendor (indonesia), reviewing proposed changes from payroll vendor and discussion with HR (Rosieluo) on the amendments</t>
  </si>
  <si>
    <t>review OTL PT Tencent Technology Indonesia Office Lease Renewal Contract - PT Grand Indonesia</t>
  </si>
  <si>
    <t>preparing communicatoin notes for message to employees regarding the transfer of employing entity in HK</t>
  </si>
  <si>
    <t>bettinawang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</si>
</sst>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i/>
      <sz val="10"/>
      <color theme="4" tint="-0.499984740745262"/>
      <name val="新細明體"/>
      <family val="2"/>
      <scheme val="minor"/>
    </font>
    <font>
      <sz val="9"/>
      <name val="新細明體"/>
      <family val="3"/>
      <charset val="136"/>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6">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ck">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thick">
        <color auto="1"/>
      </right>
      <top style="thin">
        <color auto="1"/>
      </top>
      <bottom/>
      <diagonal/>
    </border>
  </borders>
  <cellStyleXfs count="1">
    <xf numFmtId="0" fontId="0" fillId="0" borderId="0">
      <alignment vertical="center"/>
    </xf>
  </cellStyleXfs>
  <cellXfs count="72">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3" fillId="6" borderId="21" xfId="0" applyFont="1" applyFill="1" applyBorder="1">
      <alignment vertical="center"/>
    </xf>
    <xf numFmtId="0" fontId="13" fillId="6" borderId="22" xfId="0" applyFont="1" applyFill="1" applyBorder="1" applyAlignment="1">
      <alignment vertical="center" wrapText="1"/>
    </xf>
    <xf numFmtId="0" fontId="13" fillId="6" borderId="23" xfId="0" applyFont="1" applyFill="1" applyBorder="1">
      <alignment vertical="center"/>
    </xf>
    <xf numFmtId="0" fontId="13" fillId="6" borderId="22" xfId="0" applyFont="1" applyFill="1" applyBorder="1">
      <alignment vertical="center"/>
    </xf>
    <xf numFmtId="177" fontId="13" fillId="6" borderId="24" xfId="0" applyNumberFormat="1" applyFont="1" applyFill="1" applyBorder="1" applyAlignment="1">
      <alignment horizontal="center" vertical="center"/>
    </xf>
    <xf numFmtId="0" fontId="18" fillId="6" borderId="25" xfId="0" applyFont="1" applyFill="1" applyBorder="1" applyAlignment="1">
      <alignment vertical="center" wrapText="1"/>
    </xf>
    <xf numFmtId="16" fontId="8" fillId="0" borderId="0" xfId="0" applyNumberFormat="1" applyFont="1">
      <alignment vertical="center"/>
    </xf>
    <xf numFmtId="0" fontId="8" fillId="7" borderId="0" xfId="0" applyFont="1" applyFill="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12" zoomScale="82" zoomScaleNormal="85" workbookViewId="0">
      <selection activeCell="O29" sqref="O29"/>
    </sheetView>
  </sheetViews>
  <sheetFormatPr defaultColWidth="9" defaultRowHeight="14.5"/>
  <cols>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s>
  <sheetData>
    <row r="1" spans="1:9" ht="17">
      <c r="B1" s="44" t="s">
        <v>0</v>
      </c>
      <c r="C1" s="45"/>
      <c r="D1" s="45"/>
      <c r="E1" s="45"/>
      <c r="F1" s="45"/>
      <c r="G1" s="45"/>
      <c r="H1" s="45"/>
      <c r="I1" s="45"/>
    </row>
    <row r="2" spans="1:9" ht="17">
      <c r="B2" s="46"/>
      <c r="C2" s="47"/>
      <c r="D2" s="47"/>
      <c r="E2" s="47"/>
      <c r="F2" s="47"/>
      <c r="G2" s="47"/>
      <c r="H2" s="47"/>
      <c r="I2" s="32" t="s">
        <v>1</v>
      </c>
    </row>
    <row r="3" spans="1:9">
      <c r="B3" s="22" t="s">
        <v>2</v>
      </c>
      <c r="C3" s="23" t="s">
        <v>3</v>
      </c>
      <c r="D3" s="23" t="s">
        <v>4</v>
      </c>
      <c r="E3" s="23" t="s">
        <v>178</v>
      </c>
      <c r="F3" s="23" t="s">
        <v>5</v>
      </c>
      <c r="G3" s="23" t="s">
        <v>6</v>
      </c>
      <c r="H3" s="23" t="s">
        <v>7</v>
      </c>
      <c r="I3" s="33" t="s">
        <v>8</v>
      </c>
    </row>
    <row r="4" spans="1:9" s="21" customFormat="1" ht="294" customHeight="1">
      <c r="A4" s="24" t="s">
        <v>9</v>
      </c>
      <c r="B4" s="25" t="s">
        <v>10</v>
      </c>
      <c r="C4" s="26" t="s">
        <v>11</v>
      </c>
      <c r="D4" s="26" t="s">
        <v>12</v>
      </c>
      <c r="E4" s="26" t="s">
        <v>13</v>
      </c>
      <c r="F4" s="26" t="s">
        <v>14</v>
      </c>
      <c r="G4" s="26" t="s">
        <v>15</v>
      </c>
      <c r="H4" s="26" t="s">
        <v>16</v>
      </c>
      <c r="I4" s="34" t="s">
        <v>17</v>
      </c>
    </row>
    <row r="5" spans="1:9" s="21" customFormat="1" ht="54">
      <c r="A5" s="42"/>
      <c r="B5" s="27" t="s">
        <v>206</v>
      </c>
      <c r="C5" s="28" t="s">
        <v>27</v>
      </c>
      <c r="D5" s="29" t="s">
        <v>28</v>
      </c>
      <c r="E5" s="29" t="s">
        <v>25</v>
      </c>
      <c r="F5" s="28" t="s">
        <v>51</v>
      </c>
      <c r="G5" s="30">
        <v>2.9</v>
      </c>
      <c r="H5" s="28" t="s">
        <v>169</v>
      </c>
      <c r="I5" s="35" t="s">
        <v>179</v>
      </c>
    </row>
    <row r="6" spans="1:9" s="21" customFormat="1" ht="27">
      <c r="B6" s="27" t="s">
        <v>206</v>
      </c>
      <c r="C6" s="28" t="s">
        <v>27</v>
      </c>
      <c r="D6" s="29" t="s">
        <v>28</v>
      </c>
      <c r="E6" s="29" t="s">
        <v>25</v>
      </c>
      <c r="F6" s="28" t="s">
        <v>53</v>
      </c>
      <c r="G6" s="30">
        <v>1.2</v>
      </c>
      <c r="H6" s="28" t="s">
        <v>169</v>
      </c>
      <c r="I6" s="35" t="s">
        <v>181</v>
      </c>
    </row>
    <row r="7" spans="1:9" s="21" customFormat="1" ht="54">
      <c r="A7" s="42"/>
      <c r="B7" s="27" t="s">
        <v>206</v>
      </c>
      <c r="C7" s="28" t="s">
        <v>63</v>
      </c>
      <c r="D7" s="29" t="s">
        <v>68</v>
      </c>
      <c r="E7" s="29" t="s">
        <v>25</v>
      </c>
      <c r="F7" s="28" t="s">
        <v>53</v>
      </c>
      <c r="G7" s="30">
        <v>1.2</v>
      </c>
      <c r="H7" s="28" t="s">
        <v>30</v>
      </c>
      <c r="I7" s="35" t="s">
        <v>183</v>
      </c>
    </row>
    <row r="8" spans="1:9" s="21" customFormat="1" ht="27">
      <c r="A8" s="42"/>
      <c r="B8" s="27" t="s">
        <v>206</v>
      </c>
      <c r="C8" s="28" t="s">
        <v>27</v>
      </c>
      <c r="D8" s="29" t="s">
        <v>28</v>
      </c>
      <c r="E8" s="29" t="s">
        <v>25</v>
      </c>
      <c r="F8" s="28" t="s">
        <v>53</v>
      </c>
      <c r="G8" s="30">
        <v>0.9</v>
      </c>
      <c r="H8" s="28" t="s">
        <v>169</v>
      </c>
      <c r="I8" s="35" t="s">
        <v>182</v>
      </c>
    </row>
    <row r="9" spans="1:9" s="21" customFormat="1" ht="27">
      <c r="A9" s="42"/>
      <c r="B9" s="27" t="s">
        <v>206</v>
      </c>
      <c r="C9" s="28" t="s">
        <v>63</v>
      </c>
      <c r="D9" s="29" t="s">
        <v>67</v>
      </c>
      <c r="E9" s="29" t="s">
        <v>25</v>
      </c>
      <c r="F9" s="28" t="s">
        <v>53</v>
      </c>
      <c r="G9" s="30">
        <v>1</v>
      </c>
      <c r="H9" s="28" t="s">
        <v>169</v>
      </c>
      <c r="I9" s="35" t="s">
        <v>186</v>
      </c>
    </row>
    <row r="10" spans="1:9" s="21" customFormat="1" ht="27">
      <c r="A10" s="42"/>
      <c r="B10" s="27" t="s">
        <v>206</v>
      </c>
      <c r="C10" s="28" t="s">
        <v>27</v>
      </c>
      <c r="D10" s="29" t="s">
        <v>28</v>
      </c>
      <c r="E10" s="29" t="s">
        <v>25</v>
      </c>
      <c r="F10" s="28" t="s">
        <v>53</v>
      </c>
      <c r="G10" s="30">
        <v>1.3</v>
      </c>
      <c r="H10" s="28" t="s">
        <v>169</v>
      </c>
      <c r="I10" s="35" t="s">
        <v>184</v>
      </c>
    </row>
    <row r="11" spans="1:9" s="21" customFormat="1" ht="40.5">
      <c r="A11" s="42"/>
      <c r="B11" s="27" t="s">
        <v>206</v>
      </c>
      <c r="C11" s="28" t="s">
        <v>27</v>
      </c>
      <c r="D11" s="29" t="s">
        <v>28</v>
      </c>
      <c r="E11" s="29" t="s">
        <v>25</v>
      </c>
      <c r="F11" s="28" t="s">
        <v>53</v>
      </c>
      <c r="G11" s="43">
        <v>1.2</v>
      </c>
      <c r="H11" s="28" t="s">
        <v>169</v>
      </c>
      <c r="I11" s="35" t="s">
        <v>185</v>
      </c>
    </row>
    <row r="12" spans="1:9" s="21" customFormat="1" ht="27">
      <c r="A12" s="42"/>
      <c r="B12" s="27" t="s">
        <v>206</v>
      </c>
      <c r="C12" s="28" t="s">
        <v>27</v>
      </c>
      <c r="D12" s="29" t="s">
        <v>28</v>
      </c>
      <c r="E12" s="29" t="s">
        <v>25</v>
      </c>
      <c r="F12" s="28" t="s">
        <v>53</v>
      </c>
      <c r="G12" s="30">
        <v>1.7</v>
      </c>
      <c r="H12" s="28" t="s">
        <v>169</v>
      </c>
      <c r="I12" s="35" t="s">
        <v>187</v>
      </c>
    </row>
    <row r="13" spans="1:9" s="21" customFormat="1" ht="40.5">
      <c r="A13" s="42"/>
      <c r="B13" s="27" t="s">
        <v>206</v>
      </c>
      <c r="C13" s="28" t="s">
        <v>63</v>
      </c>
      <c r="D13" s="29" t="s">
        <v>68</v>
      </c>
      <c r="E13" s="29" t="s">
        <v>25</v>
      </c>
      <c r="F13" s="28" t="s">
        <v>53</v>
      </c>
      <c r="G13" s="30">
        <v>0.8</v>
      </c>
      <c r="H13" s="28" t="s">
        <v>169</v>
      </c>
      <c r="I13" s="35" t="s">
        <v>192</v>
      </c>
    </row>
    <row r="14" spans="1:9" s="21" customFormat="1" ht="27">
      <c r="B14" s="27" t="s">
        <v>206</v>
      </c>
      <c r="C14" s="28" t="s">
        <v>27</v>
      </c>
      <c r="D14" s="29" t="s">
        <v>28</v>
      </c>
      <c r="E14" s="29" t="s">
        <v>25</v>
      </c>
      <c r="F14" s="28" t="s">
        <v>53</v>
      </c>
      <c r="G14" s="30">
        <v>1.6</v>
      </c>
      <c r="H14" s="28" t="s">
        <v>169</v>
      </c>
      <c r="I14" s="35" t="s">
        <v>188</v>
      </c>
    </row>
    <row r="15" spans="1:9" s="21" customFormat="1" ht="27">
      <c r="A15" s="42"/>
      <c r="B15" s="27" t="s">
        <v>206</v>
      </c>
      <c r="C15" s="28" t="s">
        <v>63</v>
      </c>
      <c r="D15" s="29" t="s">
        <v>71</v>
      </c>
      <c r="E15" s="29" t="s">
        <v>25</v>
      </c>
      <c r="F15" s="28" t="s">
        <v>53</v>
      </c>
      <c r="G15" s="30">
        <v>0.5</v>
      </c>
      <c r="H15" s="28" t="s">
        <v>169</v>
      </c>
      <c r="I15" s="35" t="s">
        <v>189</v>
      </c>
    </row>
    <row r="16" spans="1:9" s="21" customFormat="1" ht="54">
      <c r="A16" s="42"/>
      <c r="B16" s="27" t="s">
        <v>206</v>
      </c>
      <c r="C16" s="28" t="s">
        <v>27</v>
      </c>
      <c r="D16" s="29" t="s">
        <v>28</v>
      </c>
      <c r="E16" s="29" t="s">
        <v>25</v>
      </c>
      <c r="F16" s="28" t="s">
        <v>53</v>
      </c>
      <c r="G16" s="30">
        <v>1</v>
      </c>
      <c r="H16" s="28" t="s">
        <v>30</v>
      </c>
      <c r="I16" s="35" t="s">
        <v>191</v>
      </c>
    </row>
    <row r="17" spans="1:9" s="21" customFormat="1" ht="40.5">
      <c r="A17" s="42"/>
      <c r="B17" s="27" t="s">
        <v>206</v>
      </c>
      <c r="C17" s="28" t="s">
        <v>27</v>
      </c>
      <c r="D17" s="29" t="s">
        <v>28</v>
      </c>
      <c r="E17" s="29" t="s">
        <v>25</v>
      </c>
      <c r="F17" s="28" t="s">
        <v>53</v>
      </c>
      <c r="G17" s="30">
        <v>1.8</v>
      </c>
      <c r="H17" s="28" t="s">
        <v>30</v>
      </c>
      <c r="I17" s="35" t="s">
        <v>194</v>
      </c>
    </row>
    <row r="18" spans="1:9" s="21" customFormat="1" ht="27">
      <c r="A18" s="42"/>
      <c r="B18" s="27" t="s">
        <v>206</v>
      </c>
      <c r="C18" s="28" t="s">
        <v>63</v>
      </c>
      <c r="D18" s="29" t="s">
        <v>68</v>
      </c>
      <c r="E18" s="29" t="s">
        <v>25</v>
      </c>
      <c r="F18" s="28" t="s">
        <v>53</v>
      </c>
      <c r="G18" s="30">
        <v>1.2</v>
      </c>
      <c r="H18" s="28" t="s">
        <v>169</v>
      </c>
      <c r="I18" s="35" t="s">
        <v>195</v>
      </c>
    </row>
    <row r="19" spans="1:9" s="21" customFormat="1" ht="40.5">
      <c r="A19" s="42"/>
      <c r="B19" s="27" t="s">
        <v>206</v>
      </c>
      <c r="C19" s="28" t="s">
        <v>27</v>
      </c>
      <c r="D19" s="29" t="s">
        <v>28</v>
      </c>
      <c r="E19" s="29" t="s">
        <v>25</v>
      </c>
      <c r="F19" s="28" t="s">
        <v>53</v>
      </c>
      <c r="G19" s="30">
        <v>0.7</v>
      </c>
      <c r="H19" s="28" t="s">
        <v>30</v>
      </c>
      <c r="I19" s="35" t="s">
        <v>196</v>
      </c>
    </row>
    <row r="20" spans="1:9" s="21" customFormat="1" ht="40.5">
      <c r="A20" s="42"/>
      <c r="B20" s="27" t="s">
        <v>206</v>
      </c>
      <c r="C20" s="28" t="s">
        <v>27</v>
      </c>
      <c r="D20" s="29" t="s">
        <v>28</v>
      </c>
      <c r="E20" s="29" t="s">
        <v>25</v>
      </c>
      <c r="F20" s="28" t="s">
        <v>53</v>
      </c>
      <c r="G20" s="30">
        <v>1.2</v>
      </c>
      <c r="H20" s="28" t="s">
        <v>30</v>
      </c>
      <c r="I20" s="35" t="s">
        <v>197</v>
      </c>
    </row>
    <row r="21" spans="1:9" s="21" customFormat="1" ht="40.5">
      <c r="A21" s="42"/>
      <c r="B21" s="27" t="s">
        <v>206</v>
      </c>
      <c r="C21" s="28" t="s">
        <v>63</v>
      </c>
      <c r="D21" s="29" t="s">
        <v>68</v>
      </c>
      <c r="E21" s="29" t="s">
        <v>25</v>
      </c>
      <c r="F21" s="28" t="s">
        <v>53</v>
      </c>
      <c r="G21" s="30">
        <v>1.5</v>
      </c>
      <c r="H21" s="28" t="s">
        <v>169</v>
      </c>
      <c r="I21" s="35" t="s">
        <v>198</v>
      </c>
    </row>
    <row r="22" spans="1:9" s="21" customFormat="1" ht="40.5">
      <c r="A22" s="42"/>
      <c r="B22" s="27" t="s">
        <v>206</v>
      </c>
      <c r="C22" s="28" t="s">
        <v>63</v>
      </c>
      <c r="D22" s="29" t="s">
        <v>70</v>
      </c>
      <c r="E22" s="29" t="s">
        <v>25</v>
      </c>
      <c r="F22" s="28" t="s">
        <v>53</v>
      </c>
      <c r="G22" s="30">
        <v>1.8</v>
      </c>
      <c r="H22" s="28" t="s">
        <v>30</v>
      </c>
      <c r="I22" s="35" t="s">
        <v>199</v>
      </c>
    </row>
    <row r="23" spans="1:9" s="21" customFormat="1" ht="40.5">
      <c r="A23" s="42"/>
      <c r="B23" s="27" t="s">
        <v>206</v>
      </c>
      <c r="C23" s="28" t="s">
        <v>27</v>
      </c>
      <c r="D23" s="29" t="s">
        <v>28</v>
      </c>
      <c r="E23" s="29" t="s">
        <v>25</v>
      </c>
      <c r="F23" s="28" t="s">
        <v>53</v>
      </c>
      <c r="G23" s="30">
        <v>1.7</v>
      </c>
      <c r="H23" s="28" t="s">
        <v>169</v>
      </c>
      <c r="I23" s="35" t="s">
        <v>201</v>
      </c>
    </row>
    <row r="24" spans="1:9" s="21" customFormat="1" ht="54">
      <c r="A24" s="42"/>
      <c r="B24" s="27" t="s">
        <v>206</v>
      </c>
      <c r="C24" s="28" t="s">
        <v>27</v>
      </c>
      <c r="D24" s="29" t="s">
        <v>28</v>
      </c>
      <c r="E24" s="29" t="s">
        <v>25</v>
      </c>
      <c r="F24" s="28" t="s">
        <v>53</v>
      </c>
      <c r="G24" s="30">
        <v>2.1</v>
      </c>
      <c r="H24" s="28" t="s">
        <v>30</v>
      </c>
      <c r="I24" s="35" t="s">
        <v>200</v>
      </c>
    </row>
    <row r="25" spans="1:9" s="21" customFormat="1" ht="67.5">
      <c r="A25" s="42"/>
      <c r="B25" s="27" t="s">
        <v>206</v>
      </c>
      <c r="C25" s="28" t="s">
        <v>27</v>
      </c>
      <c r="D25" s="29" t="s">
        <v>28</v>
      </c>
      <c r="E25" s="29" t="s">
        <v>25</v>
      </c>
      <c r="F25" s="28" t="s">
        <v>53</v>
      </c>
      <c r="G25" s="30">
        <v>2.5</v>
      </c>
      <c r="H25" s="28" t="s">
        <v>169</v>
      </c>
      <c r="I25" s="35" t="s">
        <v>202</v>
      </c>
    </row>
    <row r="26" spans="1:9" s="21" customFormat="1" ht="27">
      <c r="A26" s="42"/>
      <c r="B26" s="27" t="s">
        <v>206</v>
      </c>
      <c r="C26" s="28" t="s">
        <v>63</v>
      </c>
      <c r="D26" s="29" t="s">
        <v>67</v>
      </c>
      <c r="E26" s="29" t="s">
        <v>25</v>
      </c>
      <c r="F26" s="28" t="s">
        <v>53</v>
      </c>
      <c r="G26" s="30">
        <v>1.3</v>
      </c>
      <c r="H26" s="28" t="s">
        <v>169</v>
      </c>
      <c r="I26" s="35" t="s">
        <v>204</v>
      </c>
    </row>
    <row r="27" spans="1:9" s="21" customFormat="1" ht="40.5">
      <c r="A27" s="42"/>
      <c r="B27" s="27" t="s">
        <v>206</v>
      </c>
      <c r="C27" s="28" t="s">
        <v>27</v>
      </c>
      <c r="D27" s="29" t="s">
        <v>28</v>
      </c>
      <c r="E27" s="29" t="s">
        <v>25</v>
      </c>
      <c r="F27" s="28" t="s">
        <v>53</v>
      </c>
      <c r="G27" s="30">
        <v>1.2</v>
      </c>
      <c r="H27" s="28" t="s">
        <v>169</v>
      </c>
      <c r="I27" s="35" t="s">
        <v>205</v>
      </c>
    </row>
    <row r="28" spans="1:9" s="21" customFormat="1" ht="27">
      <c r="A28" s="42"/>
      <c r="B28" s="27" t="s">
        <v>206</v>
      </c>
      <c r="C28" s="28" t="s">
        <v>27</v>
      </c>
      <c r="D28" s="29" t="s">
        <v>28</v>
      </c>
      <c r="E28" s="29" t="s">
        <v>25</v>
      </c>
      <c r="F28" s="28" t="s">
        <v>53</v>
      </c>
      <c r="G28" s="30">
        <v>1.1000000000000001</v>
      </c>
      <c r="H28" s="28" t="s">
        <v>169</v>
      </c>
      <c r="I28" s="35" t="s">
        <v>186</v>
      </c>
    </row>
    <row r="29" spans="1:9" s="21" customFormat="1" ht="54">
      <c r="A29" s="42"/>
      <c r="B29" s="27" t="s">
        <v>206</v>
      </c>
      <c r="C29" s="28" t="s">
        <v>27</v>
      </c>
      <c r="D29" s="29" t="s">
        <v>28</v>
      </c>
      <c r="E29" s="29" t="s">
        <v>25</v>
      </c>
      <c r="F29" s="28" t="s">
        <v>53</v>
      </c>
      <c r="G29" s="30">
        <v>1.7</v>
      </c>
      <c r="H29" s="28" t="s">
        <v>169</v>
      </c>
      <c r="I29" s="35" t="s">
        <v>203</v>
      </c>
    </row>
    <row r="30" spans="1:9" s="21" customFormat="1" ht="54">
      <c r="A30" s="42"/>
      <c r="B30" s="27" t="s">
        <v>206</v>
      </c>
      <c r="C30" s="28" t="s">
        <v>27</v>
      </c>
      <c r="D30" s="29" t="s">
        <v>28</v>
      </c>
      <c r="E30" s="29" t="s">
        <v>25</v>
      </c>
      <c r="F30" s="28" t="s">
        <v>53</v>
      </c>
      <c r="G30" s="30">
        <v>1.3</v>
      </c>
      <c r="H30" s="28" t="s">
        <v>26</v>
      </c>
      <c r="I30" s="35" t="s">
        <v>190</v>
      </c>
    </row>
    <row r="31" spans="1:9" s="21" customFormat="1" ht="27">
      <c r="B31" s="27" t="s">
        <v>206</v>
      </c>
      <c r="C31" s="28" t="s">
        <v>31</v>
      </c>
      <c r="D31" s="29" t="s">
        <v>35</v>
      </c>
      <c r="E31" s="29" t="s">
        <v>37</v>
      </c>
      <c r="F31" s="28" t="s">
        <v>49</v>
      </c>
      <c r="G31" s="30">
        <v>1.8</v>
      </c>
      <c r="H31" s="28" t="s">
        <v>169</v>
      </c>
      <c r="I31" s="35" t="s">
        <v>180</v>
      </c>
    </row>
    <row r="32" spans="1:9" s="21" customFormat="1" ht="27">
      <c r="A32" s="42"/>
      <c r="B32" s="27" t="s">
        <v>206</v>
      </c>
      <c r="C32" s="28" t="s">
        <v>31</v>
      </c>
      <c r="D32" s="29" t="s">
        <v>35</v>
      </c>
      <c r="E32" s="29" t="s">
        <v>37</v>
      </c>
      <c r="F32" s="28" t="s">
        <v>49</v>
      </c>
      <c r="G32" s="30">
        <v>0.8</v>
      </c>
      <c r="H32" s="28" t="s">
        <v>169</v>
      </c>
      <c r="I32" s="35" t="s">
        <v>193</v>
      </c>
    </row>
    <row r="33" spans="1:9" s="21" customFormat="1" ht="13.5">
      <c r="A33" s="42"/>
      <c r="B33" s="27"/>
      <c r="C33" s="28"/>
      <c r="D33" s="29"/>
      <c r="E33" s="29"/>
      <c r="F33" s="28"/>
      <c r="G33" s="30"/>
      <c r="H33" s="28"/>
      <c r="I33" s="35"/>
    </row>
    <row r="34" spans="1:9" s="21" customFormat="1" ht="13.5">
      <c r="B34" s="27"/>
      <c r="C34" s="28"/>
      <c r="D34" s="29"/>
      <c r="E34" s="29"/>
      <c r="F34" s="28"/>
      <c r="G34" s="30"/>
      <c r="H34" s="28"/>
      <c r="I34" s="35"/>
    </row>
    <row r="35" spans="1:9" s="21" customFormat="1" ht="13.5">
      <c r="B35" s="27"/>
      <c r="C35" s="28"/>
      <c r="D35" s="29"/>
      <c r="E35" s="29"/>
      <c r="F35" s="28"/>
      <c r="G35" s="30"/>
      <c r="H35" s="28"/>
      <c r="I35" s="35"/>
    </row>
    <row r="36" spans="1:9" s="21" customFormat="1" ht="13.5">
      <c r="B36" s="27"/>
      <c r="C36" s="28"/>
      <c r="D36" s="29"/>
      <c r="E36" s="29"/>
      <c r="F36" s="28"/>
      <c r="G36" s="30"/>
      <c r="H36" s="28"/>
      <c r="I36" s="35"/>
    </row>
    <row r="37" spans="1:9" s="21" customFormat="1" ht="13.5">
      <c r="B37" s="27"/>
      <c r="C37" s="28"/>
      <c r="D37" s="29"/>
      <c r="E37" s="29"/>
      <c r="F37" s="28"/>
      <c r="G37" s="30"/>
      <c r="H37" s="28"/>
      <c r="I37" s="35"/>
    </row>
    <row r="38" spans="1:9" s="21" customFormat="1" ht="13.5">
      <c r="B38" s="27"/>
      <c r="C38" s="28"/>
      <c r="D38" s="29"/>
      <c r="E38" s="29"/>
      <c r="F38" s="28"/>
      <c r="G38" s="30"/>
      <c r="H38" s="28"/>
      <c r="I38" s="35"/>
    </row>
    <row r="39" spans="1:9" s="21" customFormat="1" ht="13.5">
      <c r="A39" s="42"/>
      <c r="B39" s="27"/>
      <c r="C39" s="28"/>
      <c r="D39" s="29"/>
      <c r="E39" s="29"/>
      <c r="F39" s="28"/>
      <c r="G39" s="30"/>
      <c r="H39" s="28"/>
      <c r="I39" s="35"/>
    </row>
    <row r="40" spans="1:9" s="21" customFormat="1" ht="13.5">
      <c r="B40" s="36"/>
      <c r="C40" s="37"/>
      <c r="D40" s="38"/>
      <c r="E40" s="39"/>
      <c r="F40" s="37"/>
      <c r="G40" s="40"/>
      <c r="H40" s="37"/>
      <c r="I40" s="41"/>
    </row>
    <row r="41" spans="1:9" s="21" customFormat="1" ht="14.5" customHeight="1">
      <c r="B41" s="48" t="s">
        <v>36</v>
      </c>
      <c r="C41" s="49"/>
      <c r="D41" s="50"/>
      <c r="E41" s="31"/>
      <c r="F41" s="31"/>
      <c r="G41" s="51">
        <f>SUM(G5:G40)</f>
        <v>38.999999999999993</v>
      </c>
      <c r="H41" s="52"/>
      <c r="I41" s="53"/>
    </row>
  </sheetData>
  <mergeCells count="4">
    <mergeCell ref="B1:I1"/>
    <mergeCell ref="B2:H2"/>
    <mergeCell ref="B41:D41"/>
    <mergeCell ref="G41:I41"/>
  </mergeCells>
  <phoneticPr fontId="19" type="noConversion"/>
  <dataValidations count="3">
    <dataValidation type="list" allowBlank="1" showInputMessage="1" showErrorMessage="1" sqref="F5:F40" xr:uid="{00000000-0002-0000-0000-000002000000}">
      <formula1>INDIRECT($E5)</formula1>
    </dataValidation>
    <dataValidation type="list" errorStyle="warning" allowBlank="1" sqref="C5:C40" xr:uid="{00000000-0002-0000-0000-000005000000}">
      <formula1>项目事项分类项目名称</formula1>
    </dataValidation>
    <dataValidation type="list" allowBlank="1" showInputMessage="1" showErrorMessage="1" sqref="H5:H4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D5:D40</xm:sqref>
        </x14:dataValidation>
        <x14:dataValidation type="list" allowBlank="1" showInputMessage="1" showErrorMessage="1" xr:uid="{00000000-0002-0000-0000-000007000000}">
          <x14:formula1>
            <xm:f>Tag!$B$2:$F$2</xm:f>
          </x14:formula1>
          <xm:sqref>E5:E40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8" t="s">
        <v>80</v>
      </c>
      <c r="B1" s="61" t="s">
        <v>81</v>
      </c>
      <c r="C1" s="54" t="s">
        <v>82</v>
      </c>
      <c r="D1" s="54" t="s">
        <v>83</v>
      </c>
      <c r="E1" s="54" t="s">
        <v>84</v>
      </c>
      <c r="F1" s="54" t="s">
        <v>85</v>
      </c>
      <c r="G1" s="69" t="s">
        <v>86</v>
      </c>
      <c r="H1" s="70"/>
      <c r="I1" s="70"/>
      <c r="J1" s="71"/>
      <c r="K1" s="65" t="s">
        <v>87</v>
      </c>
      <c r="L1" s="54" t="s">
        <v>88</v>
      </c>
      <c r="M1" s="14"/>
      <c r="N1" s="14"/>
      <c r="O1" s="14"/>
      <c r="P1" s="14"/>
    </row>
    <row r="2" spans="1:16">
      <c r="A2" s="58"/>
      <c r="B2" s="62"/>
      <c r="C2" s="55"/>
      <c r="D2" s="55"/>
      <c r="E2" s="55"/>
      <c r="F2" s="55"/>
      <c r="G2" s="2" t="s">
        <v>89</v>
      </c>
      <c r="H2" s="2" t="s">
        <v>90</v>
      </c>
      <c r="I2" s="2" t="s">
        <v>91</v>
      </c>
      <c r="J2" s="2" t="s">
        <v>92</v>
      </c>
      <c r="K2" s="66"/>
      <c r="L2" s="55"/>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9"/>
      <c r="B6" s="63" t="s">
        <v>123</v>
      </c>
      <c r="C6" s="9" t="s">
        <v>124</v>
      </c>
      <c r="D6" s="5" t="s">
        <v>125</v>
      </c>
      <c r="E6" s="56" t="s">
        <v>126</v>
      </c>
      <c r="F6" s="4" t="s">
        <v>127</v>
      </c>
      <c r="G6" s="4" t="s">
        <v>128</v>
      </c>
      <c r="H6" s="4" t="s">
        <v>129</v>
      </c>
      <c r="I6" s="4" t="s">
        <v>130</v>
      </c>
      <c r="J6" s="4" t="s">
        <v>131</v>
      </c>
      <c r="K6" s="13">
        <v>4</v>
      </c>
      <c r="L6" s="4" t="s">
        <v>132</v>
      </c>
      <c r="M6" s="15"/>
      <c r="N6" s="14"/>
      <c r="O6" s="14"/>
      <c r="P6" s="14"/>
    </row>
    <row r="7" spans="1:16" ht="148.5">
      <c r="A7" s="59"/>
      <c r="B7" s="64"/>
      <c r="C7" s="9" t="s">
        <v>133</v>
      </c>
      <c r="D7" s="5" t="s">
        <v>134</v>
      </c>
      <c r="E7" s="57"/>
      <c r="F7" s="4" t="s">
        <v>135</v>
      </c>
      <c r="G7" s="4" t="s">
        <v>136</v>
      </c>
      <c r="H7" s="4" t="s">
        <v>137</v>
      </c>
      <c r="I7" s="4" t="s">
        <v>137</v>
      </c>
      <c r="J7" s="4" t="s">
        <v>138</v>
      </c>
      <c r="K7" s="13">
        <v>4</v>
      </c>
      <c r="L7" s="4" t="s">
        <v>139</v>
      </c>
      <c r="M7" s="14"/>
      <c r="N7" s="14"/>
      <c r="O7" s="14"/>
      <c r="P7" s="14"/>
    </row>
    <row r="8" spans="1:16" ht="409.5">
      <c r="A8" s="60" t="s">
        <v>140</v>
      </c>
      <c r="B8" s="63" t="s">
        <v>141</v>
      </c>
      <c r="C8" s="4" t="s">
        <v>142</v>
      </c>
      <c r="D8" s="5" t="s">
        <v>143</v>
      </c>
      <c r="E8" s="56" t="s">
        <v>144</v>
      </c>
      <c r="F8" s="4" t="s">
        <v>145</v>
      </c>
      <c r="G8" s="4" t="s">
        <v>146</v>
      </c>
      <c r="H8" s="4" t="s">
        <v>147</v>
      </c>
      <c r="I8" s="4" t="s">
        <v>148</v>
      </c>
      <c r="J8" s="4" t="s">
        <v>149</v>
      </c>
      <c r="K8" s="13">
        <v>5</v>
      </c>
      <c r="L8" s="13" t="s">
        <v>150</v>
      </c>
      <c r="M8" s="14"/>
      <c r="N8" s="14"/>
      <c r="O8" s="14"/>
      <c r="P8" s="14"/>
    </row>
    <row r="9" spans="1:16" ht="202.5">
      <c r="A9" s="60"/>
      <c r="B9" s="64"/>
      <c r="C9" s="10" t="s">
        <v>151</v>
      </c>
      <c r="D9" s="5" t="s">
        <v>152</v>
      </c>
      <c r="E9" s="57"/>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7" t="s">
        <v>163</v>
      </c>
      <c r="F10" s="67" t="s">
        <v>164</v>
      </c>
      <c r="G10" s="67" t="s">
        <v>165</v>
      </c>
      <c r="H10" s="67" t="s">
        <v>166</v>
      </c>
      <c r="I10" s="8" t="s">
        <v>167</v>
      </c>
      <c r="J10" s="8" t="s">
        <v>168</v>
      </c>
      <c r="K10" s="13"/>
      <c r="L10" s="16"/>
      <c r="M10" s="14"/>
      <c r="N10" s="14"/>
      <c r="O10" s="14"/>
      <c r="P10" s="14"/>
    </row>
    <row r="11" spans="1:16">
      <c r="B11" s="14"/>
      <c r="C11" s="14"/>
      <c r="D11" s="14"/>
      <c r="E11" s="68"/>
      <c r="F11" s="68"/>
      <c r="G11" s="68"/>
      <c r="H11" s="68"/>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9"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9"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2025-01-17T08:37:39Z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