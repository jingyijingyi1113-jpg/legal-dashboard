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C9AFDB63-28D9-A446-B33C-2F5E50103F04}" xr6:coauthVersionLast="47" xr6:coauthVersionMax="47" xr10:uidLastSave="{00000000-0000-0000-0000-000000000000}"/>
  <bookViews>
    <workbookView xWindow="0" yWindow="760" windowWidth="30240" windowHeight="17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<sst xmlns="http://schemas.openxmlformats.org/spreadsheetml/2006/main" count="460" uniqueCount="344">
  <si>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</si>
  <si>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</si>
  <si>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</si>
  <si>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</si>
  <si>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</si>
  <si>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</si>
  <si>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</si>
  <si>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</si>
  <si>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</si>
  <si>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</si>
  <si>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</si>
  <si>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</si>
  <si>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</si>
  <si>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</si>
  <si>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</si>
  <si>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</si>
  <si>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</si>
  <si>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</si>
  <si>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</si>
  <si>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</si>
  <si>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</si>
  <si>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</si>
  <si>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</si>
  <si>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</si>
  <si>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</si>
  <si>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</si>
  <si>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</si>
  <si>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</si>
  <si>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</si>
  <si>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</si>
  <si>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</si>
  <si>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</si>
  <si>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</si>
  <si>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</si>
  <si>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</si>
  <si>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</si>
  <si>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</si>
  <si>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</si>
  <si>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</si>
  <si>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</si>
  <si>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</si>
  <si>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</si>
  <si>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</si>
  <si>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</si>
  <si>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</si>
  <si>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</si>
  <si>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</si>
  <si>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</si>
  <si>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</si>
  <si>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</si>
  <si>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</si>
  <si>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</si>
  <si>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</si>
  <si>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</si>
  <si>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</si>
  <si>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</si>
  <si>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</si>
  <si>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</si>
  <si>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</si>
  <si>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</si>
  <si>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</si>
  <si>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</si>
  <si>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</si>
  <si>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</si>
  <si>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</si>
  <si>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</si>
  <si>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</si>
  <si>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</si>
  <si>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</si>
  <si>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</si>
  <si>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</si>
  <si>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</si>
  <si>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</si>
  <si>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</si>
  <si>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</si>
  <si>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</si>
  <si>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</si>
  <si>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</si>
  <si>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</si>
  <si>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</si>
  <si>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</si>
  <si>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</si>
  <si>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</si>
  <si>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</si>
  <si>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</si>
  <si>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</si>
  <si>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</si>
  <si>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</si>
  <si>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</si>
  <si>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</si>
  <si>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</si>
  <si>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</si>
  <si>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</si>
  <si>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</si>
  <si>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</si>
  <si>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</si>
  <si>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</si>
  <si>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</si>
  <si>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</si>
  <si>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</si>
  <si>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</si>
  <si>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</si>
  <si>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</si>
  <si>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</si>
  <si>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</si>
  <si>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</si>
  <si>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</si>
  <si>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</si>
  <si>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</si>
  <si>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</si>
  <si>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</si>
  <si>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</si>
  <si>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</si>
  <si>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</si>
  <si>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</si>
  <si>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</si>
  <si>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</si>
  <si>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</si>
  <si>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</si>
  <si>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</si>
  <si>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</si>
  <si>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</si>
  <si>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</si>
  <si>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</si>
  <si>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</si>
  <si>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</si>
  <si>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</si>
  <si>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</si>
  <si>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</si>
  <si>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</si>
  <si>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</si>
  <si>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</si>
  <si>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</si>
  <si>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</si>
  <si>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</si>
  <si>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</si>
  <si>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</si>
  <si>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</si>
  <si>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</si>
  <si>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</si>
  <si>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</si>
  <si>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</si>
  <si>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</si>
  <si>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</si>
  <si>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</si>
  <si>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</si>
  <si>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</si>
  <si>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</si>
  <si>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</si>
  <si>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</si>
  <si>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</si>
  <si>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</si>
  <si>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</si>
  <si>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</si>
  <si>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</si>
  <si>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</si>
  <si>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</si>
  <si>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</si>
  <si>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</si>
  <si>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</si>
  <si>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</si>
  <si>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</si>
  <si>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</si>
  <si>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</si>
  <si>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</si>
  <si>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</si>
  <si>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</si>
  <si>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</si>
  <si>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</si>
  <si>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</si>
  <si>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</si>
  <si>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</si>
  <si>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</si>
  <si>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</si>
  <si>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</si>
  <si>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</si>
  <si>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</si>
  <si>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</si>
  <si>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</si>
  <si>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</si>
  <si>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</si>
  <si>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</si>
  <si>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</si>
  <si>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</si>
  <si>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</si>
  <si>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</si>
  <si>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</si>
  <si>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</si>
  <si>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</si>
  <si>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</si>
  <si>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</si>
  <si>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</si>
  <si>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</si>
  <si>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</si>
  <si>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</si>
  <si>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</si>
  <si>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</si>
  <si>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</si>
  <si>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</si>
  <si>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</si>
  <si>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</si>
  <si>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</si>
  <si>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</si>
  <si>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</si>
  <si>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</si>
  <si>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</si>
  <si>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</si>
  <si>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</si>
  <si>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</si>
  <si>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</si>
  <si>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</si>
  <si>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</si>
  <si>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</si>
  <si>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</si>
  <si>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</si>
  <si>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</si>
  <si>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</si>
  <si>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</si>
  <si>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</si>
  <si>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</si>
  <si>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</si>
  <si>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</si>
  <si>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</si>
  <si>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</si>
  <si>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</si>
  <si>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</si>
  <si>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</si>
  <si>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</si>
  <si>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</si>
  <si>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</si>
  <si>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</si>
  <si>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</si>
  <si>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</si>
  <si>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</si>
  <si>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</si>
  <si>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</si>
  <si>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</si>
  <si>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</si>
  <si>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</si>
  <si>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</si>
  <si>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</si>
  <si>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</si>
  <si>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</si>
  <si>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</si>
  <si>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</si>
  <si>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</si>
  <si>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</si>
  <si>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</si>
  <si>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</si>
  <si>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</si>
  <si>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</si>
  <si>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</si>
  <si>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</si>
  <si>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</si>
  <si>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</si>
  <si>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</si>
  <si>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</si>
  <si>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</si>
  <si>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</si>
  <si>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</si>
  <si>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</si>
  <si>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</si>
  <si>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</si>
  <si>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</si>
  <si>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</si>
  <si>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</si>
  <si>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</si>
  <si>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</si>
  <si>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</si>
  <si>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</si>
  <si>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</si>
  <si>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</si>
  <si>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</si>
  <si>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</si>
  <si>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</si>
  <si>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</si>
  <si>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</si>
  <si>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</si>
  <si>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</si>
  <si>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</si>
  <si>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</si>
  <si>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</si>
  <si>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</si>
  <si>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</si>
  <si>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</si>
  <si>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</si>
  <si>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</si>
  <si>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</si>
  <si>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</si>
  <si>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</si>
  <si>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</si>
  <si>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</si>
  <si>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</si>
  <si>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</si>
  <si>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</si>
  <si>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</si>
  <si>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</si>
  <si>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</si>
  <si>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</si>
  <si>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</si>
  <si>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</si>
  <si>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</si>
  <si>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</si>
  <si>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</si>
  <si>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</si>
  <si>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</si>
  <si>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</si>
  <si>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</si>
  <si>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</si>
  <si>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</si>
  <si>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</si>
  <si>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</si>
  <si>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</si>
  <si>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</si>
  <si>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</si>
  <si>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</si>
  <si>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</si>
  <si>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</si>
  <si>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</si>
  <si>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</si>
  <si>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</si>
  <si>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</si>
  <si>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</si>
  <si>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</si>
  <si>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</si>
  <si>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</si>
  <si>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</si>
  <si>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</si>
  <si>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</si>
  <si>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</si>
  <si>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</si>
  <si>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</si>
  <si>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</si>
  <si>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</si>
  <si>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</si>
  <si>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</si>
  <si>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</si>
  <si>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</si>
  <si>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</si>
  <si>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 xml:space="preserve">Reviewing various admin/GPA/operations agreements, letters to be entered, application forms </t>
  </si>
  <si>
    <r>
      <t>Date: 2025-04-14</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2025-04-20</t>
    </r>
  </si>
  <si>
    <t xml:space="preserve">Admin re invoicing etc., attending law firm invited events, SG team lunch  </t>
  </si>
  <si>
    <t xml:space="preserve">Thai BOI, Thai LTR, ZAM Closing Down in SG &amp; Employee Terminations, SG Post-Warning Letter Issue and Convening a Fresh Investigation, SG Complaint re Employee's Misconduct, SG Ah-Hoc Queries re Termination of Employees put on PIP </t>
  </si>
  <si>
    <t>Public Holiday on 04.18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</si>
</sst>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xf numFmtId="0" fontId="30"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0" zoomScaleNormal="110" workbookViewId="0">
      <selection activeCell="E12" sqref="E12"/>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0">
      <c r="B6" s="8" t="s">
        <v>338</v>
      </c>
      <c r="C6" s="9" t="s">
        <v>25</v>
      </c>
      <c r="D6" s="10" t="s">
        <v>26</v>
      </c>
      <c r="E6" s="10" t="s">
        <v>30</v>
      </c>
      <c r="F6" s="9" t="s">
        <v>325</v>
      </c>
      <c r="G6" s="11">
        <v>25</v>
      </c>
      <c r="H6" s="9" t="s">
        <v>27</v>
      </c>
      <c r="I6" s="16" t="s">
        <v>342</v>
      </c>
    </row>
    <row r="7" spans="1:9" s="2" customFormat="1" ht="45">
      <c r="B7" s="8" t="s">
        <v>338</v>
      </c>
      <c r="C7" s="9" t="s">
        <v>43</v>
      </c>
      <c r="D7" s="10" t="s">
        <v>49</v>
      </c>
      <c r="E7" s="10" t="s">
        <v>30</v>
      </c>
      <c r="F7" s="9" t="s">
        <v>332</v>
      </c>
      <c r="G7" s="11">
        <v>12</v>
      </c>
      <c r="H7" s="9" t="s">
        <v>73</v>
      </c>
      <c r="I7" s="16" t="s">
        <v>339</v>
      </c>
    </row>
    <row r="8" spans="1:9" s="2" customFormat="1" ht="30">
      <c r="B8" s="8" t="s">
        <v>338</v>
      </c>
      <c r="C8" s="9" t="s">
        <v>28</v>
      </c>
      <c r="D8" s="10" t="s">
        <v>31</v>
      </c>
      <c r="E8" s="10" t="s">
        <v>33</v>
      </c>
      <c r="F8" s="9" t="s">
        <v>35</v>
      </c>
      <c r="G8" s="11">
        <v>6</v>
      </c>
      <c r="H8" s="9" t="s">
        <v>31</v>
      </c>
      <c r="I8" s="16" t="s">
        <v>341</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79" t="s">
        <v>32</v>
      </c>
      <c r="C36" s="80"/>
      <c r="D36" s="81"/>
      <c r="E36" s="12"/>
      <c r="F36" s="12"/>
      <c r="G36" s="82">
        <f>SUM(G6:G35)</f>
        <v>43</v>
      </c>
      <c r="H36" s="83"/>
      <c r="I36" s="84"/>
    </row>
    <row r="39" spans="2:9">
      <c r="B39" s="18" t="s">
        <v>81</v>
      </c>
      <c r="C39" s="129" t="s">
        <v>343</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2025-05-05T08:14:44Z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