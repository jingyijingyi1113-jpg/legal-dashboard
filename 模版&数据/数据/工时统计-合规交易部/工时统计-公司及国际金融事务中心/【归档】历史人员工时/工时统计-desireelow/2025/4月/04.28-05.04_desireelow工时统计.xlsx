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914866AB-40AA-FA40-ABB0-5156DBE7CCC8}" xr6:coauthVersionLast="47" xr6:coauthVersionMax="47" xr10:uidLastSave="{00000000-0000-0000-0000-000000000000}"/>
  <bookViews>
    <workbookView xWindow="0" yWindow="760" windowWidth="30240" windowHeight="1746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<sst xmlns="http://schemas.openxmlformats.org/spreadsheetml/2006/main" count="467" uniqueCount="345">
  <si>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</si>
  <si>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</si>
  <si>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</si>
  <si>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</si>
  <si>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</si>
  <si>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</si>
  <si>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</si>
  <si>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</si>
  <si>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</si>
  <si>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</si>
  <si>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</si>
  <si>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</si>
  <si>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</si>
  <si>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</si>
  <si>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</si>
  <si>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</si>
  <si>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</si>
  <si>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</si>
  <si>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</si>
  <si>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</si>
  <si>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</si>
  <si>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</si>
  <si>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</si>
  <si>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</si>
  <si>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</si>
  <si>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</si>
  <si>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</si>
  <si>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</si>
  <si>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</si>
  <si>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</si>
  <si>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</si>
  <si>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</si>
  <si>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</si>
  <si>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</si>
  <si>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</si>
  <si>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</si>
  <si>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</si>
  <si>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</si>
  <si>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</si>
  <si>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</si>
  <si>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</si>
  <si>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</si>
  <si>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</si>
  <si>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</si>
  <si>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</si>
  <si>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</si>
  <si>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</si>
  <si>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</si>
  <si>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</si>
  <si>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</si>
  <si>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</si>
  <si>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</si>
  <si>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</si>
  <si>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</si>
  <si>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</si>
  <si>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</si>
  <si>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</si>
  <si>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</si>
  <si>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</si>
  <si>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</si>
  <si>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</si>
  <si>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</si>
  <si>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</si>
  <si>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</si>
  <si>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</si>
  <si>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</si>
  <si>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</si>
  <si>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</si>
  <si>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</si>
  <si>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</si>
  <si>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</si>
  <si>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</si>
  <si>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</si>
  <si>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</si>
  <si>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</si>
  <si>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</si>
  <si>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</si>
  <si>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</si>
  <si>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</si>
  <si>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</si>
  <si>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</si>
  <si>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</si>
  <si>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</si>
  <si>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</si>
  <si>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</si>
  <si>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</si>
  <si>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</si>
  <si>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</si>
  <si>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</si>
  <si>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</si>
  <si>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</si>
  <si>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</si>
  <si>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</si>
  <si>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</si>
  <si>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</si>
  <si>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</si>
  <si>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</si>
  <si>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</si>
  <si>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</si>
  <si>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</si>
  <si>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</si>
  <si>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</si>
  <si>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</si>
  <si>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</si>
  <si>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</si>
  <si>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</si>
  <si>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</si>
  <si>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</si>
  <si>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</si>
  <si>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</si>
  <si>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</si>
  <si>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</si>
  <si>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</si>
  <si>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</si>
  <si>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</si>
  <si>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</si>
  <si>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</si>
  <si>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</si>
  <si>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</si>
  <si>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</si>
  <si>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</si>
  <si>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</si>
  <si>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</si>
  <si>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</si>
  <si>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</si>
  <si>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</si>
  <si>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</si>
  <si>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</si>
  <si>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</si>
  <si>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</si>
  <si>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</si>
  <si>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</si>
  <si>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</si>
  <si>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</si>
  <si>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</si>
  <si>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</si>
  <si>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</si>
  <si>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</si>
  <si>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</si>
  <si>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</si>
  <si>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</si>
  <si>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</si>
  <si>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</si>
  <si>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</si>
  <si>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</si>
  <si>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</si>
  <si>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</si>
  <si>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</si>
  <si>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</si>
  <si>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</si>
  <si>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</si>
  <si>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</si>
  <si>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</si>
  <si>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</si>
  <si>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</si>
  <si>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</si>
  <si>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</si>
  <si>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</si>
  <si>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</si>
  <si>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</si>
  <si>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</si>
  <si>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</si>
  <si>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</si>
  <si>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</si>
  <si>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</si>
  <si>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</si>
  <si>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</si>
  <si>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</si>
  <si>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</si>
  <si>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</si>
  <si>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</si>
  <si>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</si>
  <si>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</si>
  <si>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</si>
  <si>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</si>
  <si>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</si>
  <si>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</si>
  <si>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</si>
  <si>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</si>
  <si>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</si>
  <si>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</si>
  <si>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</si>
  <si>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</si>
  <si>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</si>
  <si>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</si>
  <si>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</si>
  <si>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</si>
  <si>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</si>
  <si>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</si>
  <si>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</si>
  <si>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</si>
  <si>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</si>
  <si>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</si>
  <si>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</si>
  <si>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</si>
  <si>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</si>
  <si>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</si>
  <si>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</si>
  <si>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</si>
  <si>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</si>
  <si>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</si>
  <si>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</si>
  <si>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</si>
  <si>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</si>
  <si>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</si>
  <si>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</si>
  <si>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</si>
  <si>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</si>
  <si>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</si>
  <si>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</si>
  <si>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</si>
  <si>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</si>
  <si>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</si>
  <si>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</si>
  <si>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</si>
  <si>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</si>
  <si>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</si>
  <si>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</si>
  <si>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</si>
  <si>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</si>
  <si>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</si>
  <si>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</si>
  <si>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</si>
  <si>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</si>
  <si>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</si>
  <si>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</si>
  <si>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</si>
  <si>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</si>
  <si>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</si>
  <si>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</si>
  <si>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</si>
  <si>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</si>
  <si>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</si>
  <si>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</si>
  <si>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</si>
  <si>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</si>
  <si>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</si>
  <si>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</si>
  <si>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</si>
  <si>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</si>
  <si>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</si>
  <si>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</si>
  <si>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</si>
  <si>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</si>
  <si>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</si>
  <si>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</si>
  <si>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</si>
  <si>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</si>
  <si>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</si>
  <si>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</si>
  <si>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</si>
  <si>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</si>
  <si>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</si>
  <si>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</si>
  <si>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</si>
  <si>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</si>
  <si>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</si>
  <si>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</si>
  <si>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</si>
  <si>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</si>
  <si>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</si>
  <si>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</si>
  <si>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</si>
  <si>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</si>
  <si>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</si>
  <si>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</si>
  <si>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</si>
  <si>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</si>
  <si>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</si>
  <si>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</si>
  <si>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</si>
  <si>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</si>
  <si>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</si>
  <si>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</si>
  <si>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</si>
  <si>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</si>
  <si>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</si>
  <si>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</si>
  <si>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</si>
  <si>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</si>
  <si>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</si>
  <si>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</si>
  <si>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</si>
  <si>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</si>
  <si>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</si>
  <si>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</si>
  <si>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</si>
  <si>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</si>
  <si>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</si>
  <si>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</si>
  <si>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</si>
  <si>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</si>
  <si>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</si>
  <si>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</si>
  <si>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</si>
  <si>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</si>
  <si>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</si>
  <si>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</si>
  <si>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</si>
  <si>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</si>
  <si>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</si>
  <si>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</si>
  <si>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</si>
  <si>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</si>
  <si>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</si>
  <si>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</si>
  <si>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</si>
  <si>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</si>
  <si>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</si>
  <si>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</si>
  <si>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</si>
  <si>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</si>
  <si>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</si>
  <si>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</si>
  <si>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</si>
  <si>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</si>
  <si>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</si>
  <si>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</si>
  <si>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</si>
  <si>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</si>
  <si>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</si>
  <si>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</si>
  <si>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</si>
  <si>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</si>
  <si>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</si>
  <si>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</si>
  <si>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</si>
  <si>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</si>
  <si>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</si>
  <si>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</si>
  <si>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</si>
  <si>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</si>
  <si>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</si>
  <si>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</si>
  <si>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</si>
  <si>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</si>
  <si>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</si>
  <si>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</si>
  <si>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desireelow</t>
  </si>
  <si>
    <t xml:space="preserve">Admin re invoicing etc. </t>
  </si>
  <si>
    <t>Reviewing various admin/GPA/operations agreements</t>
  </si>
  <si>
    <r>
      <t>Date: 2025-04-27</t>
    </r>
    <r>
      <rPr>
        <b/>
        <sz val="10"/>
        <color theme="0"/>
        <rFont val="等线"/>
        <family val="4"/>
        <charset val="134"/>
      </rPr>
      <t xml:space="preserve"> </t>
    </r>
    <r>
      <rPr>
        <b/>
        <sz val="10"/>
        <color theme="0"/>
        <rFont val="新細明體"/>
        <family val="1"/>
        <charset val="136"/>
      </rPr>
      <t xml:space="preserve">- </t>
    </r>
    <r>
      <rPr>
        <b/>
        <sz val="10"/>
        <color theme="0"/>
        <rFont val="Calibri"/>
        <family val="2"/>
        <scheme val="minor"/>
      </rPr>
      <t>2025-05-02</t>
    </r>
  </si>
  <si>
    <t>Public Holiday on 05.01</t>
  </si>
  <si>
    <t xml:space="preserve">WeTV Korea Non-Compliance and Issue of Choice of Entity for Steps Forward, Thai PB BOI Certificate Compliance Issues </t>
  </si>
  <si>
    <t>Thai BOI, Thai LTR, ZAM Closing Down in SG &amp; Employee Terminations, SG Post-Warning Letter Issue and Convening a Fresh Investigation, SG Complaint re Employee's Misconduct, SG Amendment of Part-Time Internship Agreement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</si>
</sst>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xf numFmtId="0" fontId="30"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110" zoomScaleNormal="110" workbookViewId="0">
      <selection activeCell="G10" sqref="G10"/>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75">
      <c r="B6" s="8" t="s">
        <v>338</v>
      </c>
      <c r="C6" s="9" t="s">
        <v>25</v>
      </c>
      <c r="D6" s="10" t="s">
        <v>26</v>
      </c>
      <c r="E6" s="10" t="s">
        <v>30</v>
      </c>
      <c r="F6" s="9" t="s">
        <v>325</v>
      </c>
      <c r="G6" s="11">
        <v>18</v>
      </c>
      <c r="H6" s="9" t="s">
        <v>27</v>
      </c>
      <c r="I6" s="16" t="s">
        <v>344</v>
      </c>
    </row>
    <row r="7" spans="1:9" s="2" customFormat="1" ht="45">
      <c r="B7" s="8" t="s">
        <v>338</v>
      </c>
      <c r="C7" s="9" t="s">
        <v>43</v>
      </c>
      <c r="D7" s="10" t="s">
        <v>49</v>
      </c>
      <c r="E7" s="10" t="s">
        <v>30</v>
      </c>
      <c r="F7" s="9" t="s">
        <v>332</v>
      </c>
      <c r="G7" s="11">
        <v>10</v>
      </c>
      <c r="H7" s="9" t="s">
        <v>73</v>
      </c>
      <c r="I7" s="16" t="s">
        <v>340</v>
      </c>
    </row>
    <row r="8" spans="1:9" s="2" customFormat="1">
      <c r="B8" s="8" t="s">
        <v>338</v>
      </c>
      <c r="C8" s="9" t="s">
        <v>28</v>
      </c>
      <c r="D8" s="10" t="s">
        <v>31</v>
      </c>
      <c r="E8" s="10" t="s">
        <v>33</v>
      </c>
      <c r="F8" s="9" t="s">
        <v>35</v>
      </c>
      <c r="G8" s="11">
        <v>0.5</v>
      </c>
      <c r="H8" s="9" t="s">
        <v>31</v>
      </c>
      <c r="I8" s="16" t="s">
        <v>339</v>
      </c>
    </row>
    <row r="9" spans="1:9" s="2" customFormat="1" ht="45">
      <c r="B9" s="8" t="s">
        <v>338</v>
      </c>
      <c r="C9" s="9" t="s">
        <v>43</v>
      </c>
      <c r="D9" s="10" t="s">
        <v>50</v>
      </c>
      <c r="E9" s="10" t="s">
        <v>30</v>
      </c>
      <c r="F9" s="9" t="s">
        <v>332</v>
      </c>
      <c r="G9" s="11">
        <v>9.5</v>
      </c>
      <c r="H9" s="9" t="s">
        <v>27</v>
      </c>
      <c r="I9" s="16" t="s">
        <v>343</v>
      </c>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79" t="s">
        <v>32</v>
      </c>
      <c r="C36" s="80"/>
      <c r="D36" s="81"/>
      <c r="E36" s="12"/>
      <c r="F36" s="12"/>
      <c r="G36" s="82">
        <f>SUM(G6:G35)</f>
        <v>38</v>
      </c>
      <c r="H36" s="83"/>
      <c r="I36" s="84"/>
    </row>
    <row r="39" spans="2:9">
      <c r="B39" s="18" t="s">
        <v>81</v>
      </c>
      <c r="C39" s="129" t="s">
        <v>342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ht="17">
      <c r="C4" s="89"/>
      <c r="D4" s="92"/>
      <c r="E4" s="93"/>
      <c r="F4" s="89"/>
      <c r="G4" s="89"/>
      <c r="H4" s="89"/>
      <c r="I4" s="89"/>
      <c r="J4" s="89"/>
      <c r="K4" s="20" t="s">
        <v>64</v>
      </c>
      <c r="L4" s="20" t="s">
        <v>65</v>
      </c>
      <c r="M4" s="20" t="s">
        <v>66</v>
      </c>
      <c r="N4" s="20" t="s">
        <v>67</v>
      </c>
    </row>
    <row r="5" spans="2:14" ht="102" outlineLevel="1">
      <c r="C5" s="21" t="s">
        <v>100</v>
      </c>
      <c r="D5" s="98" t="s">
        <v>101</v>
      </c>
      <c r="E5" s="99"/>
      <c r="F5" s="22" t="s">
        <v>102</v>
      </c>
      <c r="G5" s="21" t="s">
        <v>103</v>
      </c>
      <c r="H5" s="21" t="s">
        <v>104</v>
      </c>
      <c r="I5" s="21" t="s">
        <v>105</v>
      </c>
      <c r="J5" s="21" t="s">
        <v>106</v>
      </c>
      <c r="K5" s="100" t="s">
        <v>107</v>
      </c>
      <c r="L5" s="100"/>
      <c r="M5" s="100"/>
      <c r="N5" s="100"/>
    </row>
    <row r="6" spans="2:14" s="23" customFormat="1" ht="187"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72"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8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06"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6"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70"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2"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8">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72"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6"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3"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2025-05-05T08:20:32Z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