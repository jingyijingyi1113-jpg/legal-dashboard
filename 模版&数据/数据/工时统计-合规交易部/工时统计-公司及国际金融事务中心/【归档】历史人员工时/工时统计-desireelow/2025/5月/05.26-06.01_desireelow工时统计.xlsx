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2FF99601-CE90-EE42-B49F-1C3721DB1FDE}" xr6:coauthVersionLast="47" xr6:coauthVersionMax="47" xr10:uidLastSave="{00000000-0000-0000-0000-000000000000}"/>
  <bookViews>
    <workbookView xWindow="0" yWindow="760" windowWidth="30240" windowHeight="17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<sst xmlns="http://schemas.openxmlformats.org/spreadsheetml/2006/main" count="467" uniqueCount="345">
  <si>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</si>
  <si>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</si>
  <si>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</si>
  <si>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</si>
  <si>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</si>
  <si>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</si>
  <si>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</si>
  <si>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</si>
  <si>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</si>
  <si>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</si>
  <si>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</si>
  <si>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</si>
  <si>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</si>
  <si>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</si>
  <si>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</si>
  <si>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</si>
  <si>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</si>
  <si>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</si>
  <si>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</si>
  <si>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</si>
  <si>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</si>
  <si>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</si>
  <si>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</si>
  <si>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</si>
  <si>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</si>
  <si>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</si>
  <si>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</si>
  <si>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</si>
  <si>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</si>
  <si>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</si>
  <si>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</si>
  <si>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</si>
  <si>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</si>
  <si>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</si>
  <si>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</si>
  <si>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</si>
  <si>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</si>
  <si>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</si>
  <si>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</si>
  <si>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</si>
  <si>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</si>
  <si>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</si>
  <si>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</si>
  <si>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</si>
  <si>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</si>
  <si>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</si>
  <si>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</si>
  <si>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</si>
  <si>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</si>
  <si>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</si>
  <si>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</si>
  <si>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</si>
  <si>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</si>
  <si>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</si>
  <si>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</si>
  <si>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</si>
  <si>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</si>
  <si>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</si>
  <si>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</si>
  <si>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</si>
  <si>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</si>
  <si>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</si>
  <si>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</si>
  <si>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</si>
  <si>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</si>
  <si>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</si>
  <si>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</si>
  <si>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</si>
  <si>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</si>
  <si>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</si>
  <si>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</si>
  <si>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</si>
  <si>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</si>
  <si>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</si>
  <si>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</si>
  <si>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</si>
  <si>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</si>
  <si>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</si>
  <si>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</si>
  <si>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</si>
  <si>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</si>
  <si>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</si>
  <si>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</si>
  <si>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</si>
  <si>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</si>
  <si>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</si>
  <si>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</si>
  <si>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</si>
  <si>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</si>
  <si>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</si>
  <si>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</si>
  <si>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</si>
  <si>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</si>
  <si>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</si>
  <si>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</si>
  <si>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</si>
  <si>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</si>
  <si>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</si>
  <si>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</si>
  <si>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</si>
  <si>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</si>
  <si>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</si>
  <si>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</si>
  <si>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</si>
  <si>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</si>
  <si>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</si>
  <si>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</si>
  <si>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</si>
  <si>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</si>
  <si>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</si>
  <si>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</si>
  <si>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</si>
  <si>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</si>
  <si>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</si>
  <si>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</si>
  <si>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</si>
  <si>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</si>
  <si>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</si>
  <si>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</si>
  <si>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</si>
  <si>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</si>
  <si>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</si>
  <si>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</si>
  <si>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</si>
  <si>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</si>
  <si>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</si>
  <si>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</si>
  <si>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</si>
  <si>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</si>
  <si>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</si>
  <si>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</si>
  <si>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</si>
  <si>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</si>
  <si>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</si>
  <si>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</si>
  <si>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</si>
  <si>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</si>
  <si>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</si>
  <si>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</si>
  <si>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</si>
  <si>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</si>
  <si>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</si>
  <si>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</si>
  <si>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</si>
  <si>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</si>
  <si>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</si>
  <si>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</si>
  <si>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</si>
  <si>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</si>
  <si>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</si>
  <si>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</si>
  <si>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</si>
  <si>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</si>
  <si>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</si>
  <si>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</si>
  <si>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</si>
  <si>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</si>
  <si>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</si>
  <si>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</si>
  <si>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</si>
  <si>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</si>
  <si>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</si>
  <si>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</si>
  <si>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</si>
  <si>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</si>
  <si>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</si>
  <si>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</si>
  <si>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</si>
  <si>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</si>
  <si>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</si>
  <si>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</si>
  <si>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</si>
  <si>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</si>
  <si>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</si>
  <si>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</si>
  <si>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</si>
  <si>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</si>
  <si>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</si>
  <si>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</si>
  <si>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</si>
  <si>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</si>
  <si>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</si>
  <si>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</si>
  <si>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</si>
  <si>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</si>
  <si>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</si>
  <si>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</si>
  <si>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</si>
  <si>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</si>
  <si>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</si>
  <si>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</si>
  <si>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</si>
  <si>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</si>
  <si>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</si>
  <si>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</si>
  <si>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</si>
  <si>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</si>
  <si>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</si>
  <si>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</si>
  <si>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</si>
  <si>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</si>
  <si>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</si>
  <si>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</si>
  <si>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</si>
  <si>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</si>
  <si>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</si>
  <si>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</si>
  <si>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</si>
  <si>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</si>
  <si>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</si>
  <si>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</si>
  <si>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</si>
  <si>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</si>
  <si>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</si>
  <si>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</si>
  <si>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</si>
  <si>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</si>
  <si>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</si>
  <si>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</si>
  <si>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</si>
  <si>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</si>
  <si>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</si>
  <si>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</si>
  <si>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</si>
  <si>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</si>
  <si>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</si>
  <si>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</si>
  <si>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</si>
  <si>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</si>
  <si>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</si>
  <si>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</si>
  <si>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</si>
  <si>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</si>
  <si>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</si>
  <si>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</si>
  <si>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</si>
  <si>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</si>
  <si>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</si>
  <si>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</si>
  <si>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</si>
  <si>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</si>
  <si>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</si>
  <si>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</si>
  <si>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</si>
  <si>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</si>
  <si>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</si>
  <si>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</si>
  <si>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</si>
  <si>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</si>
  <si>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</si>
  <si>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</si>
  <si>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</si>
  <si>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</si>
  <si>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</si>
  <si>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</si>
  <si>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</si>
  <si>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</si>
  <si>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</si>
  <si>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</si>
  <si>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</si>
  <si>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</si>
  <si>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</si>
  <si>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</si>
  <si>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</si>
  <si>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</si>
  <si>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</si>
  <si>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</si>
  <si>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</si>
  <si>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</si>
  <si>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</si>
  <si>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</si>
  <si>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</si>
  <si>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</si>
  <si>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</si>
  <si>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</si>
  <si>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</si>
  <si>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</si>
  <si>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</si>
  <si>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</si>
  <si>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</si>
  <si>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</si>
  <si>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</si>
  <si>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</si>
  <si>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</si>
  <si>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</si>
  <si>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</si>
  <si>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</si>
  <si>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</si>
  <si>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</si>
  <si>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</si>
  <si>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</si>
  <si>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</si>
  <si>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</si>
  <si>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</si>
  <si>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</si>
  <si>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</si>
  <si>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</si>
  <si>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</si>
  <si>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</si>
  <si>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</si>
  <si>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</si>
  <si>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</si>
  <si>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</si>
  <si>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</si>
  <si>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</si>
  <si>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</si>
  <si>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</si>
  <si>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</si>
  <si>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</si>
  <si>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</si>
  <si>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</si>
  <si>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</si>
  <si>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</si>
  <si>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</si>
  <si>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</si>
  <si>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</si>
  <si>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</si>
  <si>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</si>
  <si>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</si>
  <si>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</si>
  <si>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</si>
  <si>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</si>
  <si>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</si>
  <si>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</si>
  <si>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</si>
  <si>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</si>
  <si>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</si>
  <si>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</si>
  <si>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</si>
  <si>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</si>
  <si>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</si>
  <si>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</si>
  <si>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</si>
  <si>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</si>
  <si>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</si>
  <si>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</si>
  <si>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</si>
  <si>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</si>
  <si>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</si>
  <si>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Annual leave/sick leave/other leave days and public holidays on N.A.</t>
  </si>
  <si>
    <t>Admin re invoicing etc.</t>
  </si>
  <si>
    <r>
      <t>Date: 2025-05-26</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2025-06-01</t>
    </r>
  </si>
  <si>
    <t>Thai BOI, Thai LTR, SG Post-Warning Letter Issue and Convening a Fresh Investigation, APAC (10 countries) Bonus Provisions Updates, SG Non-Compete Issues</t>
  </si>
  <si>
    <t xml:space="preserve">WeTV Korea Non-Compliance and Issue of Choice of Entity for Steps Forward etc. </t>
  </si>
  <si>
    <t xml:space="preserve">Reviewing various admin/GPA/operations agreements/SPH Definitive Agreements and Related Updates/Singapore D&amp;D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</si>
</sst>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3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0" zoomScaleNormal="110" workbookViewId="0">
      <selection activeCell="H7" sqref="H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6" customHeight="1">
      <c r="B6" s="8" t="s">
        <v>338</v>
      </c>
      <c r="C6" s="9" t="s">
        <v>25</v>
      </c>
      <c r="D6" s="10" t="s">
        <v>26</v>
      </c>
      <c r="E6" s="10" t="s">
        <v>30</v>
      </c>
      <c r="F6" s="9" t="s">
        <v>325</v>
      </c>
      <c r="G6" s="11">
        <v>15</v>
      </c>
      <c r="H6" s="9" t="s">
        <v>27</v>
      </c>
      <c r="I6" s="16" t="s">
        <v>342</v>
      </c>
    </row>
    <row r="7" spans="1:9" s="2" customFormat="1" ht="45">
      <c r="B7" s="8" t="s">
        <v>338</v>
      </c>
      <c r="C7" s="9" t="s">
        <v>43</v>
      </c>
      <c r="D7" s="10" t="s">
        <v>49</v>
      </c>
      <c r="E7" s="10" t="s">
        <v>30</v>
      </c>
      <c r="F7" s="9" t="s">
        <v>332</v>
      </c>
      <c r="G7" s="11">
        <v>15</v>
      </c>
      <c r="H7" s="9" t="s">
        <v>73</v>
      </c>
      <c r="I7" s="16" t="s">
        <v>344</v>
      </c>
    </row>
    <row r="8" spans="1:9" s="2" customFormat="1">
      <c r="B8" s="8" t="s">
        <v>338</v>
      </c>
      <c r="C8" s="9" t="s">
        <v>28</v>
      </c>
      <c r="D8" s="10" t="s">
        <v>31</v>
      </c>
      <c r="E8" s="10" t="s">
        <v>33</v>
      </c>
      <c r="F8" s="9" t="s">
        <v>35</v>
      </c>
      <c r="G8" s="11">
        <v>0.5</v>
      </c>
      <c r="H8" s="9" t="s">
        <v>31</v>
      </c>
      <c r="I8" s="16" t="s">
        <v>340</v>
      </c>
    </row>
    <row r="9" spans="1:9" s="2" customFormat="1" ht="45">
      <c r="B9" s="8" t="s">
        <v>338</v>
      </c>
      <c r="C9" s="9" t="s">
        <v>43</v>
      </c>
      <c r="D9" s="10" t="s">
        <v>50</v>
      </c>
      <c r="E9" s="10" t="s">
        <v>30</v>
      </c>
      <c r="F9" s="9" t="s">
        <v>332</v>
      </c>
      <c r="G9" s="11">
        <v>11</v>
      </c>
      <c r="H9" s="9" t="s">
        <v>27</v>
      </c>
      <c r="I9" s="16" t="s">
        <v>343</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79" t="s">
        <v>32</v>
      </c>
      <c r="C36" s="80"/>
      <c r="D36" s="81"/>
      <c r="E36" s="12"/>
      <c r="F36" s="12"/>
      <c r="G36" s="82">
        <f>SUM(G6:G35)</f>
        <v>41.5</v>
      </c>
      <c r="H36" s="83"/>
      <c r="I36" s="84"/>
    </row>
    <row r="39" spans="2:9" ht="48">
      <c r="B39" s="18" t="s">
        <v>81</v>
      </c>
      <c r="C39" s="129" t="s">
        <v>339</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2025-06-02T08:05:52Z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