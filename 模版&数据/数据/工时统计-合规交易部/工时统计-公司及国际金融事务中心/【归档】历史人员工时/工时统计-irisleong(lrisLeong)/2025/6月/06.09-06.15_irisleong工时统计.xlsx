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Iris\"/>
    </mc:Choice>
  </mc:AlternateContent>
  <xr:revisionPtr revIDLastSave="0" documentId="8_{D11DA05A-45BF-45F7-B229-3A78201726AA}"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3" i="1" l="1"/>
</calcChain>
</file>

<file path=xl/sharedStrings.xml><?xml version="1.0" encoding="utf-8"?>
<sst xmlns="http://schemas.openxmlformats.org/spreadsheetml/2006/main" count="676" uniqueCount="374">
  <si>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</si>
  <si>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</si>
  <si>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</si>
  <si>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</si>
  <si>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</si>
  <si>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</si>
  <si>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</si>
  <si>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</si>
  <si>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</si>
  <si>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</si>
  <si>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</si>
  <si>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</si>
  <si>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</si>
  <si>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</si>
  <si>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</si>
  <si>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</si>
  <si>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</si>
  <si>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</si>
  <si>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</si>
  <si>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</si>
  <si>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</si>
  <si>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</si>
  <si>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</si>
  <si>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</si>
  <si>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</si>
  <si>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</si>
  <si>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</si>
  <si>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</si>
  <si>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</si>
  <si>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</si>
  <si>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</si>
  <si>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</si>
  <si>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</si>
  <si>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</si>
  <si>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</si>
  <si>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</si>
  <si>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</si>
  <si>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</si>
  <si>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</si>
  <si>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</si>
  <si>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</si>
  <si>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</si>
  <si>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</si>
  <si>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</si>
  <si>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</si>
  <si>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</si>
  <si>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</si>
  <si>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</si>
  <si>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</si>
  <si>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</si>
  <si>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</si>
  <si>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</si>
  <si>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</si>
  <si>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</si>
  <si>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</si>
  <si>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</si>
  <si>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</si>
  <si>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</si>
  <si>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</si>
  <si>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</si>
  <si>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</si>
  <si>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</si>
  <si>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</si>
  <si>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</si>
  <si>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</si>
  <si>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</si>
  <si>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</si>
  <si>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</si>
  <si>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</si>
  <si>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</si>
  <si>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</si>
  <si>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</si>
  <si>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</si>
  <si>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</si>
  <si>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</si>
  <si>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</si>
  <si>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</si>
  <si>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</si>
  <si>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</si>
  <si>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</si>
  <si>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</si>
  <si>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</si>
  <si>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</si>
  <si>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</si>
  <si>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</si>
  <si>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</si>
  <si>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</si>
  <si>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</si>
  <si>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</si>
  <si>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</si>
  <si>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</si>
  <si>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</si>
  <si>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</si>
  <si>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</si>
  <si>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</si>
  <si>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</si>
  <si>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</si>
  <si>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</si>
  <si>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</si>
  <si>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</si>
  <si>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</si>
  <si>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</si>
  <si>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</si>
  <si>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</si>
  <si>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</si>
  <si>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</si>
  <si>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</si>
  <si>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</si>
  <si>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</si>
  <si>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</si>
  <si>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</si>
  <si>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</si>
  <si>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</si>
  <si>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</si>
  <si>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</si>
  <si>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</si>
  <si>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</si>
  <si>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</si>
  <si>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</si>
  <si>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</si>
  <si>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</si>
  <si>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</si>
  <si>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</si>
  <si>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</si>
  <si>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</si>
  <si>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</si>
  <si>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</si>
  <si>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</si>
  <si>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</si>
  <si>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</si>
  <si>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</si>
  <si>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</si>
  <si>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</si>
  <si>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</si>
  <si>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</si>
  <si>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</si>
  <si>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</si>
  <si>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</si>
  <si>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</si>
  <si>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</si>
  <si>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</si>
  <si>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</si>
  <si>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</si>
  <si>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</si>
  <si>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</si>
  <si>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</si>
  <si>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</si>
  <si>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</si>
  <si>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</si>
  <si>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</si>
  <si>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</si>
  <si>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</si>
  <si>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</si>
  <si>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</si>
  <si>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</si>
  <si>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</si>
  <si>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</si>
  <si>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</si>
  <si>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</si>
  <si>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</si>
  <si>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</si>
  <si>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</si>
  <si>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</si>
  <si>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</si>
  <si>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</si>
  <si>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</si>
  <si>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</si>
  <si>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</si>
  <si>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</si>
  <si>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</si>
  <si>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</si>
  <si>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</si>
  <si>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</si>
  <si>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</si>
  <si>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</si>
  <si>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</si>
  <si>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</si>
  <si>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</si>
  <si>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</si>
  <si>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</si>
  <si>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</si>
  <si>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</si>
  <si>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</si>
  <si>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</si>
  <si>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</si>
  <si>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</si>
  <si>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</si>
  <si>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</si>
  <si>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</si>
  <si>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</si>
  <si>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</si>
  <si>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</si>
  <si>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</si>
  <si>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</si>
  <si>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</si>
  <si>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</si>
  <si>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</si>
  <si>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</si>
  <si>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</si>
  <si>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</si>
  <si>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</si>
  <si>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</si>
  <si>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</si>
  <si>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</si>
  <si>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</si>
  <si>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</si>
  <si>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</si>
  <si>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</si>
  <si>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</si>
  <si>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</si>
  <si>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</si>
  <si>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</si>
  <si>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</si>
  <si>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</si>
  <si>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</si>
  <si>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</si>
  <si>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</si>
  <si>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</si>
  <si>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</si>
  <si>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</si>
  <si>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</si>
  <si>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</si>
  <si>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</si>
  <si>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</si>
  <si>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</si>
  <si>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</si>
  <si>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</si>
  <si>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</si>
  <si>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</si>
  <si>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</si>
  <si>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</si>
  <si>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</si>
  <si>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</si>
  <si>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</si>
  <si>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</si>
  <si>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</si>
  <si>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</si>
  <si>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</si>
  <si>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</si>
  <si>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</si>
  <si>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</si>
  <si>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</si>
  <si>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</si>
  <si>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</si>
  <si>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</si>
  <si>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</si>
  <si>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</si>
  <si>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</si>
  <si>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</si>
  <si>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</si>
  <si>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</si>
  <si>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</si>
  <si>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</si>
  <si>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</si>
  <si>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</si>
  <si>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</si>
  <si>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</si>
  <si>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</si>
  <si>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</si>
  <si>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</si>
  <si>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</si>
  <si>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</si>
  <si>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</si>
  <si>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</si>
  <si>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</si>
  <si>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</si>
  <si>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</si>
  <si>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</si>
  <si>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</si>
  <si>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</si>
  <si>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</si>
  <si>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</si>
  <si>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</si>
  <si>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</si>
  <si>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</si>
  <si>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</si>
  <si>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</si>
  <si>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</si>
  <si>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</si>
  <si>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</si>
  <si>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</si>
  <si>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</si>
  <si>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</si>
  <si>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</si>
  <si>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</si>
  <si>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</si>
  <si>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</si>
  <si>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</si>
  <si>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</si>
  <si>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</si>
  <si>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</si>
  <si>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</si>
  <si>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</si>
  <si>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</si>
  <si>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</si>
  <si>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</si>
  <si>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</si>
  <si>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</si>
  <si>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</si>
  <si>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</si>
  <si>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</si>
  <si>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</si>
  <si>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</si>
  <si>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</si>
  <si>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</si>
  <si>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</si>
  <si>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</si>
  <si>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</si>
  <si>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</si>
  <si>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</si>
  <si>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</si>
  <si>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</si>
  <si>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</si>
  <si>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</si>
  <si>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</si>
  <si>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</si>
  <si>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</si>
  <si>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</si>
  <si>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</si>
  <si>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</si>
  <si>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</si>
  <si>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</si>
  <si>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</si>
  <si>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</si>
  <si>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</si>
  <si>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</si>
  <si>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</si>
  <si>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</si>
  <si>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</si>
  <si>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</si>
  <si>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</si>
  <si>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</si>
  <si>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</si>
  <si>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</si>
  <si>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</si>
  <si>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</si>
  <si>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</si>
  <si>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</si>
  <si>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irisleong</t>
  </si>
  <si>
    <r>
      <rPr>
        <b/>
        <sz val="11"/>
        <rFont val="Aptos"/>
        <family val="2"/>
      </rPr>
      <t>Colin Zhang case (OIT):</t>
    </r>
    <r>
      <rPr>
        <sz val="11"/>
        <rFont val="Aptos"/>
        <family val="2"/>
      </rPr>
      <t xml:space="preserve"> Discussed case and our severance package couteroffer with HRBP Yoky and Sana.   Discussed case status with Zhao.</t>
    </r>
  </si>
  <si>
    <r>
      <t>Date: 2025</t>
    </r>
    <r>
      <rPr>
        <b/>
        <sz val="10"/>
        <color theme="0"/>
        <rFont val="等线"/>
        <charset val="134"/>
      </rPr>
      <t xml:space="preserve">-06-09 </t>
    </r>
    <r>
      <rPr>
        <b/>
        <sz val="10"/>
        <color theme="0"/>
        <rFont val="新細明體"/>
        <family val="1"/>
        <charset val="136"/>
      </rPr>
      <t xml:space="preserve">- </t>
    </r>
    <r>
      <rPr>
        <b/>
        <sz val="10"/>
        <color theme="0"/>
        <rFont val="新細明體"/>
        <family val="2"/>
        <scheme val="minor"/>
      </rPr>
      <t>2025-06-15</t>
    </r>
  </si>
  <si>
    <r>
      <rPr>
        <b/>
        <sz val="11"/>
        <color theme="1"/>
        <rFont val="Aptos"/>
        <family val="2"/>
      </rPr>
      <t>Criminal/Child Porn case (Irvine):</t>
    </r>
    <r>
      <rPr>
        <sz val="11"/>
        <color theme="1"/>
        <rFont val="Aptos"/>
        <family val="2"/>
      </rPr>
      <t xml:space="preserve"> Reviewed emails to/from external counsels and Jamin; Reviewing external counsel's case memo.</t>
    </r>
  </si>
  <si>
    <t xml:space="preserve">Reviewed invoices from Fenwick.  Discussed invoice issues with Jamin.  </t>
  </si>
  <si>
    <t xml:space="preserve">Reviewed and analyzed Brazil case of transferring Manpower employee (Vinicius Lima) to LevelUp and his unused comp days issue for his severance.  Reviewed email records from the BP team.  Sent legal analysis to HRBP Zoey and HR Manager Sato.  </t>
  </si>
  <si>
    <t xml:space="preserve">Discussed with Operations team (Teresa and Spring) re: terminating our month-to-month lease with LevelUp in Mexico after we transferred the last Tencent employee to LevelUp.  Reviewed the Space Sharing Agreement.  Drafted the notice of terminating contract for Tencent Mexico and sent to Teresa and Richard Pu for his signature. </t>
  </si>
  <si>
    <t xml:space="preserve">Reviewed and analyzed Chile layoff case of a Manpower employee (Andres Valera).  Reviewed emails from Manpower and HR Manager Sato.  </t>
  </si>
  <si>
    <r>
      <rPr>
        <b/>
        <sz val="11"/>
        <rFont val="Aptos"/>
        <family val="2"/>
      </rPr>
      <t>Dongyan Wang case (OIT):</t>
    </r>
    <r>
      <rPr>
        <sz val="11"/>
        <rFont val="Aptos"/>
        <family val="2"/>
      </rPr>
      <t xml:space="preserve">  Reviewed DY's counsel's response letter.  Reviewed their requests for additional docs for DY's personnel file production.</t>
    </r>
  </si>
  <si>
    <t>Reviewed and revised HR's draft "Reminder regarding personal relocation review process"</t>
  </si>
  <si>
    <t xml:space="preserve">Attended Tencent 401K Committee meeting.  Reviewed meeting agenda PPT. </t>
  </si>
  <si>
    <r>
      <rPr>
        <b/>
        <sz val="11"/>
        <rFont val="Aptos"/>
        <family val="2"/>
      </rPr>
      <t>Beth Zhang case (OIT):</t>
    </r>
    <r>
      <rPr>
        <sz val="11"/>
        <rFont val="Aptos"/>
        <family val="2"/>
      </rPr>
      <t xml:space="preserve"> Meeting with Zhao and external counsel re: case strategy for the arbitration.</t>
    </r>
  </si>
  <si>
    <t>Attended CTD Corporate Legal's biweekly team meeting on 6/9.</t>
  </si>
  <si>
    <t xml:space="preserve">Reviewed and finalized HR Operations/ Immigration team's draft Canada contact card for posting next week. </t>
  </si>
  <si>
    <t xml:space="preserve">Discussed employee grievance case (Miley) with Michael Sahouri re: verbal abuse from the motion capture director in Fgame.
</t>
  </si>
  <si>
    <t>Attended Tencent 401K Governance call with our CLA (CliftonLarsonAllen LLP) auditor.  Discussed the call results with our C&amp;B team (Wenjie).</t>
  </si>
  <si>
    <t>Discussed action plans and extending WFH options with HR and Legal team for the safety of SoCal offices and employees due to the LA riots this week. Reviewed LA local news re: LA riots to update the safety team.</t>
  </si>
  <si>
    <t>Reviewed training slides.  Attended the N.A. Compliance Training: Job Posting and Wage Transparency Requirements on 6/10.</t>
  </si>
  <si>
    <r>
      <rPr>
        <b/>
        <sz val="11"/>
        <rFont val="Aptos"/>
        <family val="2"/>
      </rPr>
      <t>Dongyan Wang case (OIT):</t>
    </r>
    <r>
      <rPr>
        <sz val="11"/>
        <rFont val="Aptos"/>
        <family val="2"/>
      </rPr>
      <t xml:space="preserve">  Meeting with Zhao and external counsel re: our case strategy, his personnel file issues, and our response to his counsel's letter. </t>
    </r>
  </si>
  <si>
    <t xml:space="preserve">Reviewed HQ RTO compliance spreadsheet and inputted our legal analysis for US/Canada regions. 
</t>
  </si>
  <si>
    <t xml:space="preserve">Attended a lunch meeting on 6/11 with external counsel (Morgan Lewis) and with Jamin and Sana.  Discussed case updates.  </t>
  </si>
  <si>
    <r>
      <rPr>
        <b/>
        <sz val="11"/>
        <rFont val="Aptos"/>
        <family val="2"/>
      </rPr>
      <t>Class Action- Milito case (WA):</t>
    </r>
    <r>
      <rPr>
        <sz val="11"/>
        <rFont val="Aptos"/>
        <family val="2"/>
      </rPr>
      <t xml:space="preserve"> Discussed case with Zhao and Jamin.  We will file a removal request from WA state court to federal court based on diversity jurisdiction.  Reviewed coverage letter from EPL insurance and responded to their emails. </t>
    </r>
  </si>
  <si>
    <r>
      <rPr>
        <b/>
        <sz val="11"/>
        <rFont val="Aptos"/>
        <family val="2"/>
      </rPr>
      <t>Beth Zhang case (OIT):</t>
    </r>
    <r>
      <rPr>
        <sz val="11"/>
        <rFont val="Aptos"/>
        <family val="2"/>
      </rPr>
      <t xml:space="preserve"> Reviewed our draft Response to P's Demand for Arbitration, and reviewed emails from external counsel re: chosen arbitrator and case logistics. </t>
    </r>
  </si>
  <si>
    <t xml:space="preserve">Reviewed WA Department of Labor &amp; Industries (L&amp;I)'s audit request for Proxima Beta US.  Discussed issues with Jamin and C&amp;B team.  Reviewed emails from external counsel. </t>
  </si>
  <si>
    <t>Reviewed Litigation team (kainingwang)'s inquiry on Proxima Beta U.S. LLC's corporate info.  Discussed with HR payroll and Finance teams on employees and bank account info.  Responded to kainingwang's inquiry.</t>
  </si>
  <si>
    <t xml:space="preserve">Attended Tencent's training in Udemy: "Future Skills for the AI Era: From Knowledge to Navigation" on 6/12. </t>
  </si>
  <si>
    <t>Reviewed WaiverFile platform subscription's annual renewal and emails from HR Sangeeta and HRD Yinuo.</t>
  </si>
  <si>
    <t xml:space="preserve">Discussed with HRD Yinuo and Jamin re: WA state's noncompete agreement isdues and its compliance requirements.  Conducted research on this issue. </t>
  </si>
  <si>
    <t xml:space="preserve">Meetings with HRBP Lili and ER Manager Sana re: Tencent Cloud salesperson's (Paul Zhang) inquiry re: his completion rate in the system does not align with his bonus payment.  Reviewed and revised our draft response to this employee regarding his case.  Reviewed and discussed the employee's grievance and his refusal to accept our investigation result. 
</t>
  </si>
  <si>
    <t>Reviewed and discussed the upcoming layoff of a CDG employee (Eleanor Chang) with HRD Yinuo, HRBP Yitong, and BG rep Cat Leung; her expected termination date is Feb 2026.  Reviewed Yitong's draft memo.</t>
  </si>
  <si>
    <t xml:space="preserve">Updated weekly timesheet each day; and organized and replied to emails.  </t>
  </si>
  <si>
    <t xml:space="preserve">Reviewed 2025 EPL Insurance Policy renewal with our insurance broker (Scott Taylor).  Reviewed and responded to his emails and inquiries for additional info and docs.  Sent EPL a list of case summary.  Discussed choice of defense counsels with Zhao.  Reviewed policy proposals.  </t>
  </si>
  <si>
    <t>Reviewed TAMC Meeting Minutes for June 2025.  Reviewed emails sent to TAMC inbox re: Employee Voice suggestions &amp; feedbacks.</t>
  </si>
  <si>
    <t>Discussed with IEGG Legal (Siyuan &amp; Veronica) re: drafting resale contract between IEGG in Brazil/Mexico and LevelUp for the transfer of the IT equipments to LevelUp.</t>
  </si>
  <si>
    <r>
      <rPr>
        <sz val="11"/>
        <color theme="1"/>
        <rFont val="Aptos"/>
        <family val="2"/>
      </rPr>
      <t>Received and reviewed 1 set of Service of Process docs served to Tencent Cloud through our registered agent Paracorp, regarding the bankruptcy case (In re: Edgio, Inc.).   Reviewed Paracorp invoices on the bankruptcy case filings,</t>
    </r>
    <r>
      <rPr>
        <sz val="11"/>
        <rFont val="Aptos"/>
        <family val="2"/>
      </rPr>
      <t xml:space="preserve"> Tencent America (MA), Tencent America (Hawaii), and Tencent Pictures' annual reports; and sent to Finance team for processing. </t>
    </r>
  </si>
  <si>
    <r>
      <rPr>
        <b/>
        <sz val="11"/>
        <rFont val="Aptos"/>
        <family val="2"/>
      </rPr>
      <t>Jasmine Su Ai case (OIT):</t>
    </r>
    <r>
      <rPr>
        <sz val="11"/>
        <rFont val="Aptos"/>
        <family val="2"/>
      </rPr>
      <t xml:space="preserve"> Reviewed her lawyer's personnel file request with Zhao, Jamin and HRBP Yoky.  Reviewed case file and sent csse summary to Brent, HRD Yinuo and Zhao.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</si>
</sst>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6">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name val="Aptos"/>
      <family val="2"/>
    </font>
    <font>
      <i/>
      <sz val="10"/>
      <name val="新細明體"/>
      <family val="2"/>
      <scheme val="minor"/>
    </font>
    <font>
      <b/>
      <sz val="11"/>
      <name val="Aptos"/>
      <family val="2"/>
    </font>
    <font>
      <sz val="11"/>
      <color theme="1"/>
      <name val="Aptos"/>
      <family val="2"/>
    </font>
    <font>
      <b/>
      <sz val="11"/>
      <color theme="1"/>
      <name val="Aptos"/>
      <family val="2"/>
    </font>
    <font>
      <i/>
      <sz val="10"/>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6" borderId="1" xfId="0" applyFont="1" applyFill="1" applyBorder="1" applyAlignment="1">
      <alignment vertical="center" wrapText="1"/>
    </xf>
    <xf numFmtId="0" fontId="31" fillId="5" borderId="14" xfId="0" applyFont="1" applyFill="1" applyBorder="1" applyAlignment="1">
      <alignment vertical="center" wrapText="1"/>
    </xf>
    <xf numFmtId="0" fontId="33" fillId="6" borderId="1" xfId="0" applyFont="1" applyFill="1" applyBorder="1" applyAlignment="1">
      <alignment vertical="center" wrapText="1"/>
    </xf>
    <xf numFmtId="177" fontId="35" fillId="5" borderId="1" xfId="0" applyNumberFormat="1" applyFont="1" applyFill="1" applyBorder="1" applyAlignment="1">
      <alignment horizontal="center"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6"/>
  <sheetViews>
    <sheetView tabSelected="1" topLeftCell="A30" zoomScaleNormal="95" workbookViewId="0">
      <selection activeCell="A33" sqref="A33:XFD3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340</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6.5" customHeight="1">
      <c r="B6" s="8" t="s">
        <v>338</v>
      </c>
      <c r="C6" s="9" t="s">
        <v>25</v>
      </c>
      <c r="D6" s="10" t="s">
        <v>26</v>
      </c>
      <c r="E6" s="10" t="s">
        <v>30</v>
      </c>
      <c r="F6" s="9" t="s">
        <v>325</v>
      </c>
      <c r="G6" s="78">
        <v>0.5</v>
      </c>
      <c r="H6" s="9" t="s">
        <v>73</v>
      </c>
      <c r="I6" s="75" t="s">
        <v>346</v>
      </c>
    </row>
    <row r="7" spans="1:9" s="2" customFormat="1" ht="61.5" customHeight="1">
      <c r="B7" s="8" t="s">
        <v>338</v>
      </c>
      <c r="C7" s="9" t="s">
        <v>25</v>
      </c>
      <c r="D7" s="10" t="s">
        <v>26</v>
      </c>
      <c r="E7" s="10" t="s">
        <v>30</v>
      </c>
      <c r="F7" s="9" t="s">
        <v>325</v>
      </c>
      <c r="G7" s="78">
        <v>1</v>
      </c>
      <c r="H7" s="9" t="s">
        <v>27</v>
      </c>
      <c r="I7" s="75" t="s">
        <v>356</v>
      </c>
    </row>
    <row r="8" spans="1:9" s="2" customFormat="1" ht="63.5" customHeight="1">
      <c r="B8" s="8" t="s">
        <v>338</v>
      </c>
      <c r="C8" s="9" t="s">
        <v>25</v>
      </c>
      <c r="D8" s="10" t="s">
        <v>26</v>
      </c>
      <c r="E8" s="10" t="s">
        <v>30</v>
      </c>
      <c r="F8" s="9" t="s">
        <v>325</v>
      </c>
      <c r="G8" s="78">
        <v>0.7</v>
      </c>
      <c r="H8" s="9" t="s">
        <v>27</v>
      </c>
      <c r="I8" s="75" t="s">
        <v>360</v>
      </c>
    </row>
    <row r="9" spans="1:9" s="2" customFormat="1" ht="40.5" customHeight="1">
      <c r="B9" s="8" t="s">
        <v>338</v>
      </c>
      <c r="C9" s="9" t="s">
        <v>25</v>
      </c>
      <c r="D9" s="10" t="s">
        <v>26</v>
      </c>
      <c r="E9" s="10" t="s">
        <v>30</v>
      </c>
      <c r="F9" s="9" t="s">
        <v>325</v>
      </c>
      <c r="G9" s="78">
        <v>0.5</v>
      </c>
      <c r="H9" s="9" t="s">
        <v>27</v>
      </c>
      <c r="I9" s="75" t="s">
        <v>349</v>
      </c>
    </row>
    <row r="10" spans="1:9" s="2" customFormat="1" ht="51" customHeight="1">
      <c r="B10" s="8" t="s">
        <v>338</v>
      </c>
      <c r="C10" s="9" t="s">
        <v>25</v>
      </c>
      <c r="D10" s="10" t="s">
        <v>26</v>
      </c>
      <c r="E10" s="10" t="s">
        <v>30</v>
      </c>
      <c r="F10" s="9" t="s">
        <v>325</v>
      </c>
      <c r="G10" s="78">
        <v>0.5</v>
      </c>
      <c r="H10" s="9" t="s">
        <v>27</v>
      </c>
      <c r="I10" s="75" t="s">
        <v>339</v>
      </c>
    </row>
    <row r="11" spans="1:9" s="2" customFormat="1" ht="62" customHeight="1">
      <c r="B11" s="8" t="s">
        <v>338</v>
      </c>
      <c r="C11" s="9" t="s">
        <v>25</v>
      </c>
      <c r="D11" s="10" t="s">
        <v>26</v>
      </c>
      <c r="E11" s="10" t="s">
        <v>30</v>
      </c>
      <c r="F11" s="9" t="s">
        <v>325</v>
      </c>
      <c r="G11" s="78">
        <v>1</v>
      </c>
      <c r="H11" s="9" t="s">
        <v>27</v>
      </c>
      <c r="I11" s="75" t="s">
        <v>373</v>
      </c>
    </row>
    <row r="12" spans="1:9" s="2" customFormat="1" ht="91" customHeight="1">
      <c r="B12" s="8" t="s">
        <v>338</v>
      </c>
      <c r="C12" s="9" t="s">
        <v>25</v>
      </c>
      <c r="D12" s="10" t="s">
        <v>26</v>
      </c>
      <c r="E12" s="10" t="s">
        <v>30</v>
      </c>
      <c r="F12" s="9" t="s">
        <v>325</v>
      </c>
      <c r="G12" s="78">
        <v>0.7</v>
      </c>
      <c r="H12" s="9" t="s">
        <v>27</v>
      </c>
      <c r="I12" s="75" t="s">
        <v>359</v>
      </c>
    </row>
    <row r="13" spans="1:9" s="2" customFormat="1" ht="49.5" customHeight="1">
      <c r="B13" s="8" t="s">
        <v>338</v>
      </c>
      <c r="C13" s="9" t="s">
        <v>25</v>
      </c>
      <c r="D13" s="10" t="s">
        <v>26</v>
      </c>
      <c r="E13" s="10" t="s">
        <v>30</v>
      </c>
      <c r="F13" s="9" t="s">
        <v>325</v>
      </c>
      <c r="G13" s="78">
        <v>0.7</v>
      </c>
      <c r="H13" s="9" t="s">
        <v>73</v>
      </c>
      <c r="I13" s="77" t="s">
        <v>341</v>
      </c>
    </row>
    <row r="14" spans="1:9" s="2" customFormat="1" ht="70.5" customHeight="1">
      <c r="B14" s="8" t="s">
        <v>338</v>
      </c>
      <c r="C14" s="9" t="s">
        <v>25</v>
      </c>
      <c r="D14" s="10" t="s">
        <v>26</v>
      </c>
      <c r="E14" s="10" t="s">
        <v>30</v>
      </c>
      <c r="F14" s="9" t="s">
        <v>325</v>
      </c>
      <c r="G14" s="78">
        <v>1.5</v>
      </c>
      <c r="H14" s="9" t="s">
        <v>27</v>
      </c>
      <c r="I14" s="75" t="s">
        <v>367</v>
      </c>
    </row>
    <row r="15" spans="1:9" s="2" customFormat="1" ht="48.5" customHeight="1">
      <c r="B15" s="8" t="s">
        <v>338</v>
      </c>
      <c r="C15" s="9" t="s">
        <v>25</v>
      </c>
      <c r="D15" s="10" t="s">
        <v>26</v>
      </c>
      <c r="E15" s="10" t="s">
        <v>30</v>
      </c>
      <c r="F15" s="9" t="s">
        <v>325</v>
      </c>
      <c r="G15" s="78">
        <v>0.5</v>
      </c>
      <c r="H15" s="9" t="s">
        <v>73</v>
      </c>
      <c r="I15" s="75" t="s">
        <v>345</v>
      </c>
    </row>
    <row r="16" spans="1:9" s="2" customFormat="1" ht="90.5" customHeight="1">
      <c r="B16" s="8" t="s">
        <v>338</v>
      </c>
      <c r="C16" s="9" t="s">
        <v>25</v>
      </c>
      <c r="D16" s="10" t="s">
        <v>26</v>
      </c>
      <c r="E16" s="10" t="s">
        <v>30</v>
      </c>
      <c r="F16" s="9" t="s">
        <v>325</v>
      </c>
      <c r="G16" s="78">
        <v>1.5</v>
      </c>
      <c r="H16" s="9" t="s">
        <v>73</v>
      </c>
      <c r="I16" s="75" t="s">
        <v>343</v>
      </c>
    </row>
    <row r="17" spans="2:9" s="2" customFormat="1" ht="66.5" customHeight="1">
      <c r="B17" s="8" t="s">
        <v>338</v>
      </c>
      <c r="C17" s="9" t="s">
        <v>17</v>
      </c>
      <c r="D17" s="10" t="s">
        <v>53</v>
      </c>
      <c r="E17" s="10" t="s">
        <v>30</v>
      </c>
      <c r="F17" s="9" t="s">
        <v>332</v>
      </c>
      <c r="G17" s="78">
        <v>0.5</v>
      </c>
      <c r="H17" s="9" t="s">
        <v>27</v>
      </c>
      <c r="I17" s="77" t="s">
        <v>371</v>
      </c>
    </row>
    <row r="18" spans="2:9" s="2" customFormat="1" ht="56" customHeight="1">
      <c r="B18" s="8" t="s">
        <v>338</v>
      </c>
      <c r="C18" s="9" t="s">
        <v>25</v>
      </c>
      <c r="D18" s="10" t="s">
        <v>26</v>
      </c>
      <c r="E18" s="10" t="s">
        <v>30</v>
      </c>
      <c r="F18" s="9" t="s">
        <v>325</v>
      </c>
      <c r="G18" s="78">
        <v>0.5</v>
      </c>
      <c r="H18" s="9" t="s">
        <v>27</v>
      </c>
      <c r="I18" s="75" t="s">
        <v>352</v>
      </c>
    </row>
    <row r="19" spans="2:9" s="2" customFormat="1" ht="126.5" customHeight="1">
      <c r="B19" s="8" t="s">
        <v>338</v>
      </c>
      <c r="C19" s="9" t="s">
        <v>25</v>
      </c>
      <c r="D19" s="10" t="s">
        <v>26</v>
      </c>
      <c r="E19" s="10" t="s">
        <v>30</v>
      </c>
      <c r="F19" s="9" t="s">
        <v>325</v>
      </c>
      <c r="G19" s="78">
        <v>2.5</v>
      </c>
      <c r="H19" s="9" t="s">
        <v>27</v>
      </c>
      <c r="I19" s="75" t="s">
        <v>366</v>
      </c>
    </row>
    <row r="20" spans="2:9" s="2" customFormat="1" ht="37.5" customHeight="1">
      <c r="B20" s="8" t="s">
        <v>338</v>
      </c>
      <c r="C20" s="9" t="s">
        <v>25</v>
      </c>
      <c r="D20" s="10" t="s">
        <v>26</v>
      </c>
      <c r="E20" s="10" t="s">
        <v>30</v>
      </c>
      <c r="F20" s="9" t="s">
        <v>325</v>
      </c>
      <c r="G20" s="78">
        <v>0.5</v>
      </c>
      <c r="H20" s="9" t="s">
        <v>73</v>
      </c>
      <c r="I20" s="75" t="s">
        <v>347</v>
      </c>
    </row>
    <row r="21" spans="2:9" s="2" customFormat="1" ht="47.5" customHeight="1">
      <c r="B21" s="8" t="s">
        <v>338</v>
      </c>
      <c r="C21" s="9" t="s">
        <v>25</v>
      </c>
      <c r="D21" s="10" t="s">
        <v>26</v>
      </c>
      <c r="E21" s="10" t="s">
        <v>30</v>
      </c>
      <c r="F21" s="9" t="s">
        <v>325</v>
      </c>
      <c r="G21" s="78">
        <v>0.3</v>
      </c>
      <c r="H21" s="9" t="s">
        <v>73</v>
      </c>
      <c r="I21" s="75" t="s">
        <v>364</v>
      </c>
    </row>
    <row r="22" spans="2:9" s="2" customFormat="1" ht="60" customHeight="1">
      <c r="B22" s="8" t="s">
        <v>338</v>
      </c>
      <c r="C22" s="9" t="s">
        <v>25</v>
      </c>
      <c r="D22" s="10" t="s">
        <v>26</v>
      </c>
      <c r="E22" s="10" t="s">
        <v>30</v>
      </c>
      <c r="F22" s="9" t="s">
        <v>325</v>
      </c>
      <c r="G22" s="78">
        <v>1</v>
      </c>
      <c r="H22" s="9" t="s">
        <v>27</v>
      </c>
      <c r="I22" s="75" t="s">
        <v>361</v>
      </c>
    </row>
    <row r="23" spans="2:9" s="2" customFormat="1" ht="62.5" customHeight="1">
      <c r="B23" s="8" t="s">
        <v>338</v>
      </c>
      <c r="C23" s="9" t="s">
        <v>25</v>
      </c>
      <c r="D23" s="10" t="s">
        <v>26</v>
      </c>
      <c r="E23" s="10" t="s">
        <v>30</v>
      </c>
      <c r="F23" s="9" t="s">
        <v>325</v>
      </c>
      <c r="G23" s="78">
        <v>0.5</v>
      </c>
      <c r="H23" s="9" t="s">
        <v>27</v>
      </c>
      <c r="I23" s="75" t="s">
        <v>365</v>
      </c>
    </row>
    <row r="24" spans="2:9" s="2" customFormat="1" ht="50.5" customHeight="1">
      <c r="B24" s="8" t="s">
        <v>338</v>
      </c>
      <c r="C24" s="9" t="s">
        <v>25</v>
      </c>
      <c r="D24" s="10" t="s">
        <v>26</v>
      </c>
      <c r="E24" s="10" t="s">
        <v>30</v>
      </c>
      <c r="F24" s="9" t="s">
        <v>325</v>
      </c>
      <c r="G24" s="78">
        <v>0.7</v>
      </c>
      <c r="H24" s="9" t="s">
        <v>21</v>
      </c>
      <c r="I24" s="75" t="s">
        <v>353</v>
      </c>
    </row>
    <row r="25" spans="2:9" s="2" customFormat="1" ht="33.5" customHeight="1">
      <c r="B25" s="8" t="s">
        <v>338</v>
      </c>
      <c r="C25" s="9" t="s">
        <v>25</v>
      </c>
      <c r="D25" s="10" t="s">
        <v>26</v>
      </c>
      <c r="E25" s="10" t="s">
        <v>30</v>
      </c>
      <c r="F25" s="9" t="s">
        <v>325</v>
      </c>
      <c r="G25" s="78">
        <v>1</v>
      </c>
      <c r="H25" s="9" t="s">
        <v>21</v>
      </c>
      <c r="I25" s="75" t="s">
        <v>348</v>
      </c>
    </row>
    <row r="26" spans="2:9" s="2" customFormat="1" ht="78.5" customHeight="1">
      <c r="B26" s="8" t="s">
        <v>338</v>
      </c>
      <c r="C26" s="9" t="s">
        <v>25</v>
      </c>
      <c r="D26" s="10" t="s">
        <v>26</v>
      </c>
      <c r="E26" s="10" t="s">
        <v>30</v>
      </c>
      <c r="F26" s="9" t="s">
        <v>325</v>
      </c>
      <c r="G26" s="78">
        <v>1</v>
      </c>
      <c r="H26" s="9" t="s">
        <v>27</v>
      </c>
      <c r="I26" s="75" t="s">
        <v>354</v>
      </c>
    </row>
    <row r="27" spans="2:9" s="2" customFormat="1" ht="52" customHeight="1">
      <c r="B27" s="8" t="s">
        <v>338</v>
      </c>
      <c r="C27" s="9" t="s">
        <v>25</v>
      </c>
      <c r="D27" s="10" t="s">
        <v>26</v>
      </c>
      <c r="E27" s="10" t="s">
        <v>30</v>
      </c>
      <c r="F27" s="9" t="s">
        <v>325</v>
      </c>
      <c r="G27" s="78">
        <v>0.3</v>
      </c>
      <c r="H27" s="9" t="s">
        <v>73</v>
      </c>
      <c r="I27" s="75" t="s">
        <v>351</v>
      </c>
    </row>
    <row r="28" spans="2:9" s="2" customFormat="1" ht="42" customHeight="1">
      <c r="B28" s="8" t="s">
        <v>338</v>
      </c>
      <c r="C28" s="9" t="s">
        <v>25</v>
      </c>
      <c r="D28" s="10" t="s">
        <v>26</v>
      </c>
      <c r="E28" s="10" t="s">
        <v>30</v>
      </c>
      <c r="F28" s="9" t="s">
        <v>325</v>
      </c>
      <c r="G28" s="78">
        <v>1</v>
      </c>
      <c r="H28" s="9" t="s">
        <v>73</v>
      </c>
      <c r="I28" s="75" t="s">
        <v>357</v>
      </c>
    </row>
    <row r="29" spans="2:9" s="2" customFormat="1" ht="105" customHeight="1">
      <c r="B29" s="8" t="s">
        <v>338</v>
      </c>
      <c r="C29" s="9" t="s">
        <v>43</v>
      </c>
      <c r="D29" s="10" t="s">
        <v>49</v>
      </c>
      <c r="E29" s="10" t="s">
        <v>30</v>
      </c>
      <c r="F29" s="9" t="s">
        <v>332</v>
      </c>
      <c r="G29" s="78">
        <v>2.5</v>
      </c>
      <c r="H29" s="9" t="s">
        <v>73</v>
      </c>
      <c r="I29" s="75" t="s">
        <v>369</v>
      </c>
    </row>
    <row r="30" spans="2:9" s="2" customFormat="1" ht="104" customHeight="1">
      <c r="B30" s="8" t="s">
        <v>338</v>
      </c>
      <c r="C30" s="9" t="s">
        <v>43</v>
      </c>
      <c r="D30" s="10" t="s">
        <v>49</v>
      </c>
      <c r="E30" s="10" t="s">
        <v>30</v>
      </c>
      <c r="F30" s="9" t="s">
        <v>332</v>
      </c>
      <c r="G30" s="78">
        <v>1.5</v>
      </c>
      <c r="H30" s="9" t="s">
        <v>73</v>
      </c>
      <c r="I30" s="75" t="s">
        <v>344</v>
      </c>
    </row>
    <row r="31" spans="2:9" s="2" customFormat="1" ht="80.5" customHeight="1">
      <c r="B31" s="8" t="s">
        <v>338</v>
      </c>
      <c r="C31" s="9" t="s">
        <v>43</v>
      </c>
      <c r="D31" s="10" t="s">
        <v>18</v>
      </c>
      <c r="E31" s="10" t="s">
        <v>34</v>
      </c>
      <c r="F31" s="9" t="s">
        <v>42</v>
      </c>
      <c r="G31" s="78">
        <v>0.5</v>
      </c>
      <c r="H31" s="9" t="s">
        <v>27</v>
      </c>
      <c r="I31" s="75" t="s">
        <v>362</v>
      </c>
    </row>
    <row r="32" spans="2:9" s="2" customFormat="1" ht="119.5" customHeight="1">
      <c r="B32" s="8" t="s">
        <v>338</v>
      </c>
      <c r="C32" s="9" t="s">
        <v>43</v>
      </c>
      <c r="D32" s="10" t="s">
        <v>18</v>
      </c>
      <c r="E32" s="10" t="s">
        <v>34</v>
      </c>
      <c r="F32" s="9" t="s">
        <v>42</v>
      </c>
      <c r="G32" s="78">
        <v>0.5</v>
      </c>
      <c r="H32" s="9" t="s">
        <v>73</v>
      </c>
      <c r="I32" s="75" t="s">
        <v>372</v>
      </c>
    </row>
    <row r="33" spans="2:9" s="2" customFormat="1" ht="34" customHeight="1">
      <c r="B33" s="8" t="s">
        <v>338</v>
      </c>
      <c r="C33" s="9" t="s">
        <v>28</v>
      </c>
      <c r="D33" s="10" t="s">
        <v>31</v>
      </c>
      <c r="E33" s="10" t="s">
        <v>33</v>
      </c>
      <c r="F33" s="9" t="s">
        <v>36</v>
      </c>
      <c r="G33" s="78">
        <v>0.3</v>
      </c>
      <c r="H33" s="9" t="s">
        <v>73</v>
      </c>
      <c r="I33" s="75" t="s">
        <v>342</v>
      </c>
    </row>
    <row r="34" spans="2:9" s="2" customFormat="1" ht="32.5" customHeight="1">
      <c r="B34" s="8" t="s">
        <v>338</v>
      </c>
      <c r="C34" s="9" t="s">
        <v>28</v>
      </c>
      <c r="D34" s="10" t="s">
        <v>31</v>
      </c>
      <c r="E34" s="10" t="s">
        <v>33</v>
      </c>
      <c r="F34" s="9" t="s">
        <v>35</v>
      </c>
      <c r="G34" s="78">
        <v>0.8</v>
      </c>
      <c r="H34" s="9" t="s">
        <v>21</v>
      </c>
      <c r="I34" s="75" t="s">
        <v>350</v>
      </c>
    </row>
    <row r="35" spans="2:9" s="2" customFormat="1" ht="46" customHeight="1">
      <c r="B35" s="8" t="s">
        <v>338</v>
      </c>
      <c r="C35" s="9" t="s">
        <v>28</v>
      </c>
      <c r="D35" s="10" t="s">
        <v>31</v>
      </c>
      <c r="E35" s="10" t="s">
        <v>33</v>
      </c>
      <c r="F35" s="9" t="s">
        <v>35</v>
      </c>
      <c r="G35" s="78">
        <v>1</v>
      </c>
      <c r="H35" s="9" t="s">
        <v>21</v>
      </c>
      <c r="I35" s="75" t="s">
        <v>370</v>
      </c>
    </row>
    <row r="36" spans="2:9" s="2" customFormat="1" ht="45" customHeight="1">
      <c r="B36" s="8" t="s">
        <v>338</v>
      </c>
      <c r="C36" s="9" t="s">
        <v>25</v>
      </c>
      <c r="D36" s="10" t="s">
        <v>26</v>
      </c>
      <c r="E36" s="10" t="s">
        <v>30</v>
      </c>
      <c r="F36" s="9" t="s">
        <v>325</v>
      </c>
      <c r="G36" s="78">
        <v>1.5</v>
      </c>
      <c r="H36" s="9" t="s">
        <v>77</v>
      </c>
      <c r="I36" s="75" t="s">
        <v>355</v>
      </c>
    </row>
    <row r="37" spans="2:9" s="2" customFormat="1" ht="49" customHeight="1">
      <c r="B37" s="8" t="s">
        <v>338</v>
      </c>
      <c r="C37" s="9" t="s">
        <v>28</v>
      </c>
      <c r="D37" s="10" t="s">
        <v>31</v>
      </c>
      <c r="E37" s="10" t="s">
        <v>33</v>
      </c>
      <c r="F37" s="9" t="s">
        <v>35</v>
      </c>
      <c r="G37" s="78">
        <v>1.5</v>
      </c>
      <c r="H37" s="9" t="s">
        <v>21</v>
      </c>
      <c r="I37" s="75" t="s">
        <v>358</v>
      </c>
    </row>
    <row r="38" spans="2:9" s="2" customFormat="1" ht="49" customHeight="1">
      <c r="B38" s="8" t="s">
        <v>338</v>
      </c>
      <c r="C38" s="9" t="s">
        <v>28</v>
      </c>
      <c r="D38" s="10" t="s">
        <v>31</v>
      </c>
      <c r="E38" s="10" t="s">
        <v>33</v>
      </c>
      <c r="F38" s="9" t="s">
        <v>35</v>
      </c>
      <c r="G38" s="78">
        <v>1</v>
      </c>
      <c r="H38" s="9" t="s">
        <v>77</v>
      </c>
      <c r="I38" s="75" t="s">
        <v>363</v>
      </c>
    </row>
    <row r="39" spans="2:9" s="2" customFormat="1" ht="35" customHeight="1">
      <c r="B39" s="8" t="s">
        <v>338</v>
      </c>
      <c r="C39" s="9" t="s">
        <v>28</v>
      </c>
      <c r="D39" s="10" t="s">
        <v>31</v>
      </c>
      <c r="E39" s="10" t="s">
        <v>33</v>
      </c>
      <c r="F39" s="9" t="s">
        <v>39</v>
      </c>
      <c r="G39" s="78">
        <v>12</v>
      </c>
      <c r="H39" s="9" t="s">
        <v>31</v>
      </c>
      <c r="I39" s="75" t="s">
        <v>368</v>
      </c>
    </row>
    <row r="40" spans="2:9" s="2" customFormat="1" ht="13.5">
      <c r="B40" s="8"/>
      <c r="C40" s="9"/>
      <c r="D40" s="10"/>
      <c r="E40" s="10"/>
      <c r="F40" s="9"/>
      <c r="G40" s="78"/>
      <c r="H40" s="9"/>
      <c r="I40" s="76"/>
    </row>
    <row r="41" spans="2:9" s="2" customFormat="1" ht="13.5">
      <c r="B41" s="8"/>
      <c r="C41" s="9"/>
      <c r="D41" s="10"/>
      <c r="E41" s="10"/>
      <c r="F41" s="9"/>
      <c r="G41" s="11"/>
      <c r="H41" s="9"/>
      <c r="I41" s="76"/>
    </row>
    <row r="42" spans="2:9" s="2" customFormat="1" ht="13.5">
      <c r="B42" s="8"/>
      <c r="C42" s="9"/>
      <c r="D42" s="10"/>
      <c r="E42" s="10"/>
      <c r="F42" s="9"/>
      <c r="G42" s="11"/>
      <c r="H42" s="9"/>
      <c r="I42" s="16"/>
    </row>
    <row r="43" spans="2:9" s="2" customFormat="1" ht="14.5" customHeight="1">
      <c r="B43" s="83" t="s">
        <v>32</v>
      </c>
      <c r="C43" s="84"/>
      <c r="D43" s="85"/>
      <c r="E43" s="12"/>
      <c r="F43" s="12"/>
      <c r="G43" s="86">
        <f>SUM(G6:G42)</f>
        <v>42</v>
      </c>
      <c r="H43" s="87"/>
      <c r="I43" s="88"/>
    </row>
    <row r="45" spans="2:9">
      <c r="B45" s="17" t="s">
        <v>81</v>
      </c>
      <c r="C45" s="18"/>
    </row>
    <row r="46" spans="2:9">
      <c r="C46" s="18"/>
    </row>
  </sheetData>
  <mergeCells count="4">
    <mergeCell ref="B1:I1"/>
    <mergeCell ref="B2:H2"/>
    <mergeCell ref="B43:D43"/>
    <mergeCell ref="G43:I43"/>
  </mergeCells>
  <phoneticPr fontId="10" type="noConversion"/>
  <dataValidations count="3">
    <dataValidation type="list" errorStyle="warning" allowBlank="1" sqref="C29:C42" xr:uid="{00000000-0002-0000-0000-000005000000}">
      <formula1>项目事项分类项目名称</formula1>
    </dataValidation>
    <dataValidation type="list" allowBlank="1" showInputMessage="1" showErrorMessage="1" sqref="F6:F42" xr:uid="{00000000-0002-0000-0000-000002000000}">
      <formula1>INDIRECT($E6)</formula1>
    </dataValidation>
    <dataValidation type="list" allowBlank="1" showInputMessage="1" showErrorMessage="1" sqref="H6:H42" xr:uid="{00000000-0002-0000-0000-000006000000}">
      <formula1>事项分类指定内容</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D12 D39:D42 D6:D9 D17 D29:D32</xm:sqref>
        </x14:dataValidation>
        <x14:dataValidation type="list" allowBlank="1" showInputMessage="1" showErrorMessage="1" xr:uid="{00000000-0002-0000-0000-000007000000}">
          <x14:formula1>
            <xm:f>Tag!$B$2:$E$2</xm:f>
          </x14:formula1>
          <xm:sqref>E12 E39:E42 E6:E9 E17 E29:E32</xm:sqref>
        </x14:dataValidation>
        <x14:dataValidation type="list" errorStyle="warning" allowBlank="1" xr:uid="{00000000-0002-0000-0000-000003000000}">
          <x14:formula1>
            <xm:f>'Exhibit I - Virtual Group'!$A$1:$A$7</xm:f>
          </x14:formula1>
          <xm:sqref>C12 C6:C9 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3" t="s">
        <v>92</v>
      </c>
      <c r="D1" s="124"/>
      <c r="E1" s="124"/>
      <c r="F1" s="124"/>
      <c r="G1" s="124"/>
      <c r="H1" s="124"/>
      <c r="I1" s="124"/>
      <c r="J1" s="124"/>
      <c r="K1" s="124"/>
      <c r="L1" s="124"/>
      <c r="M1" s="124"/>
      <c r="N1" s="124"/>
    </row>
    <row r="2" spans="2:14">
      <c r="C2" s="125" t="s">
        <v>93</v>
      </c>
      <c r="D2" s="125"/>
      <c r="E2" s="125"/>
      <c r="F2" s="125"/>
      <c r="G2" s="125"/>
      <c r="H2" s="125"/>
      <c r="I2" s="125"/>
      <c r="J2" s="125"/>
      <c r="K2" s="125"/>
      <c r="L2" s="125"/>
      <c r="M2" s="125"/>
      <c r="N2" s="125"/>
    </row>
    <row r="3" spans="2:14">
      <c r="C3" s="126" t="s">
        <v>94</v>
      </c>
      <c r="D3" s="128" t="s">
        <v>95</v>
      </c>
      <c r="E3" s="109"/>
      <c r="F3" s="126" t="s">
        <v>96</v>
      </c>
      <c r="G3" s="126" t="s">
        <v>97</v>
      </c>
      <c r="H3" s="126" t="s">
        <v>98</v>
      </c>
      <c r="I3" s="129" t="s">
        <v>99</v>
      </c>
      <c r="J3" s="126" t="s">
        <v>63</v>
      </c>
      <c r="K3" s="130" t="s">
        <v>62</v>
      </c>
      <c r="L3" s="131"/>
      <c r="M3" s="131"/>
      <c r="N3" s="132"/>
    </row>
    <row r="4" spans="2:14">
      <c r="C4" s="127"/>
      <c r="D4" s="108"/>
      <c r="E4" s="120"/>
      <c r="F4" s="127"/>
      <c r="G4" s="127"/>
      <c r="H4" s="127"/>
      <c r="I4" s="127"/>
      <c r="J4" s="127"/>
      <c r="K4" s="20" t="s">
        <v>64</v>
      </c>
      <c r="L4" s="20" t="s">
        <v>65</v>
      </c>
      <c r="M4" s="20" t="s">
        <v>66</v>
      </c>
      <c r="N4" s="20" t="s">
        <v>67</v>
      </c>
    </row>
    <row r="5" spans="2:14" ht="108.5" outlineLevel="1">
      <c r="C5" s="21" t="s">
        <v>100</v>
      </c>
      <c r="D5" s="111" t="s">
        <v>101</v>
      </c>
      <c r="E5" s="104"/>
      <c r="F5" s="22" t="s">
        <v>102</v>
      </c>
      <c r="G5" s="21" t="s">
        <v>103</v>
      </c>
      <c r="H5" s="21" t="s">
        <v>104</v>
      </c>
      <c r="I5" s="21" t="s">
        <v>105</v>
      </c>
      <c r="J5" s="21" t="s">
        <v>106</v>
      </c>
      <c r="K5" s="112" t="s">
        <v>107</v>
      </c>
      <c r="L5" s="112"/>
      <c r="M5" s="112"/>
      <c r="N5" s="112"/>
    </row>
    <row r="6" spans="2:14" s="23" customFormat="1" ht="201.5" outlineLevel="1">
      <c r="B6" s="95"/>
      <c r="C6" s="97" t="s">
        <v>108</v>
      </c>
      <c r="D6" s="11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5"/>
      <c r="C7" s="113"/>
      <c r="D7" s="113"/>
      <c r="E7" s="32" t="s">
        <v>116</v>
      </c>
      <c r="F7" s="33" t="s">
        <v>117</v>
      </c>
      <c r="G7" s="27" t="s">
        <v>118</v>
      </c>
      <c r="H7" s="34">
        <v>5</v>
      </c>
      <c r="I7" s="35" t="s">
        <v>119</v>
      </c>
      <c r="J7" s="29" t="s">
        <v>120</v>
      </c>
      <c r="K7" s="36" t="s">
        <v>121</v>
      </c>
      <c r="L7" s="37" t="s">
        <v>115</v>
      </c>
      <c r="M7" s="36" t="s">
        <v>122</v>
      </c>
      <c r="N7" s="38" t="s">
        <v>123</v>
      </c>
    </row>
    <row r="8" spans="2:14" s="23" customFormat="1" ht="217" outlineLevel="1">
      <c r="B8" s="95"/>
      <c r="C8" s="114"/>
      <c r="D8" s="11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5"/>
      <c r="C9" s="114"/>
      <c r="D9" s="118"/>
      <c r="E9" s="27" t="s">
        <v>131</v>
      </c>
      <c r="F9" s="26" t="s">
        <v>132</v>
      </c>
      <c r="G9" s="39" t="s">
        <v>133</v>
      </c>
      <c r="H9" s="28">
        <v>5</v>
      </c>
      <c r="I9" s="29" t="s">
        <v>128</v>
      </c>
      <c r="J9" s="29" t="s">
        <v>134</v>
      </c>
      <c r="K9" s="39" t="s">
        <v>135</v>
      </c>
      <c r="L9" s="39" t="s">
        <v>136</v>
      </c>
      <c r="M9" s="39" t="s">
        <v>137</v>
      </c>
      <c r="N9" s="38" t="s">
        <v>137</v>
      </c>
    </row>
    <row r="10" spans="2:14" s="23" customFormat="1" ht="77.5" outlineLevel="1">
      <c r="B10" s="95"/>
      <c r="C10" s="113"/>
      <c r="D10" s="119" t="s">
        <v>138</v>
      </c>
      <c r="E10" s="120"/>
      <c r="F10" s="27" t="s">
        <v>139</v>
      </c>
      <c r="G10" s="40" t="s">
        <v>140</v>
      </c>
      <c r="H10" s="35">
        <v>4</v>
      </c>
      <c r="I10" s="29" t="s">
        <v>128</v>
      </c>
      <c r="J10" s="30" t="s">
        <v>141</v>
      </c>
      <c r="K10" s="39" t="s">
        <v>142</v>
      </c>
      <c r="L10" s="39" t="s">
        <v>142</v>
      </c>
      <c r="M10" s="39" t="s">
        <v>142</v>
      </c>
      <c r="N10" s="38" t="s">
        <v>142</v>
      </c>
    </row>
    <row r="11" spans="2:14" s="23" customFormat="1" ht="263.5" outlineLevel="1">
      <c r="B11" s="95"/>
      <c r="C11" s="113"/>
      <c r="D11" s="116" t="s">
        <v>143</v>
      </c>
      <c r="E11" s="104"/>
      <c r="F11" s="27" t="s">
        <v>144</v>
      </c>
      <c r="G11" s="27" t="s">
        <v>145</v>
      </c>
      <c r="H11" s="28">
        <v>5</v>
      </c>
      <c r="I11" s="29" t="s">
        <v>146</v>
      </c>
      <c r="J11" s="29" t="s">
        <v>147</v>
      </c>
      <c r="K11" s="29" t="s">
        <v>148</v>
      </c>
      <c r="L11" s="29" t="s">
        <v>148</v>
      </c>
      <c r="M11" s="29" t="s">
        <v>148</v>
      </c>
      <c r="N11" s="29" t="s">
        <v>148</v>
      </c>
    </row>
    <row r="12" spans="2:14" s="23" customFormat="1" ht="409.5" outlineLevel="1">
      <c r="B12" s="95"/>
      <c r="C12" s="11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4"/>
      <c r="D13" s="12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5"/>
      <c r="D14" s="12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8"/>
      <c r="D15" s="12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5"/>
      <c r="C16" s="89" t="s">
        <v>167</v>
      </c>
      <c r="D16" s="93"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5"/>
      <c r="C17" s="96"/>
      <c r="D17" s="99"/>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5"/>
      <c r="C18" s="96"/>
      <c r="D18" s="101" t="s">
        <v>85</v>
      </c>
      <c r="E18" s="102"/>
      <c r="F18" s="44" t="s">
        <v>179</v>
      </c>
      <c r="G18" s="44" t="s">
        <v>180</v>
      </c>
      <c r="H18" s="42">
        <v>5</v>
      </c>
      <c r="I18" s="29" t="s">
        <v>181</v>
      </c>
      <c r="J18" s="29" t="s">
        <v>26</v>
      </c>
      <c r="K18" s="36" t="s">
        <v>182</v>
      </c>
      <c r="L18" s="36" t="s">
        <v>183</v>
      </c>
      <c r="M18" s="36" t="s">
        <v>183</v>
      </c>
      <c r="N18" s="38" t="s">
        <v>183</v>
      </c>
    </row>
    <row r="19" spans="2:14" s="23" customFormat="1" ht="155" outlineLevel="1">
      <c r="B19" s="95"/>
      <c r="C19" s="96"/>
      <c r="D19" s="103" t="s">
        <v>86</v>
      </c>
      <c r="E19" s="104"/>
      <c r="F19" s="44" t="s">
        <v>184</v>
      </c>
      <c r="G19" s="27" t="s">
        <v>175</v>
      </c>
      <c r="H19" s="42">
        <v>5</v>
      </c>
      <c r="I19" s="29" t="s">
        <v>185</v>
      </c>
      <c r="J19" s="44" t="s">
        <v>186</v>
      </c>
      <c r="K19" s="36" t="s">
        <v>187</v>
      </c>
      <c r="L19" s="36" t="s">
        <v>187</v>
      </c>
      <c r="M19" s="36" t="s">
        <v>187</v>
      </c>
      <c r="N19" s="49" t="s">
        <v>187</v>
      </c>
    </row>
    <row r="20" spans="2:14" s="23" customFormat="1" ht="93" outlineLevel="1">
      <c r="B20" s="95"/>
      <c r="C20" s="100"/>
      <c r="D20" s="105" t="s">
        <v>87</v>
      </c>
      <c r="E20" s="106"/>
      <c r="F20" s="50" t="s">
        <v>188</v>
      </c>
      <c r="G20" s="44" t="s">
        <v>70</v>
      </c>
      <c r="H20" s="42">
        <v>5</v>
      </c>
      <c r="I20" s="29" t="s">
        <v>189</v>
      </c>
      <c r="J20" s="29" t="s">
        <v>190</v>
      </c>
      <c r="K20" s="36" t="s">
        <v>191</v>
      </c>
      <c r="L20" s="36" t="s">
        <v>192</v>
      </c>
      <c r="M20" s="36" t="s">
        <v>191</v>
      </c>
      <c r="N20" s="38" t="s">
        <v>191</v>
      </c>
    </row>
    <row r="21" spans="2:14" ht="170.5">
      <c r="B21" s="95"/>
      <c r="C21" s="96"/>
      <c r="D21" s="107"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5"/>
      <c r="C22" s="96"/>
      <c r="D22" s="108"/>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5"/>
      <c r="C23" s="89"/>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5"/>
      <c r="C24" s="96"/>
      <c r="D24" s="103" t="s">
        <v>214</v>
      </c>
      <c r="E24" s="109"/>
      <c r="F24" s="44" t="s">
        <v>215</v>
      </c>
      <c r="G24" s="44" t="s">
        <v>216</v>
      </c>
      <c r="H24" s="42">
        <v>5</v>
      </c>
      <c r="I24" s="29" t="s">
        <v>128</v>
      </c>
      <c r="J24" s="29" t="s">
        <v>141</v>
      </c>
      <c r="K24" s="29" t="s">
        <v>217</v>
      </c>
      <c r="L24" s="29" t="s">
        <v>218</v>
      </c>
      <c r="M24" s="29" t="s">
        <v>218</v>
      </c>
      <c r="N24" s="29" t="s">
        <v>218</v>
      </c>
    </row>
    <row r="25" spans="2:14" s="23" customFormat="1" ht="310" outlineLevel="1">
      <c r="B25" s="95"/>
      <c r="C25" s="100"/>
      <c r="D25" s="105" t="s">
        <v>219</v>
      </c>
      <c r="E25" s="106"/>
      <c r="F25" s="50" t="s">
        <v>220</v>
      </c>
      <c r="G25" s="44" t="s">
        <v>221</v>
      </c>
      <c r="H25" s="42">
        <v>5</v>
      </c>
      <c r="I25" s="29" t="s">
        <v>128</v>
      </c>
      <c r="J25" s="29" t="s">
        <v>222</v>
      </c>
      <c r="K25" s="29" t="s">
        <v>223</v>
      </c>
      <c r="L25" s="29" t="s">
        <v>224</v>
      </c>
      <c r="M25" s="29" t="s">
        <v>225</v>
      </c>
      <c r="N25" s="29" t="s">
        <v>226</v>
      </c>
    </row>
    <row r="26" spans="2:14" s="23" customFormat="1" ht="409.5" outlineLevel="1">
      <c r="B26" s="95"/>
      <c r="C26" s="96"/>
      <c r="D26" s="93"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5"/>
      <c r="C27" s="96"/>
      <c r="D27" s="110"/>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5"/>
      <c r="C28" s="96"/>
      <c r="D28" s="101" t="s">
        <v>89</v>
      </c>
      <c r="E28" s="102"/>
      <c r="F28" s="44" t="s">
        <v>243</v>
      </c>
      <c r="G28" s="44" t="s">
        <v>244</v>
      </c>
      <c r="H28" s="42">
        <v>5</v>
      </c>
      <c r="I28" s="29" t="s">
        <v>245</v>
      </c>
      <c r="J28" s="55" t="s">
        <v>246</v>
      </c>
      <c r="K28" s="29" t="s">
        <v>247</v>
      </c>
      <c r="L28" s="29" t="s">
        <v>247</v>
      </c>
      <c r="M28" s="29" t="s">
        <v>248</v>
      </c>
      <c r="N28" s="29" t="s">
        <v>248</v>
      </c>
    </row>
    <row r="29" spans="2:14" s="23" customFormat="1" ht="139.5" outlineLevel="1">
      <c r="B29" s="95"/>
      <c r="C29" s="89" t="s">
        <v>249</v>
      </c>
      <c r="D29" s="91"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5"/>
      <c r="C30" s="90"/>
      <c r="D30" s="92"/>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5"/>
      <c r="C31" s="90"/>
      <c r="D31" s="93"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5"/>
      <c r="C32" s="90"/>
      <c r="D32" s="94"/>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5"/>
      <c r="C33" s="89" t="s">
        <v>270</v>
      </c>
      <c r="D33" s="97"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5"/>
      <c r="C34" s="96"/>
      <c r="D34" s="9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5"/>
      <c r="C35" s="96"/>
      <c r="D35" s="99"/>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5"/>
      <c r="C36" s="96"/>
      <c r="D36" s="97"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5"/>
      <c r="C37" s="96"/>
      <c r="D37" s="99"/>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5"/>
      <c r="C38" s="96"/>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2025-06-16T02:19:04Z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