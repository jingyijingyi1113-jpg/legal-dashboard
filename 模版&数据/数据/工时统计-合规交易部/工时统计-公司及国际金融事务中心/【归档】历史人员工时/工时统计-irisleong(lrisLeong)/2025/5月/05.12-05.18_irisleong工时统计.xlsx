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ris\"/>
    </mc:Choice>
  </mc:AlternateContent>
  <xr:revisionPtr revIDLastSave="0" documentId="13_ncr:1_{C56E5863-7BF4-466B-B730-7B0F600CED1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<sst xmlns="http://schemas.openxmlformats.org/spreadsheetml/2006/main" count="600" uniqueCount="364">
  <si>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</si>
  <si>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</si>
  <si>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</si>
  <si>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</si>
  <si>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</si>
  <si>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</si>
  <si>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</si>
  <si>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</si>
  <si>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</si>
  <si>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</si>
  <si>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</si>
  <si>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</si>
  <si>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</si>
  <si>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</si>
  <si>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</si>
  <si>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</si>
  <si>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</si>
  <si>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</si>
  <si>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</si>
  <si>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</si>
  <si>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</si>
  <si>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</si>
  <si>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</si>
  <si>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</si>
  <si>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</si>
  <si>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</si>
  <si>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</si>
  <si>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</si>
  <si>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</si>
  <si>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</si>
  <si>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</si>
  <si>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</si>
  <si>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</si>
  <si>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</si>
  <si>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</si>
  <si>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</si>
  <si>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</si>
  <si>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</si>
  <si>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</si>
  <si>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</si>
  <si>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</si>
  <si>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</si>
  <si>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</si>
  <si>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</si>
  <si>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</si>
  <si>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</si>
  <si>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</si>
  <si>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</si>
  <si>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</si>
  <si>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</si>
  <si>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</si>
  <si>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</si>
  <si>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</si>
  <si>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</si>
  <si>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</si>
  <si>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</si>
  <si>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</si>
  <si>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</si>
  <si>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</si>
  <si>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</si>
  <si>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</si>
  <si>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</si>
  <si>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</si>
  <si>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</si>
  <si>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</si>
  <si>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</si>
  <si>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</si>
  <si>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</si>
  <si>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</si>
  <si>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</si>
  <si>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</si>
  <si>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</si>
  <si>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</si>
  <si>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</si>
  <si>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</si>
  <si>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</si>
  <si>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</si>
  <si>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</si>
  <si>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</si>
  <si>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</si>
  <si>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</si>
  <si>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</si>
  <si>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</si>
  <si>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</si>
  <si>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</si>
  <si>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</si>
  <si>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</si>
  <si>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</si>
  <si>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</si>
  <si>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</si>
  <si>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</si>
  <si>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</si>
  <si>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</si>
  <si>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</si>
  <si>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</si>
  <si>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</si>
  <si>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</si>
  <si>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</si>
  <si>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</si>
  <si>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</si>
  <si>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</si>
  <si>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</si>
  <si>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</si>
  <si>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</si>
  <si>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</si>
  <si>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</si>
  <si>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</si>
  <si>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</si>
  <si>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</si>
  <si>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</si>
  <si>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</si>
  <si>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</si>
  <si>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</si>
  <si>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</si>
  <si>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</si>
  <si>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</si>
  <si>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</si>
  <si>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</si>
  <si>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</si>
  <si>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</si>
  <si>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</si>
  <si>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</si>
  <si>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</si>
  <si>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</si>
  <si>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</si>
  <si>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</si>
  <si>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</si>
  <si>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</si>
  <si>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</si>
  <si>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</si>
  <si>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</si>
  <si>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</si>
  <si>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</si>
  <si>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</si>
  <si>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</si>
  <si>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</si>
  <si>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</si>
  <si>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</si>
  <si>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</si>
  <si>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</si>
  <si>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</si>
  <si>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</si>
  <si>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</si>
  <si>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</si>
  <si>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</si>
  <si>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</si>
  <si>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</si>
  <si>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</si>
  <si>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</si>
  <si>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</si>
  <si>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</si>
  <si>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</si>
  <si>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</si>
  <si>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</si>
  <si>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</si>
  <si>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</si>
  <si>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</si>
  <si>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</si>
  <si>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</si>
  <si>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</si>
  <si>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</si>
  <si>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</si>
  <si>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</si>
  <si>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</si>
  <si>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</si>
  <si>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</si>
  <si>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</si>
  <si>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</si>
  <si>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</si>
  <si>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</si>
  <si>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</si>
  <si>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</si>
  <si>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</si>
  <si>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</si>
  <si>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</si>
  <si>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</si>
  <si>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</si>
  <si>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</si>
  <si>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</si>
  <si>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</si>
  <si>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</si>
  <si>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</si>
  <si>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</si>
  <si>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</si>
  <si>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</si>
  <si>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</si>
  <si>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</si>
  <si>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</si>
  <si>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</si>
  <si>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</si>
  <si>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</si>
  <si>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</si>
  <si>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</si>
  <si>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</si>
  <si>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</si>
  <si>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</si>
  <si>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</si>
  <si>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</si>
  <si>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</si>
  <si>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</si>
  <si>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</si>
  <si>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</si>
  <si>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</si>
  <si>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</si>
  <si>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</si>
  <si>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</si>
  <si>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</si>
  <si>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</si>
  <si>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</si>
  <si>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</si>
  <si>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</si>
  <si>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</si>
  <si>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</si>
  <si>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</si>
  <si>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</si>
  <si>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</si>
  <si>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</si>
  <si>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</si>
  <si>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</si>
  <si>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</si>
  <si>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</si>
  <si>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</si>
  <si>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</si>
  <si>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</si>
  <si>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</si>
  <si>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</si>
  <si>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</si>
  <si>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</si>
  <si>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</si>
  <si>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</si>
  <si>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</si>
  <si>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</si>
  <si>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</si>
  <si>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</si>
  <si>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</si>
  <si>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</si>
  <si>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</si>
  <si>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</si>
  <si>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</si>
  <si>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</si>
  <si>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</si>
  <si>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</si>
  <si>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</si>
  <si>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</si>
  <si>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</si>
  <si>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</si>
  <si>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</si>
  <si>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</si>
  <si>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</si>
  <si>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</si>
  <si>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</si>
  <si>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</si>
  <si>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</si>
  <si>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</si>
  <si>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</si>
  <si>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</si>
  <si>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</si>
  <si>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</si>
  <si>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</si>
  <si>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</si>
  <si>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</si>
  <si>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</si>
  <si>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</si>
  <si>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</si>
  <si>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</si>
  <si>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</si>
  <si>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</si>
  <si>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</si>
  <si>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</si>
  <si>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</si>
  <si>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</si>
  <si>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</si>
  <si>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</si>
  <si>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</si>
  <si>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</si>
  <si>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</si>
  <si>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</si>
  <si>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</si>
  <si>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</si>
  <si>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</si>
  <si>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</si>
  <si>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</si>
  <si>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</si>
  <si>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</si>
  <si>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</si>
  <si>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</si>
  <si>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</si>
  <si>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</si>
  <si>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</si>
  <si>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</si>
  <si>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</si>
  <si>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</si>
  <si>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</si>
  <si>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</si>
  <si>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</si>
  <si>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</si>
  <si>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</si>
  <si>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</si>
  <si>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</si>
  <si>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</si>
  <si>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</si>
  <si>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</si>
  <si>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</si>
  <si>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</si>
  <si>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</si>
  <si>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</si>
  <si>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</si>
  <si>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</si>
  <si>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</si>
  <si>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</si>
  <si>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</si>
  <si>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</si>
  <si>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</si>
  <si>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</si>
  <si>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</si>
  <si>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</si>
  <si>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</si>
  <si>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</si>
  <si>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</si>
  <si>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</si>
  <si>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</si>
  <si>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</si>
  <si>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</si>
  <si>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</si>
  <si>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</si>
  <si>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</si>
  <si>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</si>
  <si>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</si>
  <si>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</si>
  <si>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</si>
  <si>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</si>
  <si>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</si>
  <si>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</si>
  <si>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</si>
  <si>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</si>
  <si>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</si>
  <si>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</si>
  <si>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</si>
  <si>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irisleong</t>
  </si>
  <si>
    <t xml:space="preserve">Re: legal compliance risks and issues on how to resolve the high volume of unreturned laptops from terminated employees in US region.  Reviewed our spreadsheet for US/APAC/EU regions to send to Liz/OIT Keren. </t>
  </si>
  <si>
    <r>
      <t>Date: 2025</t>
    </r>
    <r>
      <rPr>
        <b/>
        <sz val="10"/>
        <color theme="0"/>
        <rFont val="等线"/>
        <charset val="134"/>
      </rPr>
      <t xml:space="preserve">-05-12 </t>
    </r>
    <r>
      <rPr>
        <b/>
        <sz val="10"/>
        <color theme="0"/>
        <rFont val="新細明體"/>
        <family val="1"/>
        <charset val="136"/>
      </rPr>
      <t xml:space="preserve">- </t>
    </r>
    <r>
      <rPr>
        <b/>
        <sz val="10"/>
        <color theme="0"/>
        <rFont val="新細明體"/>
        <family val="2"/>
        <scheme val="minor"/>
      </rPr>
      <t>2025-05-18</t>
    </r>
  </si>
  <si>
    <t>Flexi leave on 5/12</t>
  </si>
  <si>
    <t xml:space="preserve">Participated in Tencent's Art Club- floral arrangements on 5/14. </t>
  </si>
  <si>
    <t xml:space="preserve">Reviewed emails re: Tencent's new learning platform, Udemy.  Signed up for Udemy and accessed the Udemy platform. </t>
  </si>
  <si>
    <t xml:space="preserve">Reviewed EPL insurance's request for another 30-day extension to review our EPL policy renewal.  Reviewed docs and invoice, and sent to Finance team to process payment. </t>
  </si>
  <si>
    <t xml:space="preserve">Reviewed City of Irvine business license (for 2025 to 2026) document. </t>
  </si>
  <si>
    <r>
      <rPr>
        <b/>
        <sz val="11"/>
        <rFont val="Aptos"/>
        <family val="2"/>
      </rPr>
      <t>Class Action- Milito case (WA):</t>
    </r>
    <r>
      <rPr>
        <sz val="11"/>
        <rFont val="Aptos"/>
        <family val="2"/>
      </rPr>
      <t xml:space="preserve"> Discussed case with Zhao, Jamin and HR/Recruiting team to cure the errors of the missing salary range and benefits info on Tencent job postings for internships in WA.  Reviewed emails to/from EPL insurance.  Reviewed our stay/extension stipulation draft. </t>
    </r>
  </si>
  <si>
    <t>Reviewed WeWork Irvine's membership agreement, photos and blueprint for Irvine office; and Circuit Group's sublease agreement for LA office.  Review emails to/from external counsel and our real estate broker.</t>
  </si>
  <si>
    <t>Discussed with Data Privacy legal (Evelyn) and ComSec team re: the new DOJ Data Security Program and our US entities.</t>
  </si>
  <si>
    <t>Traveled to and attended Wachtell Lipton Silicon Valley conference on 5/15, and BakerMcKenzie's "What's Next for Tech" conference on 5/15 with our PA legal team.</t>
  </si>
  <si>
    <t>Traveled to and attended Morgan Lewis's annual NorCal Client Reception on 5/15 with our PA legal team.</t>
  </si>
  <si>
    <t xml:space="preserve">Reviewed and discussed an upcoming layoff case of an OIT employee (Jasmine Su Ai) set for 5/16 with HRBP Yoky and Sana.  Reviewed and approved her severance agreement.  Reviewed her grievance email and discussed case with HRBP Yoky. </t>
  </si>
  <si>
    <r>
      <rPr>
        <b/>
        <sz val="11"/>
        <rFont val="Aptos"/>
        <family val="2"/>
      </rPr>
      <t>Dongyan Wang case (OIT):</t>
    </r>
    <r>
      <rPr>
        <sz val="11"/>
        <rFont val="Aptos"/>
        <family val="2"/>
      </rPr>
      <t xml:space="preserve">  Reviewed our updated draft response letter to DY's counsel.  Reviewed emails to/from external counsel.  </t>
    </r>
  </si>
  <si>
    <t xml:space="preserve">Reviewed Tencent 401k Retirement Committee Meeting  Notes for the 4/29 meeting. </t>
  </si>
  <si>
    <t xml:space="preserve">Discussed with Liz and Operations (Teresa &amp; Sky) re: Brazil WeWork office address and instructed them to notify Brazil office to not accept any legal docs for THL served to that office.  Discussed with Cam in GPA to update Brazil office address on Tencent website. </t>
  </si>
  <si>
    <t>Discussed with Andy re: whether WeChat US Inc. got served with a demand letter from NC DOJ. Reached out to Paracorp to check whether they have been served yet.  Reviewed emails to/from Paracorp.  Reviewed DOJ demand letter.</t>
  </si>
  <si>
    <r>
      <t>Received and reviewed</t>
    </r>
    <r>
      <rPr>
        <b/>
        <sz val="11"/>
        <rFont val="Aptos"/>
        <family val="2"/>
      </rPr>
      <t xml:space="preserve"> </t>
    </r>
    <r>
      <rPr>
        <sz val="11"/>
        <rFont val="Aptos"/>
        <family val="2"/>
      </rPr>
      <t xml:space="preserve">5 sets of Service of Process docs served to Tencent Cloud through our registered agent Paracorp, regarding the bankruptcy case (In re: Edgio, Inc.).   Reviewed Paracorp invoices on the bankruptcy case filings, and sent to Finance team for processing. </t>
    </r>
  </si>
  <si>
    <t xml:space="preserve">Updated weekly timesheet each day; and organized and replied to emails.  </t>
  </si>
  <si>
    <t xml:space="preserve">Reviewed invoices from Fenwick and Morgan Lewis.  Discussed invoice issues with Jamin.  Sent invoices to Austor for payment processing. </t>
  </si>
  <si>
    <t xml:space="preserve">Reviewed the draft minutes and proxy letters for Tencent Mexico Limited's financial statements for the years 2013 and 2024.  Responded to Comsec (Puipuilee).  </t>
  </si>
  <si>
    <r>
      <rPr>
        <b/>
        <sz val="11"/>
        <rFont val="Aptos"/>
        <family val="2"/>
      </rPr>
      <t xml:space="preserve">WA job candidate with noncompete from former employer: </t>
    </r>
    <r>
      <rPr>
        <sz val="11"/>
        <rFont val="Aptos"/>
        <family val="2"/>
      </rPr>
      <t xml:space="preserve">Discussed potential risks and legal issues with Zhao and Jamin regarding HQ HR team hiring this job candidate that has a noncompete covenant with his former employer.  </t>
    </r>
  </si>
  <si>
    <r>
      <rPr>
        <b/>
        <sz val="11"/>
        <rFont val="Aptos"/>
        <family val="2"/>
      </rPr>
      <t>Colin Zhang case (OIT):</t>
    </r>
    <r>
      <rPr>
        <sz val="11"/>
        <rFont val="Aptos"/>
        <family val="2"/>
      </rPr>
      <t xml:space="preserve"> Reviewed his personnel file to send a copy to his counsel.  Discussed case with HRBP Yoky and Zhao. </t>
    </r>
  </si>
  <si>
    <r>
      <rPr>
        <b/>
        <sz val="11"/>
        <rFont val="Aptos"/>
        <family val="2"/>
      </rPr>
      <t>Dongyan Wang case (OIT):</t>
    </r>
    <r>
      <rPr>
        <sz val="11"/>
        <rFont val="Aptos"/>
        <family val="2"/>
      </rPr>
      <t xml:space="preserve">  Discussed case with Zhao, Brent, and HRD Yinuo.  Discussed DY's expense reimbursement request (re: his Norway ban appeal) with external counsel.</t>
    </r>
  </si>
  <si>
    <r>
      <rPr>
        <b/>
        <sz val="11"/>
        <rFont val="Aptos"/>
        <family val="2"/>
      </rPr>
      <t>Kate Crane case (GPA):</t>
    </r>
    <r>
      <rPr>
        <sz val="11"/>
        <rFont val="Aptos"/>
        <family val="2"/>
      </rPr>
      <t xml:space="preserve"> Prepared for witness interviews.  Attended witness interviews- HRBP Emily Cai on 5/13 (1 hour), HR Compliance Mgr Sana Alam on 5/14 (1.5 hours), and Cam MacMurchy on 5/16 (2 hours).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</si>
</sst>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4">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新細明體"/>
      <family val="2"/>
      <scheme val="minor"/>
    </font>
    <font>
      <b/>
      <sz val="11"/>
      <color theme="1"/>
      <name val="新細明體"/>
      <family val="2"/>
      <scheme val="minor"/>
    </font>
    <font>
      <b/>
      <sz val="11"/>
      <name val="Aptos"/>
      <family val="2"/>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1" fillId="5" borderId="1" xfId="0" applyNumberFormat="1" applyFont="1" applyFill="1" applyBorder="1" applyAlignment="1">
      <alignment horizontal="center" vertical="center"/>
    </xf>
    <xf numFmtId="0" fontId="30" fillId="6" borderId="1" xfId="0" applyFont="1" applyFill="1" applyBorder="1" applyAlignment="1">
      <alignment vertical="center" wrapText="1"/>
    </xf>
    <xf numFmtId="0" fontId="31" fillId="5" borderId="14" xfId="0" applyFont="1" applyFill="1" applyBorder="1" applyAlignment="1">
      <alignment vertical="center" wrapText="1"/>
    </xf>
    <xf numFmtId="0" fontId="32" fillId="0" borderId="0" xfId="0" applyFont="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D1" zoomScaleNormal="95" workbookViewId="0">
      <selection activeCell="Q26" sqref="Q2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8" customHeight="1">
      <c r="B6" s="8" t="s">
        <v>338</v>
      </c>
      <c r="C6" s="9" t="s">
        <v>25</v>
      </c>
      <c r="D6" s="10" t="s">
        <v>26</v>
      </c>
      <c r="E6" s="10" t="s">
        <v>30</v>
      </c>
      <c r="F6" s="9" t="s">
        <v>325</v>
      </c>
      <c r="G6" s="75">
        <v>1.5</v>
      </c>
      <c r="H6" s="9" t="s">
        <v>73</v>
      </c>
      <c r="I6" s="76" t="s">
        <v>352</v>
      </c>
    </row>
    <row r="7" spans="1:9" s="2" customFormat="1" ht="67" customHeight="1">
      <c r="B7" s="8" t="s">
        <v>338</v>
      </c>
      <c r="C7" s="9" t="s">
        <v>25</v>
      </c>
      <c r="D7" s="10" t="s">
        <v>26</v>
      </c>
      <c r="E7" s="10" t="s">
        <v>30</v>
      </c>
      <c r="F7" s="9" t="s">
        <v>325</v>
      </c>
      <c r="G7" s="75">
        <v>1.7</v>
      </c>
      <c r="H7" s="9" t="s">
        <v>27</v>
      </c>
      <c r="I7" s="76" t="s">
        <v>362</v>
      </c>
    </row>
    <row r="8" spans="1:9" s="2" customFormat="1" ht="79" customHeight="1">
      <c r="B8" s="8" t="s">
        <v>338</v>
      </c>
      <c r="C8" s="9" t="s">
        <v>25</v>
      </c>
      <c r="D8" s="10" t="s">
        <v>26</v>
      </c>
      <c r="E8" s="10" t="s">
        <v>30</v>
      </c>
      <c r="F8" s="9" t="s">
        <v>325</v>
      </c>
      <c r="G8" s="75">
        <v>5.5</v>
      </c>
      <c r="H8" s="9" t="s">
        <v>73</v>
      </c>
      <c r="I8" s="76" t="s">
        <v>363</v>
      </c>
    </row>
    <row r="9" spans="1:9" s="2" customFormat="1" ht="48" customHeight="1">
      <c r="B9" s="8" t="s">
        <v>338</v>
      </c>
      <c r="C9" s="9" t="s">
        <v>25</v>
      </c>
      <c r="D9" s="10" t="s">
        <v>26</v>
      </c>
      <c r="E9" s="10" t="s">
        <v>30</v>
      </c>
      <c r="F9" s="9" t="s">
        <v>325</v>
      </c>
      <c r="G9" s="75">
        <v>0.5</v>
      </c>
      <c r="H9" s="9" t="s">
        <v>73</v>
      </c>
      <c r="I9" s="76" t="s">
        <v>361</v>
      </c>
    </row>
    <row r="10" spans="1:9" s="2" customFormat="1" ht="106.5" customHeight="1">
      <c r="B10" s="8" t="s">
        <v>338</v>
      </c>
      <c r="C10" s="9" t="s">
        <v>25</v>
      </c>
      <c r="D10" s="10" t="s">
        <v>26</v>
      </c>
      <c r="E10" s="10" t="s">
        <v>30</v>
      </c>
      <c r="F10" s="9" t="s">
        <v>325</v>
      </c>
      <c r="G10" s="75">
        <v>2.5</v>
      </c>
      <c r="H10" s="9" t="s">
        <v>27</v>
      </c>
      <c r="I10" s="76" t="s">
        <v>346</v>
      </c>
    </row>
    <row r="11" spans="1:9" s="2" customFormat="1" ht="81.5" customHeight="1">
      <c r="B11" s="8" t="s">
        <v>338</v>
      </c>
      <c r="C11" s="9" t="s">
        <v>25</v>
      </c>
      <c r="D11" s="10" t="s">
        <v>26</v>
      </c>
      <c r="E11" s="10" t="s">
        <v>30</v>
      </c>
      <c r="F11" s="9" t="s">
        <v>325</v>
      </c>
      <c r="G11" s="75">
        <v>0.5</v>
      </c>
      <c r="H11" s="9" t="s">
        <v>27</v>
      </c>
      <c r="I11" s="76" t="s">
        <v>360</v>
      </c>
    </row>
    <row r="12" spans="1:9" s="2" customFormat="1" ht="90.5" customHeight="1">
      <c r="B12" s="8" t="s">
        <v>338</v>
      </c>
      <c r="C12" s="9" t="s">
        <v>25</v>
      </c>
      <c r="D12" s="10" t="s">
        <v>26</v>
      </c>
      <c r="E12" s="10" t="s">
        <v>30</v>
      </c>
      <c r="F12" s="9" t="s">
        <v>325</v>
      </c>
      <c r="G12" s="75">
        <v>1.7</v>
      </c>
      <c r="H12" s="9" t="s">
        <v>27</v>
      </c>
      <c r="I12" s="76" t="s">
        <v>351</v>
      </c>
    </row>
    <row r="13" spans="1:9" s="2" customFormat="1" ht="32.5" customHeight="1">
      <c r="B13" s="8" t="s">
        <v>338</v>
      </c>
      <c r="C13" s="9" t="s">
        <v>25</v>
      </c>
      <c r="D13" s="10" t="s">
        <v>26</v>
      </c>
      <c r="E13" s="10" t="s">
        <v>30</v>
      </c>
      <c r="F13" s="9" t="s">
        <v>325</v>
      </c>
      <c r="G13" s="75">
        <v>0.5</v>
      </c>
      <c r="H13" s="9" t="s">
        <v>73</v>
      </c>
      <c r="I13" s="76" t="s">
        <v>353</v>
      </c>
    </row>
    <row r="14" spans="1:9" s="2" customFormat="1" ht="63.5" customHeight="1">
      <c r="B14" s="8" t="s">
        <v>338</v>
      </c>
      <c r="C14" s="9" t="s">
        <v>43</v>
      </c>
      <c r="D14" s="10" t="s">
        <v>47</v>
      </c>
      <c r="E14" s="10" t="s">
        <v>30</v>
      </c>
      <c r="F14" s="9" t="s">
        <v>332</v>
      </c>
      <c r="G14" s="75">
        <v>0.5</v>
      </c>
      <c r="H14" s="9" t="s">
        <v>73</v>
      </c>
      <c r="I14" s="76" t="s">
        <v>359</v>
      </c>
    </row>
    <row r="15" spans="1:9" s="2" customFormat="1" ht="81.5" customHeight="1">
      <c r="B15" s="8" t="s">
        <v>338</v>
      </c>
      <c r="C15" s="9" t="s">
        <v>28</v>
      </c>
      <c r="D15" s="10" t="s">
        <v>31</v>
      </c>
      <c r="E15" s="10" t="s">
        <v>30</v>
      </c>
      <c r="F15" s="9" t="s">
        <v>332</v>
      </c>
      <c r="G15" s="75">
        <v>0.7</v>
      </c>
      <c r="H15" s="9" t="s">
        <v>73</v>
      </c>
      <c r="I15" s="76" t="s">
        <v>339</v>
      </c>
    </row>
    <row r="16" spans="1:9" s="2" customFormat="1" ht="51" customHeight="1">
      <c r="B16" s="8" t="s">
        <v>338</v>
      </c>
      <c r="C16" s="9" t="s">
        <v>28</v>
      </c>
      <c r="D16" s="10" t="s">
        <v>31</v>
      </c>
      <c r="E16" s="10" t="s">
        <v>30</v>
      </c>
      <c r="F16" s="9" t="s">
        <v>332</v>
      </c>
      <c r="G16" s="75">
        <v>0.5</v>
      </c>
      <c r="H16" s="9" t="s">
        <v>27</v>
      </c>
      <c r="I16" s="76" t="s">
        <v>348</v>
      </c>
    </row>
    <row r="17" spans="2:9" s="2" customFormat="1" ht="74.5" customHeight="1">
      <c r="B17" s="8" t="s">
        <v>338</v>
      </c>
      <c r="C17" s="9" t="s">
        <v>43</v>
      </c>
      <c r="D17" s="10" t="s">
        <v>49</v>
      </c>
      <c r="E17" s="10" t="s">
        <v>30</v>
      </c>
      <c r="F17" s="9" t="s">
        <v>332</v>
      </c>
      <c r="G17" s="75">
        <v>1</v>
      </c>
      <c r="H17" s="9" t="s">
        <v>73</v>
      </c>
      <c r="I17" s="76" t="s">
        <v>347</v>
      </c>
    </row>
    <row r="18" spans="2:9" s="2" customFormat="1" ht="38" customHeight="1">
      <c r="B18" s="8" t="s">
        <v>338</v>
      </c>
      <c r="C18" s="9" t="s">
        <v>43</v>
      </c>
      <c r="D18" s="10" t="s">
        <v>49</v>
      </c>
      <c r="E18" s="10" t="s">
        <v>30</v>
      </c>
      <c r="F18" s="9" t="s">
        <v>332</v>
      </c>
      <c r="G18" s="75">
        <v>0.2</v>
      </c>
      <c r="H18" s="9" t="s">
        <v>73</v>
      </c>
      <c r="I18" s="76" t="s">
        <v>345</v>
      </c>
    </row>
    <row r="19" spans="2:9" s="2" customFormat="1" ht="60.5" customHeight="1">
      <c r="B19" s="8" t="s">
        <v>338</v>
      </c>
      <c r="C19" s="9" t="s">
        <v>43</v>
      </c>
      <c r="D19" s="10" t="s">
        <v>49</v>
      </c>
      <c r="E19" s="10" t="s">
        <v>30</v>
      </c>
      <c r="F19" s="9" t="s">
        <v>332</v>
      </c>
      <c r="G19" s="75">
        <v>0.5</v>
      </c>
      <c r="H19" s="9" t="s">
        <v>73</v>
      </c>
      <c r="I19" s="76" t="s">
        <v>344</v>
      </c>
    </row>
    <row r="20" spans="2:9" s="2" customFormat="1" ht="82.5" customHeight="1">
      <c r="B20" s="8" t="s">
        <v>338</v>
      </c>
      <c r="C20" s="9" t="s">
        <v>43</v>
      </c>
      <c r="D20" s="10" t="s">
        <v>18</v>
      </c>
      <c r="E20" s="10" t="s">
        <v>34</v>
      </c>
      <c r="F20" s="9" t="s">
        <v>42</v>
      </c>
      <c r="G20" s="75">
        <v>1</v>
      </c>
      <c r="H20" s="9" t="s">
        <v>27</v>
      </c>
      <c r="I20" s="76" t="s">
        <v>355</v>
      </c>
    </row>
    <row r="21" spans="2:9" s="2" customFormat="1" ht="94.5" customHeight="1">
      <c r="B21" s="8" t="s">
        <v>338</v>
      </c>
      <c r="C21" s="9" t="s">
        <v>43</v>
      </c>
      <c r="D21" s="10" t="s">
        <v>18</v>
      </c>
      <c r="E21" s="10" t="s">
        <v>34</v>
      </c>
      <c r="F21" s="9" t="s">
        <v>42</v>
      </c>
      <c r="G21" s="75">
        <v>0.7</v>
      </c>
      <c r="H21" s="9" t="s">
        <v>27</v>
      </c>
      <c r="I21" s="76" t="s">
        <v>354</v>
      </c>
    </row>
    <row r="22" spans="2:9" s="2" customFormat="1" ht="94.5" customHeight="1">
      <c r="B22" s="8" t="s">
        <v>338</v>
      </c>
      <c r="C22" s="9" t="s">
        <v>43</v>
      </c>
      <c r="D22" s="10" t="s">
        <v>18</v>
      </c>
      <c r="E22" s="10" t="s">
        <v>34</v>
      </c>
      <c r="F22" s="9" t="s">
        <v>42</v>
      </c>
      <c r="G22" s="75">
        <v>0.5</v>
      </c>
      <c r="H22" s="9" t="s">
        <v>73</v>
      </c>
      <c r="I22" s="76" t="s">
        <v>356</v>
      </c>
    </row>
    <row r="23" spans="2:9" s="2" customFormat="1" ht="48" customHeight="1">
      <c r="B23" s="8" t="s">
        <v>338</v>
      </c>
      <c r="C23" s="9" t="s">
        <v>28</v>
      </c>
      <c r="D23" s="10" t="s">
        <v>31</v>
      </c>
      <c r="E23" s="10" t="s">
        <v>33</v>
      </c>
      <c r="F23" s="9" t="s">
        <v>36</v>
      </c>
      <c r="G23" s="75">
        <v>0.5</v>
      </c>
      <c r="H23" s="9" t="s">
        <v>73</v>
      </c>
      <c r="I23" s="76" t="s">
        <v>358</v>
      </c>
    </row>
    <row r="24" spans="2:9" s="2" customFormat="1" ht="47.5" customHeight="1">
      <c r="B24" s="8" t="s">
        <v>338</v>
      </c>
      <c r="C24" s="9" t="s">
        <v>28</v>
      </c>
      <c r="D24" s="10" t="s">
        <v>31</v>
      </c>
      <c r="E24" s="10" t="s">
        <v>33</v>
      </c>
      <c r="F24" s="9" t="s">
        <v>35</v>
      </c>
      <c r="G24" s="11">
        <v>0.5</v>
      </c>
      <c r="H24" s="9" t="s">
        <v>77</v>
      </c>
      <c r="I24" s="76" t="s">
        <v>343</v>
      </c>
    </row>
    <row r="25" spans="2:9" s="2" customFormat="1" ht="34.5" customHeight="1">
      <c r="B25" s="8" t="s">
        <v>338</v>
      </c>
      <c r="C25" s="9" t="s">
        <v>28</v>
      </c>
      <c r="D25" s="10" t="s">
        <v>31</v>
      </c>
      <c r="E25" s="10" t="s">
        <v>33</v>
      </c>
      <c r="F25" s="9" t="s">
        <v>35</v>
      </c>
      <c r="G25" s="11">
        <v>1</v>
      </c>
      <c r="H25" s="9" t="s">
        <v>21</v>
      </c>
      <c r="I25" s="76" t="s">
        <v>342</v>
      </c>
    </row>
    <row r="26" spans="2:9" s="2" customFormat="1" ht="60.5" customHeight="1">
      <c r="B26" s="8" t="s">
        <v>338</v>
      </c>
      <c r="C26" s="9" t="s">
        <v>28</v>
      </c>
      <c r="D26" s="10" t="s">
        <v>31</v>
      </c>
      <c r="E26" s="10" t="s">
        <v>33</v>
      </c>
      <c r="F26" s="9" t="s">
        <v>35</v>
      </c>
      <c r="G26" s="75">
        <v>6</v>
      </c>
      <c r="H26" s="9" t="s">
        <v>77</v>
      </c>
      <c r="I26" s="76" t="s">
        <v>349</v>
      </c>
    </row>
    <row r="27" spans="2:9" s="2" customFormat="1" ht="43.5" customHeight="1">
      <c r="B27" s="8" t="s">
        <v>338</v>
      </c>
      <c r="C27" s="9" t="s">
        <v>28</v>
      </c>
      <c r="D27" s="10" t="s">
        <v>31</v>
      </c>
      <c r="E27" s="10" t="s">
        <v>33</v>
      </c>
      <c r="F27" s="9" t="s">
        <v>35</v>
      </c>
      <c r="G27" s="75">
        <v>1.5</v>
      </c>
      <c r="H27" s="9" t="s">
        <v>21</v>
      </c>
      <c r="I27" s="76" t="s">
        <v>350</v>
      </c>
    </row>
    <row r="28" spans="2:9" s="2" customFormat="1" ht="33" customHeight="1">
      <c r="B28" s="8" t="s">
        <v>338</v>
      </c>
      <c r="C28" s="9" t="s">
        <v>28</v>
      </c>
      <c r="D28" s="10" t="s">
        <v>31</v>
      </c>
      <c r="E28" s="10" t="s">
        <v>33</v>
      </c>
      <c r="F28" s="9" t="s">
        <v>39</v>
      </c>
      <c r="G28" s="11">
        <v>12</v>
      </c>
      <c r="H28" s="9" t="s">
        <v>31</v>
      </c>
      <c r="I28" s="76" t="s">
        <v>357</v>
      </c>
    </row>
    <row r="29" spans="2:9" s="2" customFormat="1" ht="13.5">
      <c r="B29" s="8"/>
      <c r="C29" s="9"/>
      <c r="D29" s="10"/>
      <c r="E29" s="10"/>
      <c r="F29" s="9"/>
      <c r="G29" s="11"/>
      <c r="H29" s="9"/>
      <c r="I29" s="77"/>
    </row>
    <row r="30" spans="2:9" s="2" customFormat="1" ht="13.5">
      <c r="B30" s="8"/>
      <c r="C30" s="9"/>
      <c r="D30" s="10"/>
      <c r="E30" s="10"/>
      <c r="F30" s="9"/>
      <c r="G30" s="11"/>
      <c r="H30" s="9"/>
      <c r="I30" s="77"/>
    </row>
    <row r="31" spans="2:9" s="2" customFormat="1" ht="13.5">
      <c r="B31" s="8"/>
      <c r="C31" s="9"/>
      <c r="D31" s="10"/>
      <c r="E31" s="10"/>
      <c r="F31" s="9"/>
      <c r="G31" s="11"/>
      <c r="H31" s="9"/>
      <c r="I31" s="16"/>
    </row>
    <row r="32" spans="2:9" s="2" customFormat="1" ht="14.5" customHeight="1">
      <c r="B32" s="83" t="s">
        <v>32</v>
      </c>
      <c r="C32" s="84"/>
      <c r="D32" s="85"/>
      <c r="E32" s="12"/>
      <c r="F32" s="12"/>
      <c r="G32" s="86">
        <f>SUM(G6:G31)</f>
        <v>41.5</v>
      </c>
      <c r="H32" s="87"/>
      <c r="I32" s="88"/>
    </row>
    <row r="34" spans="2:3">
      <c r="B34" s="17" t="s">
        <v>81</v>
      </c>
      <c r="C34" s="78" t="s">
        <v>341</v>
      </c>
    </row>
    <row r="35" spans="2:3">
      <c r="C35" s="18"/>
    </row>
  </sheetData>
  <mergeCells count="4">
    <mergeCell ref="B1:I1"/>
    <mergeCell ref="B2:H2"/>
    <mergeCell ref="B32:D32"/>
    <mergeCell ref="G32:I32"/>
  </mergeCells>
  <phoneticPr fontId="10" type="noConversion"/>
  <dataValidations count="3">
    <dataValidation type="list" errorStyle="warning" allowBlank="1" sqref="C15: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D6:D10 D14:D31</xm:sqref>
        </x14:dataValidation>
        <x14:dataValidation type="list" allowBlank="1" showInputMessage="1" showErrorMessage="1" xr:uid="{00000000-0002-0000-0000-000007000000}">
          <x14:formula1>
            <xm:f>Tag!$B$2:$E$2</xm:f>
          </x14:formula1>
          <xm:sqref>E6:E10 E14:E31</xm:sqref>
        </x14:dataValidation>
        <x14:dataValidation type="list" errorStyle="warning" allowBlank="1" xr:uid="{00000000-0002-0000-0000-000003000000}">
          <x14:formula1>
            <xm:f>'Exhibit I - Virtual Group'!$A$1:$A$7</xm:f>
          </x14:formula1>
          <xm:sqref>C6:C10 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9" t="s">
        <v>92</v>
      </c>
      <c r="D1" s="90"/>
      <c r="E1" s="90"/>
      <c r="F1" s="90"/>
      <c r="G1" s="90"/>
      <c r="H1" s="90"/>
      <c r="I1" s="90"/>
      <c r="J1" s="90"/>
      <c r="K1" s="90"/>
      <c r="L1" s="90"/>
      <c r="M1" s="90"/>
      <c r="N1" s="90"/>
    </row>
    <row r="2" spans="2:14">
      <c r="C2" s="91" t="s">
        <v>93</v>
      </c>
      <c r="D2" s="91"/>
      <c r="E2" s="91"/>
      <c r="F2" s="91"/>
      <c r="G2" s="91"/>
      <c r="H2" s="91"/>
      <c r="I2" s="91"/>
      <c r="J2" s="91"/>
      <c r="K2" s="91"/>
      <c r="L2" s="91"/>
      <c r="M2" s="91"/>
      <c r="N2" s="91"/>
    </row>
    <row r="3" spans="2:14">
      <c r="C3" s="92" t="s">
        <v>94</v>
      </c>
      <c r="D3" s="94" t="s">
        <v>95</v>
      </c>
      <c r="E3" s="95"/>
      <c r="F3" s="92" t="s">
        <v>96</v>
      </c>
      <c r="G3" s="92" t="s">
        <v>97</v>
      </c>
      <c r="H3" s="92" t="s">
        <v>98</v>
      </c>
      <c r="I3" s="98" t="s">
        <v>99</v>
      </c>
      <c r="J3" s="92" t="s">
        <v>63</v>
      </c>
      <c r="K3" s="99" t="s">
        <v>62</v>
      </c>
      <c r="L3" s="100"/>
      <c r="M3" s="100"/>
      <c r="N3" s="101"/>
    </row>
    <row r="4" spans="2:14">
      <c r="C4" s="93"/>
      <c r="D4" s="96"/>
      <c r="E4" s="97"/>
      <c r="F4" s="93"/>
      <c r="G4" s="93"/>
      <c r="H4" s="93"/>
      <c r="I4" s="93"/>
      <c r="J4" s="93"/>
      <c r="K4" s="20" t="s">
        <v>64</v>
      </c>
      <c r="L4" s="20" t="s">
        <v>65</v>
      </c>
      <c r="M4" s="20" t="s">
        <v>66</v>
      </c>
      <c r="N4" s="20" t="s">
        <v>67</v>
      </c>
    </row>
    <row r="5" spans="2:14" ht="108.5" outlineLevel="1">
      <c r="C5" s="21" t="s">
        <v>100</v>
      </c>
      <c r="D5" s="102" t="s">
        <v>101</v>
      </c>
      <c r="E5" s="103"/>
      <c r="F5" s="22" t="s">
        <v>102</v>
      </c>
      <c r="G5" s="21" t="s">
        <v>103</v>
      </c>
      <c r="H5" s="21" t="s">
        <v>104</v>
      </c>
      <c r="I5" s="21" t="s">
        <v>105</v>
      </c>
      <c r="J5" s="21" t="s">
        <v>106</v>
      </c>
      <c r="K5" s="104" t="s">
        <v>107</v>
      </c>
      <c r="L5" s="104"/>
      <c r="M5" s="104"/>
      <c r="N5" s="104"/>
    </row>
    <row r="6" spans="2:14" s="23" customFormat="1" ht="201.5" outlineLevel="1">
      <c r="B6" s="105"/>
      <c r="C6" s="106" t="s">
        <v>108</v>
      </c>
      <c r="D6" s="110"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5"/>
      <c r="C7" s="107"/>
      <c r="D7" s="107"/>
      <c r="E7" s="32" t="s">
        <v>116</v>
      </c>
      <c r="F7" s="33" t="s">
        <v>117</v>
      </c>
      <c r="G7" s="27" t="s">
        <v>118</v>
      </c>
      <c r="H7" s="34">
        <v>5</v>
      </c>
      <c r="I7" s="35" t="s">
        <v>119</v>
      </c>
      <c r="J7" s="29" t="s">
        <v>120</v>
      </c>
      <c r="K7" s="36" t="s">
        <v>121</v>
      </c>
      <c r="L7" s="37" t="s">
        <v>115</v>
      </c>
      <c r="M7" s="36" t="s">
        <v>122</v>
      </c>
      <c r="N7" s="38" t="s">
        <v>123</v>
      </c>
    </row>
    <row r="8" spans="2:14" s="23" customFormat="1" ht="217" outlineLevel="1">
      <c r="B8" s="105"/>
      <c r="C8" s="108"/>
      <c r="D8" s="111"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5"/>
      <c r="C9" s="108"/>
      <c r="D9" s="112"/>
      <c r="E9" s="27" t="s">
        <v>131</v>
      </c>
      <c r="F9" s="26" t="s">
        <v>132</v>
      </c>
      <c r="G9" s="39" t="s">
        <v>133</v>
      </c>
      <c r="H9" s="28">
        <v>5</v>
      </c>
      <c r="I9" s="29" t="s">
        <v>128</v>
      </c>
      <c r="J9" s="29" t="s">
        <v>134</v>
      </c>
      <c r="K9" s="39" t="s">
        <v>135</v>
      </c>
      <c r="L9" s="39" t="s">
        <v>136</v>
      </c>
      <c r="M9" s="39" t="s">
        <v>137</v>
      </c>
      <c r="N9" s="38" t="s">
        <v>137</v>
      </c>
    </row>
    <row r="10" spans="2:14" s="23" customFormat="1" ht="77.5" outlineLevel="1">
      <c r="B10" s="105"/>
      <c r="C10" s="107"/>
      <c r="D10" s="113" t="s">
        <v>138</v>
      </c>
      <c r="E10" s="97"/>
      <c r="F10" s="27" t="s">
        <v>139</v>
      </c>
      <c r="G10" s="40" t="s">
        <v>140</v>
      </c>
      <c r="H10" s="35">
        <v>4</v>
      </c>
      <c r="I10" s="29" t="s">
        <v>128</v>
      </c>
      <c r="J10" s="30" t="s">
        <v>141</v>
      </c>
      <c r="K10" s="39" t="s">
        <v>142</v>
      </c>
      <c r="L10" s="39" t="s">
        <v>142</v>
      </c>
      <c r="M10" s="39" t="s">
        <v>142</v>
      </c>
      <c r="N10" s="38" t="s">
        <v>142</v>
      </c>
    </row>
    <row r="11" spans="2:14" s="23" customFormat="1" ht="263.5" outlineLevel="1">
      <c r="B11" s="105"/>
      <c r="C11" s="107"/>
      <c r="D11" s="110" t="s">
        <v>143</v>
      </c>
      <c r="E11" s="103"/>
      <c r="F11" s="27" t="s">
        <v>144</v>
      </c>
      <c r="G11" s="27" t="s">
        <v>145</v>
      </c>
      <c r="H11" s="28">
        <v>5</v>
      </c>
      <c r="I11" s="29" t="s">
        <v>146</v>
      </c>
      <c r="J11" s="29" t="s">
        <v>147</v>
      </c>
      <c r="K11" s="29" t="s">
        <v>148</v>
      </c>
      <c r="L11" s="29" t="s">
        <v>148</v>
      </c>
      <c r="M11" s="29" t="s">
        <v>148</v>
      </c>
      <c r="N11" s="29" t="s">
        <v>148</v>
      </c>
    </row>
    <row r="12" spans="2:14" s="23" customFormat="1" ht="409.5" outlineLevel="1">
      <c r="B12" s="105"/>
      <c r="C12" s="108"/>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8"/>
      <c r="D13" s="114"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9"/>
      <c r="D14" s="115"/>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6"/>
      <c r="D15" s="115"/>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5"/>
      <c r="C16" s="116" t="s">
        <v>167</v>
      </c>
      <c r="D16" s="11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5"/>
      <c r="C17" s="117"/>
      <c r="D17" s="120"/>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5"/>
      <c r="C18" s="117"/>
      <c r="D18" s="121" t="s">
        <v>85</v>
      </c>
      <c r="E18" s="122"/>
      <c r="F18" s="44" t="s">
        <v>179</v>
      </c>
      <c r="G18" s="44" t="s">
        <v>180</v>
      </c>
      <c r="H18" s="42">
        <v>5</v>
      </c>
      <c r="I18" s="29" t="s">
        <v>181</v>
      </c>
      <c r="J18" s="29" t="s">
        <v>26</v>
      </c>
      <c r="K18" s="36" t="s">
        <v>182</v>
      </c>
      <c r="L18" s="36" t="s">
        <v>183</v>
      </c>
      <c r="M18" s="36" t="s">
        <v>183</v>
      </c>
      <c r="N18" s="38" t="s">
        <v>183</v>
      </c>
    </row>
    <row r="19" spans="2:14" s="23" customFormat="1" ht="155" outlineLevel="1">
      <c r="B19" s="105"/>
      <c r="C19" s="117"/>
      <c r="D19" s="123" t="s">
        <v>86</v>
      </c>
      <c r="E19" s="103"/>
      <c r="F19" s="44" t="s">
        <v>184</v>
      </c>
      <c r="G19" s="27" t="s">
        <v>175</v>
      </c>
      <c r="H19" s="42">
        <v>5</v>
      </c>
      <c r="I19" s="29" t="s">
        <v>185</v>
      </c>
      <c r="J19" s="44" t="s">
        <v>186</v>
      </c>
      <c r="K19" s="36" t="s">
        <v>187</v>
      </c>
      <c r="L19" s="36" t="s">
        <v>187</v>
      </c>
      <c r="M19" s="36" t="s">
        <v>187</v>
      </c>
      <c r="N19" s="49" t="s">
        <v>187</v>
      </c>
    </row>
    <row r="20" spans="2:14" s="23" customFormat="1" ht="93" outlineLevel="1">
      <c r="B20" s="105"/>
      <c r="C20" s="118"/>
      <c r="D20" s="124" t="s">
        <v>87</v>
      </c>
      <c r="E20" s="125"/>
      <c r="F20" s="50" t="s">
        <v>188</v>
      </c>
      <c r="G20" s="44" t="s">
        <v>70</v>
      </c>
      <c r="H20" s="42">
        <v>5</v>
      </c>
      <c r="I20" s="29" t="s">
        <v>189</v>
      </c>
      <c r="J20" s="29" t="s">
        <v>190</v>
      </c>
      <c r="K20" s="36" t="s">
        <v>191</v>
      </c>
      <c r="L20" s="36" t="s">
        <v>192</v>
      </c>
      <c r="M20" s="36" t="s">
        <v>191</v>
      </c>
      <c r="N20" s="38" t="s">
        <v>191</v>
      </c>
    </row>
    <row r="21" spans="2:14" ht="170.5">
      <c r="B21" s="105"/>
      <c r="C21" s="117"/>
      <c r="D21" s="126"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5"/>
      <c r="C22" s="117"/>
      <c r="D22" s="96"/>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5"/>
      <c r="C23" s="11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5"/>
      <c r="C24" s="117"/>
      <c r="D24" s="123" t="s">
        <v>214</v>
      </c>
      <c r="E24" s="95"/>
      <c r="F24" s="44" t="s">
        <v>215</v>
      </c>
      <c r="G24" s="44" t="s">
        <v>216</v>
      </c>
      <c r="H24" s="42">
        <v>5</v>
      </c>
      <c r="I24" s="29" t="s">
        <v>128</v>
      </c>
      <c r="J24" s="29" t="s">
        <v>141</v>
      </c>
      <c r="K24" s="29" t="s">
        <v>217</v>
      </c>
      <c r="L24" s="29" t="s">
        <v>218</v>
      </c>
      <c r="M24" s="29" t="s">
        <v>218</v>
      </c>
      <c r="N24" s="29" t="s">
        <v>218</v>
      </c>
    </row>
    <row r="25" spans="2:14" s="23" customFormat="1" ht="310" outlineLevel="1">
      <c r="B25" s="105"/>
      <c r="C25" s="118"/>
      <c r="D25" s="124" t="s">
        <v>219</v>
      </c>
      <c r="E25" s="125"/>
      <c r="F25" s="50" t="s">
        <v>220</v>
      </c>
      <c r="G25" s="44" t="s">
        <v>221</v>
      </c>
      <c r="H25" s="42">
        <v>5</v>
      </c>
      <c r="I25" s="29" t="s">
        <v>128</v>
      </c>
      <c r="J25" s="29" t="s">
        <v>222</v>
      </c>
      <c r="K25" s="29" t="s">
        <v>223</v>
      </c>
      <c r="L25" s="29" t="s">
        <v>224</v>
      </c>
      <c r="M25" s="29" t="s">
        <v>225</v>
      </c>
      <c r="N25" s="29" t="s">
        <v>226</v>
      </c>
    </row>
    <row r="26" spans="2:14" s="23" customFormat="1" ht="409.5" outlineLevel="1">
      <c r="B26" s="105"/>
      <c r="C26" s="117"/>
      <c r="D26" s="11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5"/>
      <c r="C27" s="117"/>
      <c r="D27" s="12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5"/>
      <c r="C28" s="117"/>
      <c r="D28" s="121" t="s">
        <v>89</v>
      </c>
      <c r="E28" s="122"/>
      <c r="F28" s="44" t="s">
        <v>243</v>
      </c>
      <c r="G28" s="44" t="s">
        <v>244</v>
      </c>
      <c r="H28" s="42">
        <v>5</v>
      </c>
      <c r="I28" s="29" t="s">
        <v>245</v>
      </c>
      <c r="J28" s="55" t="s">
        <v>246</v>
      </c>
      <c r="K28" s="29" t="s">
        <v>247</v>
      </c>
      <c r="L28" s="29" t="s">
        <v>247</v>
      </c>
      <c r="M28" s="29" t="s">
        <v>248</v>
      </c>
      <c r="N28" s="29" t="s">
        <v>248</v>
      </c>
    </row>
    <row r="29" spans="2:14" s="23" customFormat="1" ht="139.5" outlineLevel="1">
      <c r="B29" s="105"/>
      <c r="C29" s="116" t="s">
        <v>249</v>
      </c>
      <c r="D29" s="129"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5"/>
      <c r="C30" s="128"/>
      <c r="D30" s="13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5"/>
      <c r="C31" s="128"/>
      <c r="D31" s="11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5"/>
      <c r="C32" s="128"/>
      <c r="D32" s="13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5"/>
      <c r="C33" s="116" t="s">
        <v>270</v>
      </c>
      <c r="D33" s="106"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5"/>
      <c r="C34" s="117"/>
      <c r="D34" s="132"/>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5"/>
      <c r="C35" s="117"/>
      <c r="D35" s="120"/>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5"/>
      <c r="C36" s="117"/>
      <c r="D36" s="106"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5"/>
      <c r="C37" s="117"/>
      <c r="D37" s="120"/>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5"/>
      <c r="C38" s="117"/>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2025-05-27T09:33:43Z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