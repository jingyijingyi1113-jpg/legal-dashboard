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2E24E8AE-CE78-41D9-AF61-AACC47B5F79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<sst xmlns="http://schemas.openxmlformats.org/spreadsheetml/2006/main" count="662" uniqueCount="372">
  <si>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</si>
  <si>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</si>
  <si>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</si>
  <si>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</si>
  <si>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</si>
  <si>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</si>
  <si>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</si>
  <si>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</si>
  <si>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</si>
  <si>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</si>
  <si>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</si>
  <si>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</si>
  <si>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</si>
  <si>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</si>
  <si>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</si>
  <si>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</si>
  <si>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</si>
  <si>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</si>
  <si>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</si>
  <si>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</si>
  <si>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</si>
  <si>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</si>
  <si>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</si>
  <si>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</si>
  <si>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</si>
  <si>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</si>
  <si>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</si>
  <si>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</si>
  <si>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</si>
  <si>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</si>
  <si>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</si>
  <si>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</si>
  <si>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</si>
  <si>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</si>
  <si>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</si>
  <si>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</si>
  <si>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</si>
  <si>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</si>
  <si>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</si>
  <si>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</si>
  <si>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</si>
  <si>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</si>
  <si>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</si>
  <si>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</si>
  <si>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</si>
  <si>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</si>
  <si>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</si>
  <si>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</si>
  <si>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</si>
  <si>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</si>
  <si>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</si>
  <si>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</si>
  <si>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</si>
  <si>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</si>
  <si>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</si>
  <si>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</si>
  <si>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</si>
  <si>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</si>
  <si>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</si>
  <si>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</si>
  <si>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</si>
  <si>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</si>
  <si>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</si>
  <si>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</si>
  <si>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</si>
  <si>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</si>
  <si>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</si>
  <si>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</si>
  <si>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</si>
  <si>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</si>
  <si>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</si>
  <si>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</si>
  <si>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</si>
  <si>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</si>
  <si>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</si>
  <si>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</si>
  <si>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</si>
  <si>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</si>
  <si>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</si>
  <si>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</si>
  <si>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</si>
  <si>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</si>
  <si>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</si>
  <si>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</si>
  <si>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</si>
  <si>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</si>
  <si>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</si>
  <si>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</si>
  <si>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</si>
  <si>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</si>
  <si>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</si>
  <si>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</si>
  <si>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</si>
  <si>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</si>
  <si>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</si>
  <si>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</si>
  <si>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</si>
  <si>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</si>
  <si>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</si>
  <si>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</si>
  <si>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</si>
  <si>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</si>
  <si>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</si>
  <si>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</si>
  <si>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</si>
  <si>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</si>
  <si>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</si>
  <si>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</si>
  <si>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</si>
  <si>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</si>
  <si>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</si>
  <si>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</si>
  <si>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</si>
  <si>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</si>
  <si>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</si>
  <si>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</si>
  <si>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</si>
  <si>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</si>
  <si>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</si>
  <si>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</si>
  <si>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</si>
  <si>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</si>
  <si>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</si>
  <si>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</si>
  <si>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</si>
  <si>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</si>
  <si>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</si>
  <si>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</si>
  <si>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</si>
  <si>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</si>
  <si>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</si>
  <si>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</si>
  <si>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</si>
  <si>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</si>
  <si>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</si>
  <si>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</si>
  <si>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</si>
  <si>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</si>
  <si>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</si>
  <si>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</si>
  <si>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</si>
  <si>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</si>
  <si>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</si>
  <si>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</si>
  <si>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</si>
  <si>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</si>
  <si>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</si>
  <si>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</si>
  <si>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</si>
  <si>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</si>
  <si>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</si>
  <si>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</si>
  <si>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</si>
  <si>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</si>
  <si>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</si>
  <si>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</si>
  <si>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</si>
  <si>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</si>
  <si>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</si>
  <si>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</si>
  <si>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</si>
  <si>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</si>
  <si>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</si>
  <si>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</si>
  <si>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</si>
  <si>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</si>
  <si>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</si>
  <si>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</si>
  <si>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</si>
  <si>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</si>
  <si>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</si>
  <si>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</si>
  <si>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</si>
  <si>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</si>
  <si>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</si>
  <si>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</si>
  <si>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</si>
  <si>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</si>
  <si>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</si>
  <si>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</si>
  <si>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</si>
  <si>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</si>
  <si>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</si>
  <si>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</si>
  <si>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</si>
  <si>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</si>
  <si>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</si>
  <si>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</si>
  <si>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</si>
  <si>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</si>
  <si>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</si>
  <si>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</si>
  <si>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</si>
  <si>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</si>
  <si>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</si>
  <si>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</si>
  <si>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</si>
  <si>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</si>
  <si>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</si>
  <si>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</si>
  <si>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</si>
  <si>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</si>
  <si>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</si>
  <si>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</si>
  <si>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</si>
  <si>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</si>
  <si>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</si>
  <si>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</si>
  <si>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</si>
  <si>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</si>
  <si>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</si>
  <si>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</si>
  <si>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</si>
  <si>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</si>
  <si>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</si>
  <si>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</si>
  <si>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</si>
  <si>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</si>
  <si>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</si>
  <si>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</si>
  <si>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</si>
  <si>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</si>
  <si>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</si>
  <si>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</si>
  <si>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</si>
  <si>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</si>
  <si>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</si>
  <si>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</si>
  <si>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</si>
  <si>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</si>
  <si>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</si>
  <si>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</si>
  <si>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</si>
  <si>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</si>
  <si>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</si>
  <si>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</si>
  <si>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</si>
  <si>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</si>
  <si>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</si>
  <si>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</si>
  <si>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</si>
  <si>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</si>
  <si>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</si>
  <si>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</si>
  <si>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</si>
  <si>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</si>
  <si>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</si>
  <si>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</si>
  <si>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</si>
  <si>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</si>
  <si>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</si>
  <si>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</si>
  <si>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</si>
  <si>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</si>
  <si>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</si>
  <si>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</si>
  <si>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</si>
  <si>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</si>
  <si>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</si>
  <si>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</si>
  <si>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</si>
  <si>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</si>
  <si>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</si>
  <si>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</si>
  <si>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</si>
  <si>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</si>
  <si>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</si>
  <si>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</si>
  <si>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</si>
  <si>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</si>
  <si>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</si>
  <si>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</si>
  <si>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</si>
  <si>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</si>
  <si>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</si>
  <si>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</si>
  <si>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</si>
  <si>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</si>
  <si>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</si>
  <si>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</si>
  <si>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</si>
  <si>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</si>
  <si>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</si>
  <si>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</si>
  <si>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</si>
  <si>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</si>
  <si>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</si>
  <si>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</si>
  <si>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</si>
  <si>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</si>
  <si>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</si>
  <si>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</si>
  <si>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</si>
  <si>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</si>
  <si>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</si>
  <si>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</si>
  <si>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</si>
  <si>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</si>
  <si>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</si>
  <si>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</si>
  <si>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</si>
  <si>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</si>
  <si>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</si>
  <si>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</si>
  <si>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</si>
  <si>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</si>
  <si>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</si>
  <si>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</si>
  <si>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</si>
  <si>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</si>
  <si>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</si>
  <si>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</si>
  <si>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</si>
  <si>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</si>
  <si>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</si>
  <si>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</si>
  <si>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</si>
  <si>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</si>
  <si>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</si>
  <si>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</si>
  <si>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</si>
  <si>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</si>
  <si>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</si>
  <si>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</si>
  <si>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</si>
  <si>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</si>
  <si>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</si>
  <si>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</si>
  <si>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</si>
  <si>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</si>
  <si>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</si>
  <si>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</si>
  <si>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</si>
  <si>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</si>
  <si>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</si>
  <si>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</si>
  <si>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</si>
  <si>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</si>
  <si>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</si>
  <si>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re: OIT litigation case (DY) to/from external counsel about their document requests.  Reviewed DY's personnel file and related docs from Yinuo and Christina.  Sent DY's personnel file and related docs to our external counsel.  </t>
  </si>
  <si>
    <t xml:space="preserve">Reviewed email updates from C&amp;B team (Wenjie) re: from our 401K DCT testing and Riot Games' NDT testing issues.  Discussed case with Wenjie.  </t>
  </si>
  <si>
    <t xml:space="preserve">Reviewed case updates from HRBP Zoey re: Patrick Dillon (NA Publishing group layoff)'s revised severance package.  Patrick has signed our updated severance agreement. </t>
  </si>
  <si>
    <t xml:space="preserve">Discussed with HRBP Jade/Zoey regarding rehiring Blair Zuo and her severance pay issue.  </t>
  </si>
  <si>
    <t>Discussed upcoming layoff of a CSIG employee (Richard YuFu) with HRBP Jade and HR Compliance Manager Sana.  Termination date is 3/7. Reviewed and updated his severance agreement.</t>
  </si>
  <si>
    <t xml:space="preserve">Reviewed and analyzed LevelUp CEO Glacio's employment contract and emails to/from HRBP Zoey.  Reviewed HRBP Zoey's termination memo and communication script. </t>
  </si>
  <si>
    <t xml:space="preserve">Reviewed emails from IEGG Legal (Brian) regarding our CGL policy limits and workers comp policy for Proxima Beta US.  Discussed issues with Brian and C&amp;B team. 
</t>
  </si>
  <si>
    <t xml:space="preserve">Reviewed emails to/from external counsel re: LA office sublease agreement issues. </t>
  </si>
  <si>
    <t xml:space="preserve">Discussed with HRD Yinuo, C&amp;B (Wenjie). Finance team (Kristy and Sarah) re: legal compliance risk of transferring Manpower Brazil workers to Kite Bird Brazil.  </t>
  </si>
  <si>
    <t xml:space="preserve">Reviewed to finalize the updated Certificate of Incumbency doc with Paracorp for Tencent America in Delaware per the bank's request.  Continued to discuss the business license issue with Comsec (davichan and pomgminglaw).
</t>
  </si>
  <si>
    <t xml:space="preserve">Discussed with Andy, Liz and Jamin re: the Louisiana AG's letters sent to the wrong entity "Tencent LLC".  Researched "Tencent LLC" entity registered to Delaware and Florida by other 3rd parties.  Sent IP infringement issues to IP litigation team to handle. </t>
  </si>
  <si>
    <t xml:space="preserve">Attended CTD management meeting on March 5th (HK) re: dept changes, hosted by Richard Pu. </t>
  </si>
  <si>
    <t xml:space="preserve">Reviewed HQ's new DocuSign login procedures with Jamin and HRD Yinuo.  Received training on new DocuSign on March 4th at Palo Alto office.  </t>
  </si>
  <si>
    <t xml:space="preserve">Participated in Tencent's Art Club activity on March 4th at the Palo Alto office. </t>
  </si>
  <si>
    <t xml:space="preserve">Discussed with Operations Manager (Spring) and Jamin regarding additional signage to contractors re: office foods/snacks/drinks are only provided to FTEs to avoid misclassification issues. </t>
  </si>
  <si>
    <t xml:space="preserve">Participated in Tencent's International Women's Day social event on March 5th at the Palo Alto office. </t>
  </si>
  <si>
    <t xml:space="preserve">Reviewed C&amp;B (Wenjie)'s inquiry and related docs re: our benefits broker change from Aon to Mercer.  </t>
  </si>
  <si>
    <t xml:space="preserve">Reviewed HR/Immigration team's draft ICE raid response guideline.  Discussed training logistics with Operations (Teresa), Immigration (Yvonne), and Jamin. </t>
  </si>
  <si>
    <t xml:space="preserve">Reviewed and discussed a confidential termination case of a LevelUp executive (Glaucio)  in Brazil with HRBP Zoey, HRD Yinuo.  Discussed transferring 4 Manpower Brazil workers to LevelUp, transferring 1 Manpower Mexico to LevelUp, and terminate 1 Manpower Chile worker. </t>
  </si>
  <si>
    <t xml:space="preserve">Discussed with Finance and Procurement teams re: the list of authorized signatories for each entity.
</t>
  </si>
  <si>
    <t xml:space="preserve">Discussed with Finance team re: a travel policy issue for oversea employees. Their proposal is to cover up to 30% cap for airfare upgrades to premium economy or business class.  
</t>
  </si>
  <si>
    <t xml:space="preserve">Discussed with ZAM HRD Raymond Lui re: closing their Singapore operations.  Looped in Desiree to help work on this SG employment matter and the group layoff. </t>
  </si>
  <si>
    <t xml:space="preserve">Discussed CGL policy's refund check issue with HQ Finance team.  Reached out to CGL agent for clarification.  Finance team later confirmed it was for a 2024 insurance claim for our Carson office's roof leakage damages. 
</t>
  </si>
  <si>
    <t xml:space="preserve">Reviewed Recruiting team's urgent inquiry regarding a WA candidate's noncompete agreement with his current employer, and the legal issues if Tencent wants to hire this candiate.  Researched WA noncompete laws and provided legal analysis to the recruiting team. Reviewed the candidate's noncompete and provided legal analysis to our Recruitng team. </t>
  </si>
  <si>
    <t xml:space="preserve">Reviewed original WeWork Brazil lease/membership agreement and amendments for termination clause and auto-renewal clause. Discussed with Operations (Teresa, Sky) and Finance (Pedro) on how to terminate WeWork Brazil to transfer our Brazil workers to LevelUp office in Brazil.  Discuss Space Sharing Agreement contents for LevelUp Brazil to sign. </t>
  </si>
  <si>
    <t xml:space="preserve">Reviewed email updates and settlement confirmation re: CSIG litigation case of Iraj Sodagar to/from external counsel. </t>
  </si>
  <si>
    <t xml:space="preserve">Discussed Regional Publishing / New Market Publishing Team's layoff case (Rowland James Cox) with HRBP Zoey and HR Compliance Manager Sana. Termination date is 3/7.  Reviewed and updated his severance agreement. Reviewed HRBP Zoey's draft communication talking points to the employee. Rowland has signed our severance agreement. </t>
  </si>
  <si>
    <t xml:space="preserve">Attended  Christina's interview on March 4 (China timezone).  Discussed OIT litigation case (DY) with Zhao, Brent and Yinuo/Christina.  </t>
  </si>
  <si>
    <t xml:space="preserve">Continued to discuss with HR &amp; BG whether to register Tencent America in Arizona for the 3 EEs working remotely in that state.  
</t>
  </si>
  <si>
    <r>
      <t>Date: 2025</t>
    </r>
    <r>
      <rPr>
        <b/>
        <sz val="10"/>
        <color theme="0"/>
        <rFont val="等线"/>
        <charset val="134"/>
      </rPr>
      <t xml:space="preserve">-03-03 </t>
    </r>
    <r>
      <rPr>
        <b/>
        <sz val="10"/>
        <color theme="0"/>
        <rFont val="新細明體"/>
        <family val="1"/>
        <charset val="136"/>
      </rPr>
      <t xml:space="preserve">- </t>
    </r>
    <r>
      <rPr>
        <b/>
        <sz val="10"/>
        <color theme="0"/>
        <rFont val="新細明體"/>
        <family val="2"/>
        <scheme val="minor"/>
      </rPr>
      <t>2025-03-09</t>
    </r>
  </si>
  <si>
    <t xml:space="preserve">Received and reviewed 3 sets of Service of Process docs served to Tencent Cloud through our registered agent Paracorp, regarding the bankruptcy case (In re: Edgio, Inc.).  Reviewed Paracorp invoices on the bankruptcy case filings, annual reports for TA in Michigan, and sent to Finance team for processing. </t>
  </si>
  <si>
    <t>Completed Tencent's mandatory compliance training online in Workday: (a) Workplace Violence Prevention (1 hour), (b) Harrassment &amp; Discrimination Prevention (1 hour), (c) Workplace Health &amp; Safety Essentials (1 hour).</t>
  </si>
  <si>
    <t xml:space="preserve">Updated weekly timesheet each day; and organized and replied to emails. Updated February monthly matter report.  Provided info on our intl employment team to Bettina and Sally for the RP presentation.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</si>
</sst>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topLeftCell="A23" zoomScaleNormal="95" workbookViewId="0">
      <selection activeCell="O29" sqref="O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368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8">
      <c r="B6" s="8" t="s">
        <v>338</v>
      </c>
      <c r="C6" s="9" t="s">
        <v>25</v>
      </c>
      <c r="D6" s="10" t="s">
        <v>26</v>
      </c>
      <c r="E6" s="10" t="s">
        <v>30</v>
      </c>
      <c r="F6" s="9" t="s">
        <v>325</v>
      </c>
      <c r="G6" s="11">
        <v>2.5</v>
      </c>
      <c r="H6" s="9" t="s">
        <v>27</v>
      </c>
      <c r="I6" s="76" t="s">
        <v>366</v>
      </c>
    </row>
    <row r="7" spans="1:9" s="2" customFormat="1" ht="87">
      <c r="B7" s="8" t="s">
        <v>338</v>
      </c>
      <c r="C7" s="9" t="s">
        <v>25</v>
      </c>
      <c r="D7" s="10" t="s">
        <v>26</v>
      </c>
      <c r="E7" s="10" t="s">
        <v>30</v>
      </c>
      <c r="F7" s="9" t="s">
        <v>325</v>
      </c>
      <c r="G7" s="11">
        <v>3</v>
      </c>
      <c r="H7" s="9" t="s">
        <v>73</v>
      </c>
      <c r="I7" s="76" t="s">
        <v>339</v>
      </c>
    </row>
    <row r="8" spans="1:9" s="2" customFormat="1" ht="43.5">
      <c r="B8" s="8" t="s">
        <v>338</v>
      </c>
      <c r="C8" s="9" t="s">
        <v>25</v>
      </c>
      <c r="D8" s="10" t="s">
        <v>26</v>
      </c>
      <c r="E8" s="10" t="s">
        <v>30</v>
      </c>
      <c r="F8" s="9" t="s">
        <v>325</v>
      </c>
      <c r="G8" s="11">
        <v>0.5</v>
      </c>
      <c r="H8" s="9" t="s">
        <v>73</v>
      </c>
      <c r="I8" s="76" t="s">
        <v>364</v>
      </c>
    </row>
    <row r="9" spans="1:9" s="2" customFormat="1" ht="58">
      <c r="B9" s="8" t="s">
        <v>338</v>
      </c>
      <c r="C9" s="9" t="s">
        <v>25</v>
      </c>
      <c r="D9" s="10" t="s">
        <v>26</v>
      </c>
      <c r="E9" s="10" t="s">
        <v>30</v>
      </c>
      <c r="F9" s="9" t="s">
        <v>325</v>
      </c>
      <c r="G9" s="11">
        <v>0.3</v>
      </c>
      <c r="H9" s="9" t="s">
        <v>27</v>
      </c>
      <c r="I9" s="76" t="s">
        <v>341</v>
      </c>
    </row>
    <row r="10" spans="1:9" s="2" customFormat="1" ht="43.5">
      <c r="B10" s="8" t="s">
        <v>338</v>
      </c>
      <c r="C10" s="9" t="s">
        <v>25</v>
      </c>
      <c r="D10" s="10" t="s">
        <v>26</v>
      </c>
      <c r="E10" s="10" t="s">
        <v>30</v>
      </c>
      <c r="F10" s="9" t="s">
        <v>325</v>
      </c>
      <c r="G10" s="11">
        <v>0.3</v>
      </c>
      <c r="H10" s="9" t="s">
        <v>27</v>
      </c>
      <c r="I10" s="76" t="s">
        <v>342</v>
      </c>
    </row>
    <row r="11" spans="1:9" s="2" customFormat="1" ht="130.5">
      <c r="B11" s="8" t="s">
        <v>338</v>
      </c>
      <c r="C11" s="9" t="s">
        <v>25</v>
      </c>
      <c r="D11" s="10" t="s">
        <v>26</v>
      </c>
      <c r="E11" s="10" t="s">
        <v>30</v>
      </c>
      <c r="F11" s="9" t="s">
        <v>325</v>
      </c>
      <c r="G11" s="11">
        <v>1.5</v>
      </c>
      <c r="H11" s="9" t="s">
        <v>27</v>
      </c>
      <c r="I11" s="76" t="s">
        <v>365</v>
      </c>
    </row>
    <row r="12" spans="1:9" s="2" customFormat="1" ht="100.5" customHeight="1">
      <c r="B12" s="8" t="s">
        <v>338</v>
      </c>
      <c r="C12" s="9" t="s">
        <v>25</v>
      </c>
      <c r="D12" s="10" t="s">
        <v>26</v>
      </c>
      <c r="E12" s="10" t="s">
        <v>30</v>
      </c>
      <c r="F12" s="9" t="s">
        <v>325</v>
      </c>
      <c r="G12" s="11">
        <v>1.5</v>
      </c>
      <c r="H12" s="9" t="s">
        <v>27</v>
      </c>
      <c r="I12" s="76" t="s">
        <v>357</v>
      </c>
    </row>
    <row r="13" spans="1:9" s="2" customFormat="1" ht="64" customHeight="1">
      <c r="B13" s="8" t="s">
        <v>338</v>
      </c>
      <c r="C13" s="9" t="s">
        <v>25</v>
      </c>
      <c r="D13" s="10" t="s">
        <v>26</v>
      </c>
      <c r="E13" s="10" t="s">
        <v>30</v>
      </c>
      <c r="F13" s="9" t="s">
        <v>325</v>
      </c>
      <c r="G13" s="75">
        <v>2</v>
      </c>
      <c r="H13" s="9" t="s">
        <v>73</v>
      </c>
      <c r="I13" s="76" t="s">
        <v>344</v>
      </c>
    </row>
    <row r="14" spans="1:9" s="2" customFormat="1" ht="61.5" customHeight="1">
      <c r="B14" s="8" t="s">
        <v>338</v>
      </c>
      <c r="C14" s="9" t="s">
        <v>25</v>
      </c>
      <c r="D14" s="10" t="s">
        <v>26</v>
      </c>
      <c r="E14" s="10" t="s">
        <v>30</v>
      </c>
      <c r="F14" s="9" t="s">
        <v>325</v>
      </c>
      <c r="G14" s="11">
        <v>0.7</v>
      </c>
      <c r="H14" s="9" t="s">
        <v>27</v>
      </c>
      <c r="I14" s="76" t="s">
        <v>347</v>
      </c>
    </row>
    <row r="15" spans="1:9" s="2" customFormat="1" ht="72.5">
      <c r="B15" s="8" t="s">
        <v>338</v>
      </c>
      <c r="C15" s="9" t="s">
        <v>25</v>
      </c>
      <c r="D15" s="10" t="s">
        <v>26</v>
      </c>
      <c r="E15" s="10" t="s">
        <v>30</v>
      </c>
      <c r="F15" s="9" t="s">
        <v>325</v>
      </c>
      <c r="G15" s="11">
        <v>1</v>
      </c>
      <c r="H15" s="9" t="s">
        <v>73</v>
      </c>
      <c r="I15" s="76" t="s">
        <v>343</v>
      </c>
    </row>
    <row r="16" spans="1:9" s="2" customFormat="1" ht="48.5" customHeight="1">
      <c r="B16" s="8" t="s">
        <v>338</v>
      </c>
      <c r="C16" s="9" t="s">
        <v>25</v>
      </c>
      <c r="D16" s="10" t="s">
        <v>26</v>
      </c>
      <c r="E16" s="10" t="s">
        <v>30</v>
      </c>
      <c r="F16" s="9" t="s">
        <v>325</v>
      </c>
      <c r="G16" s="11">
        <v>0.5</v>
      </c>
      <c r="H16" s="9" t="s">
        <v>73</v>
      </c>
      <c r="I16" s="76" t="s">
        <v>340</v>
      </c>
    </row>
    <row r="17" spans="2:9" s="2" customFormat="1" ht="48.5" customHeight="1">
      <c r="B17" s="8" t="s">
        <v>338</v>
      </c>
      <c r="C17" s="9" t="s">
        <v>25</v>
      </c>
      <c r="D17" s="10" t="s">
        <v>26</v>
      </c>
      <c r="E17" s="10" t="s">
        <v>30</v>
      </c>
      <c r="F17" s="9" t="s">
        <v>325</v>
      </c>
      <c r="G17" s="11">
        <v>0.5</v>
      </c>
      <c r="H17" s="9" t="s">
        <v>73</v>
      </c>
      <c r="I17" s="76" t="s">
        <v>355</v>
      </c>
    </row>
    <row r="18" spans="2:9" s="2" customFormat="1" ht="64.5" customHeight="1">
      <c r="B18" s="8" t="s">
        <v>338</v>
      </c>
      <c r="C18" s="9" t="s">
        <v>25</v>
      </c>
      <c r="D18" s="10" t="s">
        <v>26</v>
      </c>
      <c r="E18" s="10" t="s">
        <v>30</v>
      </c>
      <c r="F18" s="9" t="s">
        <v>325</v>
      </c>
      <c r="G18" s="75">
        <v>0.7</v>
      </c>
      <c r="H18" s="9" t="s">
        <v>73</v>
      </c>
      <c r="I18" s="76" t="s">
        <v>356</v>
      </c>
    </row>
    <row r="19" spans="2:9" s="2" customFormat="1" ht="130" customHeight="1">
      <c r="B19" s="8" t="s">
        <v>338</v>
      </c>
      <c r="C19" s="9" t="s">
        <v>25</v>
      </c>
      <c r="D19" s="10" t="s">
        <v>26</v>
      </c>
      <c r="E19" s="10" t="s">
        <v>30</v>
      </c>
      <c r="F19" s="9" t="s">
        <v>328</v>
      </c>
      <c r="G19" s="11">
        <v>2</v>
      </c>
      <c r="H19" s="9" t="s">
        <v>24</v>
      </c>
      <c r="I19" s="76" t="s">
        <v>362</v>
      </c>
    </row>
    <row r="20" spans="2:9" s="2" customFormat="1" ht="63" customHeight="1">
      <c r="B20" s="8" t="s">
        <v>338</v>
      </c>
      <c r="C20" s="9" t="s">
        <v>25</v>
      </c>
      <c r="D20" s="10" t="s">
        <v>26</v>
      </c>
      <c r="E20" s="10" t="s">
        <v>30</v>
      </c>
      <c r="F20" s="9" t="s">
        <v>328</v>
      </c>
      <c r="G20" s="11">
        <v>0.2</v>
      </c>
      <c r="H20" s="9" t="s">
        <v>27</v>
      </c>
      <c r="I20" s="76" t="s">
        <v>360</v>
      </c>
    </row>
    <row r="21" spans="2:9" s="2" customFormat="1" ht="87" customHeight="1">
      <c r="B21" s="8" t="s">
        <v>338</v>
      </c>
      <c r="C21" s="9" t="s">
        <v>43</v>
      </c>
      <c r="D21" s="10" t="s">
        <v>47</v>
      </c>
      <c r="E21" s="10" t="s">
        <v>30</v>
      </c>
      <c r="F21" s="9" t="s">
        <v>332</v>
      </c>
      <c r="G21" s="11">
        <v>1</v>
      </c>
      <c r="H21" s="9" t="s">
        <v>27</v>
      </c>
      <c r="I21" s="76" t="s">
        <v>348</v>
      </c>
    </row>
    <row r="22" spans="2:9" s="2" customFormat="1" ht="57.5" customHeight="1">
      <c r="B22" s="8" t="s">
        <v>338</v>
      </c>
      <c r="C22" s="9" t="s">
        <v>43</v>
      </c>
      <c r="D22" s="10" t="s">
        <v>47</v>
      </c>
      <c r="E22" s="10" t="s">
        <v>30</v>
      </c>
      <c r="F22" s="9" t="s">
        <v>332</v>
      </c>
      <c r="G22" s="11">
        <v>0.5</v>
      </c>
      <c r="H22" s="9" t="s">
        <v>73</v>
      </c>
      <c r="I22" s="76" t="s">
        <v>367</v>
      </c>
    </row>
    <row r="23" spans="2:9" s="2" customFormat="1" ht="57.5" customHeight="1">
      <c r="B23" s="8" t="s">
        <v>338</v>
      </c>
      <c r="C23" s="9" t="s">
        <v>28</v>
      </c>
      <c r="D23" s="10" t="s">
        <v>31</v>
      </c>
      <c r="E23" s="10" t="s">
        <v>30</v>
      </c>
      <c r="F23" s="9" t="s">
        <v>332</v>
      </c>
      <c r="G23" s="11">
        <v>0.7</v>
      </c>
      <c r="H23" s="9" t="s">
        <v>27</v>
      </c>
      <c r="I23" s="76" t="s">
        <v>345</v>
      </c>
    </row>
    <row r="24" spans="2:9" s="2" customFormat="1" ht="71.5" customHeight="1">
      <c r="B24" s="8" t="s">
        <v>338</v>
      </c>
      <c r="C24" s="9" t="s">
        <v>28</v>
      </c>
      <c r="D24" s="10" t="s">
        <v>57</v>
      </c>
      <c r="E24" s="10" t="s">
        <v>30</v>
      </c>
      <c r="F24" s="9" t="s">
        <v>332</v>
      </c>
      <c r="G24" s="11">
        <v>0.7</v>
      </c>
      <c r="H24" s="9" t="s">
        <v>27</v>
      </c>
      <c r="I24" s="76" t="s">
        <v>361</v>
      </c>
    </row>
    <row r="25" spans="2:9" s="2" customFormat="1" ht="53.5" customHeight="1">
      <c r="B25" s="8" t="s">
        <v>338</v>
      </c>
      <c r="C25" s="9" t="s">
        <v>28</v>
      </c>
      <c r="D25" s="10" t="s">
        <v>57</v>
      </c>
      <c r="E25" s="10" t="s">
        <v>30</v>
      </c>
      <c r="F25" s="9" t="s">
        <v>332</v>
      </c>
      <c r="G25" s="11">
        <v>0.5</v>
      </c>
      <c r="H25" s="9" t="s">
        <v>27</v>
      </c>
      <c r="I25" s="76" t="s">
        <v>358</v>
      </c>
    </row>
    <row r="26" spans="2:9" s="2" customFormat="1" ht="58" customHeight="1">
      <c r="B26" s="8" t="s">
        <v>338</v>
      </c>
      <c r="C26" s="9" t="s">
        <v>28</v>
      </c>
      <c r="D26" s="10" t="s">
        <v>57</v>
      </c>
      <c r="E26" s="10" t="s">
        <v>30</v>
      </c>
      <c r="F26" s="9" t="s">
        <v>332</v>
      </c>
      <c r="G26" s="11">
        <v>0.5</v>
      </c>
      <c r="H26" s="9" t="s">
        <v>27</v>
      </c>
      <c r="I26" s="76" t="s">
        <v>359</v>
      </c>
    </row>
    <row r="27" spans="2:9" s="2" customFormat="1" ht="49" customHeight="1">
      <c r="B27" s="8" t="s">
        <v>338</v>
      </c>
      <c r="C27" s="9" t="s">
        <v>43</v>
      </c>
      <c r="D27" s="10" t="s">
        <v>49</v>
      </c>
      <c r="E27" s="10" t="s">
        <v>30</v>
      </c>
      <c r="F27" s="9" t="s">
        <v>332</v>
      </c>
      <c r="G27" s="11">
        <v>0.5</v>
      </c>
      <c r="H27" s="9" t="s">
        <v>73</v>
      </c>
      <c r="I27" s="76" t="s">
        <v>346</v>
      </c>
    </row>
    <row r="28" spans="2:9" s="2" customFormat="1" ht="120" customHeight="1">
      <c r="B28" s="8" t="s">
        <v>338</v>
      </c>
      <c r="C28" s="9" t="s">
        <v>43</v>
      </c>
      <c r="D28" s="10" t="s">
        <v>49</v>
      </c>
      <c r="E28" s="10" t="s">
        <v>30</v>
      </c>
      <c r="F28" s="9" t="s">
        <v>332</v>
      </c>
      <c r="G28" s="11">
        <v>1</v>
      </c>
      <c r="H28" s="9" t="s">
        <v>73</v>
      </c>
      <c r="I28" s="76" t="s">
        <v>363</v>
      </c>
    </row>
    <row r="29" spans="2:9" s="2" customFormat="1" ht="62.5" customHeight="1">
      <c r="B29" s="8" t="s">
        <v>338</v>
      </c>
      <c r="C29" s="9" t="s">
        <v>43</v>
      </c>
      <c r="D29" s="10" t="s">
        <v>49</v>
      </c>
      <c r="E29" s="10" t="s">
        <v>30</v>
      </c>
      <c r="F29" s="9" t="s">
        <v>332</v>
      </c>
      <c r="G29" s="11">
        <v>0.3</v>
      </c>
      <c r="H29" s="9" t="s">
        <v>27</v>
      </c>
      <c r="I29" s="76" t="s">
        <v>353</v>
      </c>
    </row>
    <row r="30" spans="2:9" s="2" customFormat="1" ht="88" customHeight="1">
      <c r="B30" s="8" t="s">
        <v>338</v>
      </c>
      <c r="C30" s="9" t="s">
        <v>45</v>
      </c>
      <c r="D30" s="10" t="s">
        <v>31</v>
      </c>
      <c r="E30" s="10" t="s">
        <v>30</v>
      </c>
      <c r="F30" s="9" t="s">
        <v>337</v>
      </c>
      <c r="G30" s="11">
        <v>1</v>
      </c>
      <c r="H30" s="9" t="s">
        <v>27</v>
      </c>
      <c r="I30" s="76" t="s">
        <v>349</v>
      </c>
    </row>
    <row r="31" spans="2:9" s="2" customFormat="1" ht="99" customHeight="1">
      <c r="B31" s="8" t="s">
        <v>338</v>
      </c>
      <c r="C31" s="9" t="s">
        <v>28</v>
      </c>
      <c r="D31" s="10" t="s">
        <v>31</v>
      </c>
      <c r="E31" s="10" t="s">
        <v>30</v>
      </c>
      <c r="F31" s="9" t="s">
        <v>332</v>
      </c>
      <c r="G31" s="11">
        <v>0.5</v>
      </c>
      <c r="H31" s="9" t="s">
        <v>73</v>
      </c>
      <c r="I31" s="76" t="s">
        <v>369</v>
      </c>
    </row>
    <row r="32" spans="2:9" s="2" customFormat="1" ht="58">
      <c r="B32" s="8" t="s">
        <v>338</v>
      </c>
      <c r="C32" s="9" t="s">
        <v>28</v>
      </c>
      <c r="D32" s="10" t="s">
        <v>31</v>
      </c>
      <c r="E32" s="10" t="s">
        <v>33</v>
      </c>
      <c r="F32" s="9" t="s">
        <v>35</v>
      </c>
      <c r="G32" s="11">
        <v>0.3</v>
      </c>
      <c r="H32" s="9" t="s">
        <v>77</v>
      </c>
      <c r="I32" s="76" t="s">
        <v>351</v>
      </c>
    </row>
    <row r="33" spans="2:9" s="2" customFormat="1" ht="29">
      <c r="B33" s="8" t="s">
        <v>338</v>
      </c>
      <c r="C33" s="9" t="s">
        <v>28</v>
      </c>
      <c r="D33" s="10" t="s">
        <v>31</v>
      </c>
      <c r="E33" s="10" t="s">
        <v>33</v>
      </c>
      <c r="F33" s="9" t="s">
        <v>35</v>
      </c>
      <c r="G33" s="11">
        <v>1.5</v>
      </c>
      <c r="H33" s="9" t="s">
        <v>77</v>
      </c>
      <c r="I33" s="76" t="s">
        <v>352</v>
      </c>
    </row>
    <row r="34" spans="2:9" s="2" customFormat="1" ht="43.5">
      <c r="B34" s="8" t="s">
        <v>338</v>
      </c>
      <c r="C34" s="9" t="s">
        <v>28</v>
      </c>
      <c r="D34" s="10" t="s">
        <v>31</v>
      </c>
      <c r="E34" s="10" t="s">
        <v>33</v>
      </c>
      <c r="F34" s="9" t="s">
        <v>35</v>
      </c>
      <c r="G34" s="11">
        <v>1.5</v>
      </c>
      <c r="H34" s="9" t="s">
        <v>77</v>
      </c>
      <c r="I34" s="76" t="s">
        <v>354</v>
      </c>
    </row>
    <row r="35" spans="2:9" s="2" customFormat="1" ht="87">
      <c r="B35" s="8" t="s">
        <v>338</v>
      </c>
      <c r="C35" s="9" t="s">
        <v>28</v>
      </c>
      <c r="D35" s="10" t="s">
        <v>31</v>
      </c>
      <c r="E35" s="10" t="s">
        <v>33</v>
      </c>
      <c r="F35" s="9" t="s">
        <v>35</v>
      </c>
      <c r="G35" s="75">
        <v>3</v>
      </c>
      <c r="H35" s="9" t="s">
        <v>77</v>
      </c>
      <c r="I35" s="76" t="s">
        <v>370</v>
      </c>
    </row>
    <row r="36" spans="2:9" s="2" customFormat="1" ht="43.5">
      <c r="B36" s="8" t="s">
        <v>338</v>
      </c>
      <c r="C36" s="9" t="s">
        <v>28</v>
      </c>
      <c r="D36" s="10" t="s">
        <v>31</v>
      </c>
      <c r="E36" s="10" t="s">
        <v>33</v>
      </c>
      <c r="F36" s="9" t="s">
        <v>35</v>
      </c>
      <c r="G36" s="11">
        <v>0.5</v>
      </c>
      <c r="H36" s="9" t="s">
        <v>21</v>
      </c>
      <c r="I36" s="76" t="s">
        <v>350</v>
      </c>
    </row>
    <row r="37" spans="2:9" s="2" customFormat="1" ht="72.5">
      <c r="B37" s="8" t="s">
        <v>338</v>
      </c>
      <c r="C37" s="9" t="s">
        <v>28</v>
      </c>
      <c r="D37" s="10" t="s">
        <v>31</v>
      </c>
      <c r="E37" s="10" t="s">
        <v>33</v>
      </c>
      <c r="F37" s="9" t="s">
        <v>39</v>
      </c>
      <c r="G37" s="11">
        <v>10</v>
      </c>
      <c r="H37" s="9" t="s">
        <v>31</v>
      </c>
      <c r="I37" s="76" t="s">
        <v>371</v>
      </c>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4.5" customHeight="1">
      <c r="B41" s="81" t="s">
        <v>32</v>
      </c>
      <c r="C41" s="82"/>
      <c r="D41" s="83"/>
      <c r="E41" s="12"/>
      <c r="F41" s="12"/>
      <c r="G41" s="84">
        <f>SUM(G6:G40)</f>
        <v>41.2</v>
      </c>
      <c r="H41" s="85"/>
      <c r="I41" s="86"/>
    </row>
    <row r="44" spans="2:9">
      <c r="B44" s="17" t="s">
        <v>81</v>
      </c>
      <c r="C44" s="18"/>
    </row>
    <row r="45" spans="2:9">
      <c r="C45" s="18"/>
    </row>
  </sheetData>
  <mergeCells count="4">
    <mergeCell ref="B1:I1"/>
    <mergeCell ref="B2:H2"/>
    <mergeCell ref="B41:D41"/>
    <mergeCell ref="G41:I41"/>
  </mergeCells>
  <phoneticPr fontId="10" type="noConversion"/>
  <dataValidations count="3">
    <dataValidation type="list" errorStyle="warning" allowBlank="1" sqref="C24:C40" xr:uid="{00000000-0002-0000-0000-000005000000}">
      <formula1>项目事项分类项目名称</formula1>
    </dataValidation>
    <dataValidation type="list" allowBlank="1" showInputMessage="1" showErrorMessage="1" sqref="F6:F40" xr:uid="{00000000-0002-0000-0000-000002000000}">
      <formula1>INDIRECT($E6)</formula1>
    </dataValidation>
    <dataValidation type="list" allowBlank="1" showInputMessage="1" showErrorMessage="1" sqref="H6:H40"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D6:D40</xm:sqref>
        </x14:dataValidation>
        <x14:dataValidation type="list" allowBlank="1" showInputMessage="1" showErrorMessage="1" xr:uid="{00000000-0002-0000-0000-000007000000}">
          <x14:formula1>
            <xm:f>Tag!$B$2:$E$2</xm:f>
          </x14:formula1>
          <xm:sqref>E6:E40</xm:sqref>
        </x14:dataValidation>
        <x14:dataValidation type="list" errorStyle="warning" allowBlank="1" xr:uid="{00000000-0002-0000-0000-000003000000}">
          <x14:formula1>
            <xm:f>'Exhibit I - Virtual Group'!$A$1:$A$7</xm:f>
          </x14:formula1>
          <xm:sqref>C6:C23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2025-04-09T08:03:37Z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