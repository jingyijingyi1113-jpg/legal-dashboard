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F7A787E3-73E3-4A11-BB12-7C36ADEB9B5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<sst xmlns="http://schemas.openxmlformats.org/spreadsheetml/2006/main" count="620" uniqueCount="366">
  <si>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</si>
  <si>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</si>
  <si>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</si>
  <si>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</si>
  <si>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</si>
  <si>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</si>
  <si>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</si>
  <si>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</si>
  <si>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</si>
  <si>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</si>
  <si>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</si>
  <si>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</si>
  <si>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</si>
  <si>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</si>
  <si>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</si>
  <si>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</si>
  <si>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</si>
  <si>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</si>
  <si>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</si>
  <si>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</si>
  <si>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</si>
  <si>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</si>
  <si>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</si>
  <si>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</si>
  <si>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</si>
  <si>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</si>
  <si>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</si>
  <si>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</si>
  <si>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</si>
  <si>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</si>
  <si>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</si>
  <si>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</si>
  <si>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</si>
  <si>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</si>
  <si>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</si>
  <si>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</si>
  <si>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</si>
  <si>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</si>
  <si>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</si>
  <si>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</si>
  <si>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</si>
  <si>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</si>
  <si>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</si>
  <si>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</si>
  <si>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</si>
  <si>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</si>
  <si>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</si>
  <si>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</si>
  <si>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</si>
  <si>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</si>
  <si>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</si>
  <si>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</si>
  <si>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</si>
  <si>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</si>
  <si>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</si>
  <si>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</si>
  <si>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</si>
  <si>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</si>
  <si>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</si>
  <si>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</si>
  <si>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</si>
  <si>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</si>
  <si>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</si>
  <si>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</si>
  <si>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</si>
  <si>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</si>
  <si>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</si>
  <si>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</si>
  <si>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</si>
  <si>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</si>
  <si>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</si>
  <si>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</si>
  <si>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</si>
  <si>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</si>
  <si>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</si>
  <si>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</si>
  <si>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</si>
  <si>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</si>
  <si>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</si>
  <si>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</si>
  <si>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</si>
  <si>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</si>
  <si>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</si>
  <si>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</si>
  <si>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</si>
  <si>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</si>
  <si>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</si>
  <si>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</si>
  <si>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</si>
  <si>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</si>
  <si>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</si>
  <si>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</si>
  <si>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</si>
  <si>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</si>
  <si>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</si>
  <si>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</si>
  <si>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</si>
  <si>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</si>
  <si>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</si>
  <si>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</si>
  <si>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</si>
  <si>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</si>
  <si>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</si>
  <si>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</si>
  <si>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</si>
  <si>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</si>
  <si>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</si>
  <si>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</si>
  <si>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</si>
  <si>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</si>
  <si>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</si>
  <si>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</si>
  <si>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</si>
  <si>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</si>
  <si>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</si>
  <si>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</si>
  <si>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</si>
  <si>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</si>
  <si>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</si>
  <si>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</si>
  <si>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</si>
  <si>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</si>
  <si>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</si>
  <si>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</si>
  <si>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</si>
  <si>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</si>
  <si>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</si>
  <si>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</si>
  <si>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</si>
  <si>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</si>
  <si>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</si>
  <si>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</si>
  <si>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</si>
  <si>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</si>
  <si>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</si>
  <si>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</si>
  <si>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</si>
  <si>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</si>
  <si>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</si>
  <si>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</si>
  <si>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</si>
  <si>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</si>
  <si>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</si>
  <si>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</si>
  <si>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</si>
  <si>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</si>
  <si>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</si>
  <si>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</si>
  <si>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</si>
  <si>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</si>
  <si>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</si>
  <si>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</si>
  <si>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</si>
  <si>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</si>
  <si>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</si>
  <si>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</si>
  <si>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</si>
  <si>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</si>
  <si>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</si>
  <si>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</si>
  <si>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</si>
  <si>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</si>
  <si>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</si>
  <si>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</si>
  <si>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</si>
  <si>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</si>
  <si>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</si>
  <si>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</si>
  <si>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</si>
  <si>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</si>
  <si>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</si>
  <si>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</si>
  <si>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</si>
  <si>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</si>
  <si>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</si>
  <si>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</si>
  <si>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</si>
  <si>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</si>
  <si>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</si>
  <si>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</si>
  <si>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</si>
  <si>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</si>
  <si>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</si>
  <si>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</si>
  <si>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</si>
  <si>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</si>
  <si>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</si>
  <si>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</si>
  <si>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</si>
  <si>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</si>
  <si>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</si>
  <si>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</si>
  <si>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</si>
  <si>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</si>
  <si>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</si>
  <si>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</si>
  <si>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</si>
  <si>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</si>
  <si>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</si>
  <si>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</si>
  <si>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</si>
  <si>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</si>
  <si>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</si>
  <si>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</si>
  <si>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</si>
  <si>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</si>
  <si>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</si>
  <si>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</si>
  <si>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</si>
  <si>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</si>
  <si>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</si>
  <si>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</si>
  <si>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</si>
  <si>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</si>
  <si>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</si>
  <si>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</si>
  <si>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</si>
  <si>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</si>
  <si>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</si>
  <si>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</si>
  <si>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</si>
  <si>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</si>
  <si>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</si>
  <si>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</si>
  <si>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</si>
  <si>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</si>
  <si>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</si>
  <si>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</si>
  <si>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</si>
  <si>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</si>
  <si>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</si>
  <si>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</si>
  <si>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</si>
  <si>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</si>
  <si>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</si>
  <si>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</si>
  <si>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</si>
  <si>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</si>
  <si>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</si>
  <si>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</si>
  <si>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</si>
  <si>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</si>
  <si>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</si>
  <si>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</si>
  <si>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</si>
  <si>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</si>
  <si>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</si>
  <si>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</si>
  <si>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</si>
  <si>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</si>
  <si>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</si>
  <si>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</si>
  <si>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</si>
  <si>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</si>
  <si>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</si>
  <si>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</si>
  <si>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</si>
  <si>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</si>
  <si>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</si>
  <si>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</si>
  <si>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</si>
  <si>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</si>
  <si>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</si>
  <si>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</si>
  <si>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</si>
  <si>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</si>
  <si>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</si>
  <si>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</si>
  <si>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</si>
  <si>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</si>
  <si>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</si>
  <si>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</si>
  <si>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</si>
  <si>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</si>
  <si>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</si>
  <si>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</si>
  <si>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</si>
  <si>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</si>
  <si>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</si>
  <si>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</si>
  <si>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</si>
  <si>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</si>
  <si>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</si>
  <si>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</si>
  <si>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</si>
  <si>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</si>
  <si>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</si>
  <si>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</si>
  <si>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</si>
  <si>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</si>
  <si>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</si>
  <si>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</si>
  <si>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</si>
  <si>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</si>
  <si>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</si>
  <si>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</si>
  <si>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</si>
  <si>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</si>
  <si>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</si>
  <si>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</si>
  <si>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</si>
  <si>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</si>
  <si>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</si>
  <si>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</si>
  <si>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</si>
  <si>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</si>
  <si>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</si>
  <si>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</si>
  <si>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</si>
  <si>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</si>
  <si>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</si>
  <si>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</si>
  <si>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</si>
  <si>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</si>
  <si>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</si>
  <si>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</si>
  <si>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</si>
  <si>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</si>
  <si>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</si>
  <si>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</si>
  <si>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</si>
  <si>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</si>
  <si>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</si>
  <si>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</si>
  <si>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</si>
  <si>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</si>
  <si>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</si>
  <si>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</si>
  <si>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</si>
  <si>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</si>
  <si>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</si>
  <si>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</si>
  <si>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</si>
  <si>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</si>
  <si>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</si>
  <si>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</si>
  <si>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</si>
  <si>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</si>
  <si>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</si>
  <si>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emails re: OIT litigation case (DY) to/from external counsel about their document requests.  Reviewed DY's personnel file and related docs from Yinuo and Christina.  Sent DY's personnel file and related docs to our external counsel.  </t>
  </si>
  <si>
    <t xml:space="preserve">Reviewed emails to/from external counsel re: LA office sublease agreement issues. </t>
  </si>
  <si>
    <t xml:space="preserve">Continued to discuss with HR &amp; BG whether to register Tencent America in Arizona for the 3 EEs working remotely in that state.  
</t>
  </si>
  <si>
    <r>
      <t>Date: 2025</t>
    </r>
    <r>
      <rPr>
        <b/>
        <sz val="10"/>
        <color theme="0"/>
        <rFont val="等线"/>
        <charset val="134"/>
      </rPr>
      <t xml:space="preserve">-03-10 </t>
    </r>
    <r>
      <rPr>
        <b/>
        <sz val="10"/>
        <color theme="0"/>
        <rFont val="新細明體"/>
        <family val="1"/>
        <charset val="136"/>
      </rPr>
      <t xml:space="preserve">- </t>
    </r>
    <r>
      <rPr>
        <b/>
        <sz val="10"/>
        <color theme="0"/>
        <rFont val="新細明體"/>
        <family val="2"/>
        <scheme val="minor"/>
      </rPr>
      <t>2025-03-16</t>
    </r>
  </si>
  <si>
    <t xml:space="preserve">Attended  Steven Ma's witness interview on March 10.  Discussed OIT litigation case (DY) with Zhao, Brent and Yinuo.  </t>
  </si>
  <si>
    <t xml:space="preserve">Reviewed Recruiting team's urgent inquiry regarding a WA candidate's noncompete agreement with his current employer, and the legal issues if Tencent wants to hire this candiate.  Continued to provide legal analysis and advices with Jamin to our Recruitng team. </t>
  </si>
  <si>
    <t>Discussed the layoff of a CSIG employee (Richard YuFu) with HRBP Jade and HR Compliance Manager Sana.  Termination date was 3/7.  He has just signed his severance agreement.</t>
  </si>
  <si>
    <t xml:space="preserve">Reviewed a personnel file request from a former employee's husband's lawyer re: auto insurance claim case.  Discussed case with C&amp;B team and Jamin. </t>
  </si>
  <si>
    <t xml:space="preserve">Discussed with ZAM HRD Raymond Lui re: closing their Singapore operations in June 2025.  Reviewed emails sent to/from Raymond &amp; Desiree regarding this group layoff.   </t>
  </si>
  <si>
    <t xml:space="preserve">Reviewed emails to/from OIT regarding Asana contract's debt collection issue. </t>
  </si>
  <si>
    <t xml:space="preserve">Researched current updates on the federal Corporate Transaction Act's BOI Reporting rule.  Discussed with external counsel and advised Comsec on this issue.  Advised them to hold off on filing BOI reports due to Trump extended the deadline to give the Treasury Dept more time to review the law. They might abolish this law and only requires foreign companies to file BOI reports instead. 
</t>
  </si>
  <si>
    <t xml:space="preserve">Continued to discuss upcoming layoff of 2 Media Lab employees (tinglanlin, zafarshahid) with HRBP Jade and HR Compliance Manager Sana. Reviewed and revised termination memo for internal record.  Termination date is set for April 4th. </t>
  </si>
  <si>
    <t xml:space="preserve">Discussed with HRBP Jade regarding issues of rehiring former employee Blair Zuo that we laid off last month.    </t>
  </si>
  <si>
    <t>Reviewed and analyzed Central Publishing team's layoff of Judith Ordaz.  Her termination set for March/April.  Discussed case with HRBP Zoey and the retaliation risk due to employee just returned from maternity leave.</t>
  </si>
  <si>
    <t xml:space="preserve">Lunch meeting with HRD Yinuo to discuss cases updates, certain teams' layoffs, HR personnel changes, GDC logistics, etc. </t>
  </si>
  <si>
    <t xml:space="preserve">Reviewed emails to/from HRBP Zoey re: the confidential termination of LevelUp executive (Glaucio) in Brazil  .  Reviewed HRBP Zoey's termination memo and communication script. </t>
  </si>
  <si>
    <t xml:space="preserve">Updated weekly timesheet each day; and organized and replied to emails. Updated February team's KPI report.  Updated team's corporate governance data &amp; intl employment data for February 2025. </t>
  </si>
  <si>
    <t xml:space="preserve">Reviewed emails re: settlement of the CSIG litigation case of Iraj Sodagar to/from external counsel.  </t>
  </si>
  <si>
    <t xml:space="preserve">Received and reviewed 4 sets of Service of Process docs served to Tencent Cloud through our registered agent Paracorp, regarding the bankruptcy case (In re: Edgio, Inc.).  Reviewed Paracorp invoices on the bankruptcy case filings,  and sent to Finance team for processing. </t>
  </si>
  <si>
    <t>Reviewed legal invoices from Morgan Lewis.   Submitted invoices to Austor for payment processing.</t>
  </si>
  <si>
    <t>Attended In-House Connect networking event in Palo Alto on 3/12.</t>
  </si>
  <si>
    <t xml:space="preserve"> Discussed with Operations (Teresa, Sky) on how to terminate WeWork Brazil to transfer our Brazil workers to LevelUp office in Brazil.  </t>
  </si>
  <si>
    <t xml:space="preserve">Meeting with Finance and Procurement teams re: the list of authorized signatories for each entity.
</t>
  </si>
  <si>
    <t xml:space="preserve">Reviewed  and updated HR/Immigration team's draft ICE raid response guideline.  </t>
  </si>
  <si>
    <t xml:space="preserve">Reviewed emails between Janin and C&amp;B (Wenjie)'s inquiry and related docs re: our benefits broker change from Aon to Mercer.  </t>
  </si>
  <si>
    <t>Reviewed's C&amp;B inquiry on ERISA issues re: our 401K plan for interns.  Reviewed emails to/from external counsel.  Reviewed 401k plan docs.</t>
  </si>
  <si>
    <t>Reviewed and discussed a confidential termination case of a LevelUp executive (Glaucio)  in Brazil with HRBP Zoey, HRD Yinuo.  Reviewed HRBP Yoky's termination pla.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</si>
</sst>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0" fillId="0" borderId="1" xfId="0" applyFont="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Normal="95" workbookViewId="0">
      <selection activeCell="M30" sqref="M3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3.5">
      <c r="B6" s="8" t="s">
        <v>338</v>
      </c>
      <c r="C6" s="9" t="s">
        <v>25</v>
      </c>
      <c r="D6" s="10" t="s">
        <v>26</v>
      </c>
      <c r="E6" s="10" t="s">
        <v>30</v>
      </c>
      <c r="F6" s="9" t="s">
        <v>325</v>
      </c>
      <c r="G6" s="11">
        <v>2.5</v>
      </c>
      <c r="H6" s="9" t="s">
        <v>27</v>
      </c>
      <c r="I6" s="76" t="s">
        <v>343</v>
      </c>
    </row>
    <row r="7" spans="1:9" s="2" customFormat="1" ht="87">
      <c r="B7" s="8" t="s">
        <v>338</v>
      </c>
      <c r="C7" s="9" t="s">
        <v>25</v>
      </c>
      <c r="D7" s="10" t="s">
        <v>26</v>
      </c>
      <c r="E7" s="10" t="s">
        <v>30</v>
      </c>
      <c r="F7" s="9" t="s">
        <v>325</v>
      </c>
      <c r="G7" s="11">
        <v>3</v>
      </c>
      <c r="H7" s="9" t="s">
        <v>73</v>
      </c>
      <c r="I7" s="76" t="s">
        <v>339</v>
      </c>
    </row>
    <row r="8" spans="1:9" s="2" customFormat="1" ht="43.5">
      <c r="B8" s="8" t="s">
        <v>338</v>
      </c>
      <c r="C8" s="9" t="s">
        <v>25</v>
      </c>
      <c r="D8" s="10" t="s">
        <v>26</v>
      </c>
      <c r="E8" s="10" t="s">
        <v>30</v>
      </c>
      <c r="F8" s="9" t="s">
        <v>325</v>
      </c>
      <c r="G8" s="11">
        <v>0.5</v>
      </c>
      <c r="H8" s="9" t="s">
        <v>73</v>
      </c>
      <c r="I8" s="76" t="s">
        <v>356</v>
      </c>
    </row>
    <row r="9" spans="1:9" s="2" customFormat="1" ht="56" customHeight="1">
      <c r="B9" s="8" t="s">
        <v>338</v>
      </c>
      <c r="C9" s="9" t="s">
        <v>25</v>
      </c>
      <c r="D9" s="10" t="s">
        <v>26</v>
      </c>
      <c r="E9" s="10" t="s">
        <v>30</v>
      </c>
      <c r="F9" s="9" t="s">
        <v>325</v>
      </c>
      <c r="G9" s="11">
        <v>1.5</v>
      </c>
      <c r="H9" s="9" t="s">
        <v>27</v>
      </c>
      <c r="I9" s="76" t="s">
        <v>365</v>
      </c>
    </row>
    <row r="10" spans="1:9" s="2" customFormat="1" ht="64" customHeight="1">
      <c r="B10" s="8" t="s">
        <v>338</v>
      </c>
      <c r="C10" s="9" t="s">
        <v>25</v>
      </c>
      <c r="D10" s="10" t="s">
        <v>26</v>
      </c>
      <c r="E10" s="10" t="s">
        <v>30</v>
      </c>
      <c r="F10" s="9" t="s">
        <v>325</v>
      </c>
      <c r="G10" s="75">
        <v>2</v>
      </c>
      <c r="H10" s="9" t="s">
        <v>73</v>
      </c>
      <c r="I10" s="76" t="s">
        <v>354</v>
      </c>
    </row>
    <row r="11" spans="1:9" s="2" customFormat="1" ht="78.5" customHeight="1">
      <c r="B11" s="8" t="s">
        <v>338</v>
      </c>
      <c r="C11" s="9" t="s">
        <v>25</v>
      </c>
      <c r="D11" s="10" t="s">
        <v>26</v>
      </c>
      <c r="E11" s="10" t="s">
        <v>30</v>
      </c>
      <c r="F11" s="9" t="s">
        <v>325</v>
      </c>
      <c r="G11" s="75">
        <v>1</v>
      </c>
      <c r="H11" s="9" t="s">
        <v>27</v>
      </c>
      <c r="I11" s="76" t="s">
        <v>352</v>
      </c>
    </row>
    <row r="12" spans="1:9" s="2" customFormat="1" ht="43.5">
      <c r="B12" s="8" t="s">
        <v>338</v>
      </c>
      <c r="C12" s="9" t="s">
        <v>25</v>
      </c>
      <c r="D12" s="10" t="s">
        <v>26</v>
      </c>
      <c r="E12" s="10" t="s">
        <v>30</v>
      </c>
      <c r="F12" s="9" t="s">
        <v>325</v>
      </c>
      <c r="G12" s="11">
        <v>0.3</v>
      </c>
      <c r="H12" s="9" t="s">
        <v>27</v>
      </c>
      <c r="I12" s="77" t="s">
        <v>351</v>
      </c>
    </row>
    <row r="13" spans="1:9" s="2" customFormat="1" ht="72.5">
      <c r="B13" s="8" t="s">
        <v>338</v>
      </c>
      <c r="C13" s="9" t="s">
        <v>25</v>
      </c>
      <c r="D13" s="10" t="s">
        <v>26</v>
      </c>
      <c r="E13" s="10" t="s">
        <v>30</v>
      </c>
      <c r="F13" s="9" t="s">
        <v>325</v>
      </c>
      <c r="G13" s="11">
        <v>0.5</v>
      </c>
      <c r="H13" s="9" t="s">
        <v>73</v>
      </c>
      <c r="I13" s="77" t="s">
        <v>345</v>
      </c>
    </row>
    <row r="14" spans="1:9" s="2" customFormat="1" ht="88" customHeight="1">
      <c r="B14" s="8" t="s">
        <v>338</v>
      </c>
      <c r="C14" s="9" t="s">
        <v>25</v>
      </c>
      <c r="D14" s="10" t="s">
        <v>26</v>
      </c>
      <c r="E14" s="10" t="s">
        <v>30</v>
      </c>
      <c r="F14" s="9" t="s">
        <v>325</v>
      </c>
      <c r="G14" s="11">
        <v>1</v>
      </c>
      <c r="H14" s="9" t="s">
        <v>27</v>
      </c>
      <c r="I14" s="76" t="s">
        <v>350</v>
      </c>
    </row>
    <row r="15" spans="1:9" s="2" customFormat="1" ht="48.5" customHeight="1">
      <c r="B15" s="8" t="s">
        <v>338</v>
      </c>
      <c r="C15" s="9" t="s">
        <v>25</v>
      </c>
      <c r="D15" s="10" t="s">
        <v>26</v>
      </c>
      <c r="E15" s="10" t="s">
        <v>30</v>
      </c>
      <c r="F15" s="9" t="s">
        <v>325</v>
      </c>
      <c r="G15" s="11">
        <v>2</v>
      </c>
      <c r="H15" s="9" t="s">
        <v>73</v>
      </c>
      <c r="I15" s="76" t="s">
        <v>364</v>
      </c>
    </row>
    <row r="16" spans="1:9" s="2" customFormat="1" ht="48.5" customHeight="1">
      <c r="B16" s="8" t="s">
        <v>338</v>
      </c>
      <c r="C16" s="9" t="s">
        <v>25</v>
      </c>
      <c r="D16" s="10" t="s">
        <v>26</v>
      </c>
      <c r="E16" s="10" t="s">
        <v>30</v>
      </c>
      <c r="F16" s="9" t="s">
        <v>325</v>
      </c>
      <c r="G16" s="11">
        <v>0.7</v>
      </c>
      <c r="H16" s="9" t="s">
        <v>73</v>
      </c>
      <c r="I16" s="76" t="s">
        <v>363</v>
      </c>
    </row>
    <row r="17" spans="2:9" s="2" customFormat="1" ht="36" customHeight="1">
      <c r="B17" s="8" t="s">
        <v>338</v>
      </c>
      <c r="C17" s="9" t="s">
        <v>25</v>
      </c>
      <c r="D17" s="10" t="s">
        <v>26</v>
      </c>
      <c r="E17" s="10" t="s">
        <v>30</v>
      </c>
      <c r="F17" s="9" t="s">
        <v>325</v>
      </c>
      <c r="G17" s="75">
        <v>1</v>
      </c>
      <c r="H17" s="9" t="s">
        <v>73</v>
      </c>
      <c r="I17" s="76" t="s">
        <v>362</v>
      </c>
    </row>
    <row r="18" spans="2:9" s="2" customFormat="1" ht="64.5" customHeight="1">
      <c r="B18" s="8" t="s">
        <v>338</v>
      </c>
      <c r="C18" s="9" t="s">
        <v>25</v>
      </c>
      <c r="D18" s="10" t="s">
        <v>26</v>
      </c>
      <c r="E18" s="10" t="s">
        <v>30</v>
      </c>
      <c r="F18" s="9" t="s">
        <v>325</v>
      </c>
      <c r="G18" s="75">
        <v>0.5</v>
      </c>
      <c r="H18" s="9" t="s">
        <v>73</v>
      </c>
      <c r="I18" s="76" t="s">
        <v>346</v>
      </c>
    </row>
    <row r="19" spans="2:9" s="2" customFormat="1" ht="63" customHeight="1">
      <c r="B19" s="8" t="s">
        <v>338</v>
      </c>
      <c r="C19" s="9" t="s">
        <v>25</v>
      </c>
      <c r="D19" s="10" t="s">
        <v>26</v>
      </c>
      <c r="E19" s="10" t="s">
        <v>30</v>
      </c>
      <c r="F19" s="9" t="s">
        <v>328</v>
      </c>
      <c r="G19" s="11">
        <v>0.5</v>
      </c>
      <c r="H19" s="9" t="s">
        <v>27</v>
      </c>
      <c r="I19" s="76" t="s">
        <v>347</v>
      </c>
    </row>
    <row r="20" spans="2:9" s="2" customFormat="1" ht="87.5" customHeight="1">
      <c r="B20" s="8" t="s">
        <v>338</v>
      </c>
      <c r="C20" s="9" t="s">
        <v>25</v>
      </c>
      <c r="D20" s="10" t="s">
        <v>26</v>
      </c>
      <c r="E20" s="10" t="s">
        <v>30</v>
      </c>
      <c r="F20" s="9" t="s">
        <v>328</v>
      </c>
      <c r="G20" s="11">
        <v>1.5</v>
      </c>
      <c r="H20" s="9" t="s">
        <v>27</v>
      </c>
      <c r="I20" s="77" t="s">
        <v>344</v>
      </c>
    </row>
    <row r="21" spans="2:9" s="2" customFormat="1" ht="42" customHeight="1">
      <c r="B21" s="8" t="s">
        <v>338</v>
      </c>
      <c r="C21" s="9" t="s">
        <v>25</v>
      </c>
      <c r="D21" s="10" t="s">
        <v>26</v>
      </c>
      <c r="E21" s="10" t="s">
        <v>30</v>
      </c>
      <c r="F21" s="9" t="s">
        <v>325</v>
      </c>
      <c r="G21" s="11">
        <v>1.5</v>
      </c>
      <c r="H21" s="9" t="s">
        <v>27</v>
      </c>
      <c r="I21" s="77" t="s">
        <v>353</v>
      </c>
    </row>
    <row r="22" spans="2:9" s="2" customFormat="1" ht="57.5" customHeight="1">
      <c r="B22" s="8" t="s">
        <v>338</v>
      </c>
      <c r="C22" s="9" t="s">
        <v>43</v>
      </c>
      <c r="D22" s="10" t="s">
        <v>47</v>
      </c>
      <c r="E22" s="10" t="s">
        <v>30</v>
      </c>
      <c r="F22" s="9" t="s">
        <v>332</v>
      </c>
      <c r="G22" s="11">
        <v>0.5</v>
      </c>
      <c r="H22" s="9" t="s">
        <v>73</v>
      </c>
      <c r="I22" s="76" t="s">
        <v>341</v>
      </c>
    </row>
    <row r="23" spans="2:9" s="2" customFormat="1" ht="142.5" customHeight="1">
      <c r="B23" s="8" t="s">
        <v>338</v>
      </c>
      <c r="C23" s="9" t="s">
        <v>43</v>
      </c>
      <c r="D23" s="10" t="s">
        <v>47</v>
      </c>
      <c r="E23" s="10" t="s">
        <v>30</v>
      </c>
      <c r="F23" s="9" t="s">
        <v>332</v>
      </c>
      <c r="G23" s="11">
        <v>2.5</v>
      </c>
      <c r="H23" s="9" t="s">
        <v>24</v>
      </c>
      <c r="I23" s="76" t="s">
        <v>349</v>
      </c>
    </row>
    <row r="24" spans="2:9" s="2" customFormat="1" ht="53.5" customHeight="1">
      <c r="B24" s="8" t="s">
        <v>338</v>
      </c>
      <c r="C24" s="9" t="s">
        <v>28</v>
      </c>
      <c r="D24" s="10" t="s">
        <v>57</v>
      </c>
      <c r="E24" s="10" t="s">
        <v>30</v>
      </c>
      <c r="F24" s="9" t="s">
        <v>332</v>
      </c>
      <c r="G24" s="11">
        <v>0.7</v>
      </c>
      <c r="H24" s="9" t="s">
        <v>27</v>
      </c>
      <c r="I24" s="76" t="s">
        <v>361</v>
      </c>
    </row>
    <row r="25" spans="2:9" s="2" customFormat="1" ht="49" customHeight="1">
      <c r="B25" s="8" t="s">
        <v>338</v>
      </c>
      <c r="C25" s="9" t="s">
        <v>43</v>
      </c>
      <c r="D25" s="10" t="s">
        <v>49</v>
      </c>
      <c r="E25" s="10" t="s">
        <v>30</v>
      </c>
      <c r="F25" s="9" t="s">
        <v>332</v>
      </c>
      <c r="G25" s="11">
        <v>0.7</v>
      </c>
      <c r="H25" s="9" t="s">
        <v>73</v>
      </c>
      <c r="I25" s="76" t="s">
        <v>340</v>
      </c>
    </row>
    <row r="26" spans="2:9" s="2" customFormat="1" ht="53.5" customHeight="1">
      <c r="B26" s="8" t="s">
        <v>338</v>
      </c>
      <c r="C26" s="9" t="s">
        <v>43</v>
      </c>
      <c r="D26" s="10" t="s">
        <v>49</v>
      </c>
      <c r="E26" s="10" t="s">
        <v>30</v>
      </c>
      <c r="F26" s="9" t="s">
        <v>332</v>
      </c>
      <c r="G26" s="11">
        <v>1</v>
      </c>
      <c r="H26" s="9" t="s">
        <v>27</v>
      </c>
      <c r="I26" s="76" t="s">
        <v>360</v>
      </c>
    </row>
    <row r="27" spans="2:9" s="2" customFormat="1" ht="29">
      <c r="B27" s="8" t="s">
        <v>338</v>
      </c>
      <c r="C27" s="9" t="s">
        <v>28</v>
      </c>
      <c r="D27" s="10" t="s">
        <v>31</v>
      </c>
      <c r="E27" s="10" t="s">
        <v>33</v>
      </c>
      <c r="F27" s="9" t="s">
        <v>35</v>
      </c>
      <c r="G27" s="11">
        <v>0.5</v>
      </c>
      <c r="H27" s="9" t="s">
        <v>73</v>
      </c>
      <c r="I27" s="76" t="s">
        <v>348</v>
      </c>
    </row>
    <row r="28" spans="2:9" s="2" customFormat="1" ht="99" customHeight="1">
      <c r="B28" s="8" t="s">
        <v>338</v>
      </c>
      <c r="C28" s="9" t="s">
        <v>28</v>
      </c>
      <c r="D28" s="10" t="s">
        <v>31</v>
      </c>
      <c r="E28" s="10" t="s">
        <v>33</v>
      </c>
      <c r="F28" s="9" t="s">
        <v>35</v>
      </c>
      <c r="G28" s="11">
        <v>0.7</v>
      </c>
      <c r="H28" s="9" t="s">
        <v>73</v>
      </c>
      <c r="I28" s="76" t="s">
        <v>357</v>
      </c>
    </row>
    <row r="29" spans="2:9" s="2" customFormat="1" ht="37.5" customHeight="1">
      <c r="B29" s="8" t="s">
        <v>338</v>
      </c>
      <c r="C29" s="9" t="s">
        <v>28</v>
      </c>
      <c r="D29" s="10" t="s">
        <v>31</v>
      </c>
      <c r="E29" s="10" t="s">
        <v>33</v>
      </c>
      <c r="F29" s="9" t="s">
        <v>35</v>
      </c>
      <c r="G29" s="11">
        <v>2</v>
      </c>
      <c r="H29" s="9" t="s">
        <v>31</v>
      </c>
      <c r="I29" s="76" t="s">
        <v>359</v>
      </c>
    </row>
    <row r="30" spans="2:9" s="2" customFormat="1" ht="43" customHeight="1">
      <c r="B30" s="8" t="s">
        <v>338</v>
      </c>
      <c r="C30" s="9" t="s">
        <v>28</v>
      </c>
      <c r="D30" s="10" t="s">
        <v>31</v>
      </c>
      <c r="E30" s="10" t="s">
        <v>33</v>
      </c>
      <c r="F30" s="9" t="s">
        <v>36</v>
      </c>
      <c r="G30" s="11">
        <v>0.5</v>
      </c>
      <c r="H30" s="9" t="s">
        <v>31</v>
      </c>
      <c r="I30" s="76" t="s">
        <v>358</v>
      </c>
    </row>
    <row r="31" spans="2:9" s="2" customFormat="1" ht="72.5">
      <c r="B31" s="8" t="s">
        <v>338</v>
      </c>
      <c r="C31" s="9" t="s">
        <v>28</v>
      </c>
      <c r="D31" s="10" t="s">
        <v>31</v>
      </c>
      <c r="E31" s="10" t="s">
        <v>33</v>
      </c>
      <c r="F31" s="9" t="s">
        <v>39</v>
      </c>
      <c r="G31" s="11">
        <v>11</v>
      </c>
      <c r="H31" s="9" t="s">
        <v>31</v>
      </c>
      <c r="I31" s="76" t="s">
        <v>355</v>
      </c>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2" t="s">
        <v>32</v>
      </c>
      <c r="C35" s="83"/>
      <c r="D35" s="84"/>
      <c r="E35" s="12"/>
      <c r="F35" s="12"/>
      <c r="G35" s="85">
        <f>SUM(G6:G34)</f>
        <v>40.099999999999994</v>
      </c>
      <c r="H35" s="86"/>
      <c r="I35" s="87"/>
    </row>
    <row r="38" spans="2:9">
      <c r="B38" s="17" t="s">
        <v>81</v>
      </c>
      <c r="C38" s="18"/>
    </row>
    <row r="39" spans="2:9">
      <c r="C39" s="18"/>
    </row>
  </sheetData>
  <mergeCells count="4">
    <mergeCell ref="B1:I1"/>
    <mergeCell ref="B2:H2"/>
    <mergeCell ref="B35:D35"/>
    <mergeCell ref="G35:I35"/>
  </mergeCells>
  <phoneticPr fontId="10" type="noConversion"/>
  <dataValidations count="3">
    <dataValidation type="list" errorStyle="warning" allowBlank="1" sqref="C24: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D20:D27 D9:D18 D6:D7 D29:D34</xm:sqref>
        </x14:dataValidation>
        <x14:dataValidation type="list" allowBlank="1" showInputMessage="1" showErrorMessage="1" xr:uid="{00000000-0002-0000-0000-000007000000}">
          <x14:formula1>
            <xm:f>Tag!$B$2:$E$2</xm:f>
          </x14:formula1>
          <xm:sqref>E20:E27 E9:E18 E6:E7 E29:E34</xm:sqref>
        </x14:dataValidation>
        <x14:dataValidation type="list" errorStyle="warning" allowBlank="1" xr:uid="{00000000-0002-0000-0000-000003000000}">
          <x14:formula1>
            <xm:f>'Exhibit I - Virtual Group'!$A$1:$A$7</xm:f>
          </x14:formula1>
          <xm:sqref>C20:C23 C6:C7 C9:C18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0" t="s">
        <v>64</v>
      </c>
      <c r="L4" s="20" t="s">
        <v>65</v>
      </c>
      <c r="M4" s="20" t="s">
        <v>66</v>
      </c>
      <c r="N4" s="20" t="s">
        <v>67</v>
      </c>
    </row>
    <row r="5" spans="2:14" ht="108.5" outlineLevel="1">
      <c r="C5" s="21" t="s">
        <v>100</v>
      </c>
      <c r="D5" s="110" t="s">
        <v>101</v>
      </c>
      <c r="E5" s="103"/>
      <c r="F5" s="22" t="s">
        <v>102</v>
      </c>
      <c r="G5" s="21" t="s">
        <v>103</v>
      </c>
      <c r="H5" s="21" t="s">
        <v>104</v>
      </c>
      <c r="I5" s="21" t="s">
        <v>105</v>
      </c>
      <c r="J5" s="21" t="s">
        <v>106</v>
      </c>
      <c r="K5" s="111" t="s">
        <v>107</v>
      </c>
      <c r="L5" s="111"/>
      <c r="M5" s="111"/>
      <c r="N5" s="111"/>
    </row>
    <row r="6" spans="2:14" s="23" customFormat="1" ht="201.5"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17"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77.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263.5"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55"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170.5">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10"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5"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39.5"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2025-04-09T08:52:07Z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