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F1081404-0FFB-4F74-824E-A85B976B7B2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1" l="1"/>
</calcChain>
</file>

<file path=xl/sharedStrings.xml><?xml version="1.0" encoding="utf-8"?>
<sst xmlns="http://schemas.openxmlformats.org/spreadsheetml/2006/main" count="697" uniqueCount="377">
  <si>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</si>
  <si>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</si>
  <si>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</si>
  <si>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</si>
  <si>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</si>
  <si>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</si>
  <si>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</si>
  <si>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</si>
  <si>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</si>
  <si>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</si>
  <si>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</si>
  <si>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</si>
  <si>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</si>
  <si>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</si>
  <si>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</si>
  <si>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</si>
  <si>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</si>
  <si>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</si>
  <si>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</si>
  <si>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</si>
  <si>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</si>
  <si>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</si>
  <si>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</si>
  <si>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</si>
  <si>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</si>
  <si>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</si>
  <si>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</si>
  <si>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</si>
  <si>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</si>
  <si>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</si>
  <si>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</si>
  <si>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</si>
  <si>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</si>
  <si>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</si>
  <si>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</si>
  <si>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</si>
  <si>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</si>
  <si>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</si>
  <si>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</si>
  <si>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</si>
  <si>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</si>
  <si>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</si>
  <si>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</si>
  <si>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</si>
  <si>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</si>
  <si>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</si>
  <si>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</si>
  <si>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</si>
  <si>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</si>
  <si>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</si>
  <si>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</si>
  <si>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</si>
  <si>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</si>
  <si>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</si>
  <si>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</si>
  <si>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</si>
  <si>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</si>
  <si>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</si>
  <si>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</si>
  <si>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</si>
  <si>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</si>
  <si>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</si>
  <si>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</si>
  <si>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</si>
  <si>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</si>
  <si>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</si>
  <si>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</si>
  <si>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</si>
  <si>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</si>
  <si>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</si>
  <si>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</si>
  <si>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</si>
  <si>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</si>
  <si>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</si>
  <si>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</si>
  <si>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</si>
  <si>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</si>
  <si>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</si>
  <si>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</si>
  <si>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</si>
  <si>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</si>
  <si>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</si>
  <si>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</si>
  <si>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</si>
  <si>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</si>
  <si>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</si>
  <si>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</si>
  <si>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</si>
  <si>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</si>
  <si>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</si>
  <si>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</si>
  <si>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</si>
  <si>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</si>
  <si>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</si>
  <si>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</si>
  <si>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</si>
  <si>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</si>
  <si>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</si>
  <si>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</si>
  <si>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</si>
  <si>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</si>
  <si>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</si>
  <si>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</si>
  <si>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</si>
  <si>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</si>
  <si>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</si>
  <si>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</si>
  <si>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</si>
  <si>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</si>
  <si>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</si>
  <si>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</si>
  <si>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</si>
  <si>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</si>
  <si>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</si>
  <si>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</si>
  <si>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</si>
  <si>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</si>
  <si>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</si>
  <si>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</si>
  <si>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</si>
  <si>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</si>
  <si>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</si>
  <si>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</si>
  <si>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</si>
  <si>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</si>
  <si>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</si>
  <si>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</si>
  <si>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</si>
  <si>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</si>
  <si>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</si>
  <si>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</si>
  <si>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</si>
  <si>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</si>
  <si>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</si>
  <si>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</si>
  <si>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</si>
  <si>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</si>
  <si>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</si>
  <si>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</si>
  <si>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</si>
  <si>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</si>
  <si>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</si>
  <si>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</si>
  <si>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</si>
  <si>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</si>
  <si>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</si>
  <si>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</si>
  <si>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</si>
  <si>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</si>
  <si>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</si>
  <si>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</si>
  <si>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</si>
  <si>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</si>
  <si>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</si>
  <si>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</si>
  <si>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</si>
  <si>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</si>
  <si>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</si>
  <si>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</si>
  <si>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</si>
  <si>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</si>
  <si>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</si>
  <si>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</si>
  <si>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</si>
  <si>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</si>
  <si>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</si>
  <si>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</si>
  <si>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</si>
  <si>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</si>
  <si>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</si>
  <si>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</si>
  <si>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</si>
  <si>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</si>
  <si>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</si>
  <si>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</si>
  <si>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</si>
  <si>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</si>
  <si>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</si>
  <si>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</si>
  <si>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</si>
  <si>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</si>
  <si>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</si>
  <si>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</si>
  <si>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</si>
  <si>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</si>
  <si>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</si>
  <si>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</si>
  <si>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</si>
  <si>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</si>
  <si>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</si>
  <si>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</si>
  <si>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</si>
  <si>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</si>
  <si>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</si>
  <si>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</si>
  <si>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</si>
  <si>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</si>
  <si>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</si>
  <si>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</si>
  <si>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</si>
  <si>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</si>
  <si>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</si>
  <si>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</si>
  <si>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</si>
  <si>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</si>
  <si>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</si>
  <si>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</si>
  <si>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</si>
  <si>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</si>
  <si>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</si>
  <si>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</si>
  <si>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</si>
  <si>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</si>
  <si>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</si>
  <si>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</si>
  <si>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</si>
  <si>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</si>
  <si>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</si>
  <si>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</si>
  <si>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</si>
  <si>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</si>
  <si>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</si>
  <si>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</si>
  <si>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</si>
  <si>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</si>
  <si>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</si>
  <si>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</si>
  <si>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</si>
  <si>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</si>
  <si>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</si>
  <si>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</si>
  <si>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</si>
  <si>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</si>
  <si>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</si>
  <si>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</si>
  <si>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</si>
  <si>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</si>
  <si>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</si>
  <si>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</si>
  <si>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</si>
  <si>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</si>
  <si>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</si>
  <si>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</si>
  <si>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</si>
  <si>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</si>
  <si>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</si>
  <si>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</si>
  <si>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</si>
  <si>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</si>
  <si>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</si>
  <si>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</si>
  <si>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</si>
  <si>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</si>
  <si>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</si>
  <si>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</si>
  <si>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</si>
  <si>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</si>
  <si>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</si>
  <si>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</si>
  <si>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</si>
  <si>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</si>
  <si>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</si>
  <si>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</si>
  <si>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</si>
  <si>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</si>
  <si>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</si>
  <si>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</si>
  <si>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</si>
  <si>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</si>
  <si>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</si>
  <si>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</si>
  <si>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</si>
  <si>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</si>
  <si>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</si>
  <si>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</si>
  <si>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</si>
  <si>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</si>
  <si>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</si>
  <si>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</si>
  <si>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</si>
  <si>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</si>
  <si>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</si>
  <si>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</si>
  <si>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</si>
  <si>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</si>
  <si>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</si>
  <si>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</si>
  <si>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</si>
  <si>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</si>
  <si>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</si>
  <si>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</si>
  <si>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</si>
  <si>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</si>
  <si>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</si>
  <si>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</si>
  <si>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</si>
  <si>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</si>
  <si>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</si>
  <si>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</si>
  <si>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</si>
  <si>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</si>
  <si>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</si>
  <si>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</si>
  <si>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</si>
  <si>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</si>
  <si>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</si>
  <si>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</si>
  <si>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</si>
  <si>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</si>
  <si>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</si>
  <si>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</si>
  <si>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</si>
  <si>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</si>
  <si>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</si>
  <si>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</si>
  <si>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</si>
  <si>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</si>
  <si>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</si>
  <si>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</si>
  <si>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</si>
  <si>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</si>
  <si>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</si>
  <si>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</si>
  <si>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</si>
  <si>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</si>
  <si>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</si>
  <si>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</si>
  <si>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</si>
  <si>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</si>
  <si>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</si>
  <si>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</si>
  <si>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</si>
  <si>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</si>
  <si>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</si>
  <si>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</si>
  <si>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</si>
  <si>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</si>
  <si>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</si>
  <si>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</si>
  <si>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Reviewed and revised job postings and job descriptions for Recruiting team. </t>
  </si>
  <si>
    <r>
      <t>Date: 2025</t>
    </r>
    <r>
      <rPr>
        <b/>
        <sz val="10"/>
        <color theme="0"/>
        <rFont val="等线"/>
        <charset val="134"/>
      </rPr>
      <t xml:space="preserve">-04-21 </t>
    </r>
    <r>
      <rPr>
        <b/>
        <sz val="10"/>
        <color theme="0"/>
        <rFont val="新細明體"/>
        <family val="1"/>
        <charset val="136"/>
      </rPr>
      <t xml:space="preserve">- </t>
    </r>
    <r>
      <rPr>
        <b/>
        <sz val="10"/>
        <color theme="0"/>
        <rFont val="新細明體"/>
        <family val="2"/>
        <scheme val="minor"/>
      </rPr>
      <t>2025-04-27</t>
    </r>
  </si>
  <si>
    <t xml:space="preserve">Dongyan Wang's (OIT) Norway visa ban case-Reviewed C&amp;B's email from Dongyan re: his reimbursement request for the debt collection invoice from the Oslo district court.  Discussed case with external counsel and instructed C&amp;B team on how to respond to Dongyan. </t>
  </si>
  <si>
    <t xml:space="preserve">Updated weekly timesheet each day; and organized and replied to emails. </t>
  </si>
  <si>
    <t xml:space="preserve">Reviewed Operations Teresa's inquiry re: subletting ZAM's old space in our LA office to Cloud9 Esports.  Discussed conflict of interest issues with Teresa, Jamin and PR Sean. Researched Cloud9 and reviewed Sean's market research analysis. </t>
  </si>
  <si>
    <t xml:space="preserve">Discussed with HRD Yinuo and Finance Kristy to prep for next week's meeting with Hylant corporate insurance rep (Alex Zhu) re: their insurance programs on CGL, EPL, and employee benefits related insurances.  </t>
  </si>
  <si>
    <t xml:space="preserve">Reviewed and discussed an upcoming layoff case of a Central Publishing EE (judordaz) in May 2025 with HRBP Zoey.  This employee has returned from maternity leave in January 2025. </t>
  </si>
  <si>
    <t xml:space="preserve">Reviewed and discussed Recruiting &amp; C&amp;B's case re: a WA candidate with a noncompete with prior employer; we want to offer him a job located in CA and China for the 1st year.  Reviewed emails to/from external counsels for legal advices. </t>
  </si>
  <si>
    <t xml:space="preserve">Reviewed Aetna's suspicious claim transactions from an employee's dependent.  Discussed case with Jamin and C&amp;B team (Wenjie). </t>
  </si>
  <si>
    <t>Reviewed and discussed an upcoming layoff case of an OIT employee (Jasmine Su Ai) set for May 2025 with HRBP Yoky.</t>
  </si>
  <si>
    <t xml:space="preserve">Reviewed emails to/from ZAM HRD Raymond Lui and SG Desiree re: closing their Singapore operations and SG legal advices on severance agreements.  Group layoff set on 4/30 and will give them a 2-month prior notice. </t>
  </si>
  <si>
    <t>Discussed with HRBP Yitong, M&amp;A (Steven), Jia and Jamin re: hiring an intern for 3 months this summer through TargetCW and its compliance issues.</t>
  </si>
  <si>
    <t>Reviewed and commented on the revised Tencent Cloud's SIP bonus commission plans (3 documents for Sales Leader, Direct Sales and Channel Sales.</t>
  </si>
  <si>
    <t xml:space="preserve">Participated in Tencent's Earth Day's green pledge challenge and trivia contest on 4/22/25 to support our HR team's initiatives. </t>
  </si>
  <si>
    <t xml:space="preserve">Discussed with Bettina and Silvia re: US/APAC/EU regions' own practices of handling terminated EE that refused to return company laptops; brainstormed for solutions. </t>
  </si>
  <si>
    <t xml:space="preserve">Discussed with IEG's C&amp;B team (ddanielwang) re: a recent new hire receiving a relocation allowance after signing his offer letter.  Reviewed his offer letter.  Drafted an offer letter amendment to include relocation allowance. </t>
  </si>
  <si>
    <t xml:space="preserve">Discussed with ZAM HRD Raymond re: hiring a former employee as an independent contractor in China.  Reached out to Bettina to get a contact person from China employment team (Ashley Zhang) to review ZAM's new commission plan for this China contractor. Discussed case with Ashley Zhang and Raymond. </t>
  </si>
  <si>
    <t xml:space="preserve">Discussed ZAM's revised office sublease agreement with Operations Manager (Sky) for our LA office.  Drafted a 5th Amendment to ZAM's Space Sharing Agreement with a new term, decreased sq foorage and montly rent. </t>
  </si>
  <si>
    <t xml:space="preserve">Reviewed and revised 2 engagement letters (Balance HR) for Tencent Mexico and Kite Bird Mexico for 2025 Tax compliances legal rep services for Tax team (Rona). </t>
  </si>
  <si>
    <t xml:space="preserve">(1) Reviewed TiMi's request to look into a terminated EE's email account to login to a portal account so they can continue with updating their TiMi global website.  They needed OIT, Legal and mgm approvals.  Legal approved.  (2) Reviewed OIT's request to pull an old archived contract for an overdue invoice. </t>
  </si>
  <si>
    <t xml:space="preserve">Received and reviewed 5 sets of Service of Process docs served to Tencent Cloud through our registered agent Paracorp, regarding the bankruptcy case (In re: Edgio, Inc.).   Reviewed Paracorp invoices on the bankruptcy case filings, and sent to Finance team for processing. </t>
  </si>
  <si>
    <t xml:space="preserve">Researched legal compliance risks and issues on how to resolve the high volume of unreturned laptops from terminated employees in US region.  Discussed with Jamin, Bettina and Silvia, and drafted a spreadsheet for US/APAC/EU regions to send to Liz/OIT Keren. </t>
  </si>
  <si>
    <t xml:space="preserve">Reviewed case updates from Manpower and discussed the layoff of a TiMi Brazil employee (Marcelo Menezes) with HR Managers Sato and Sezzy.  His termination meeting is set for 4/22 and he will work for 30 days before termination date on 5/22. </t>
  </si>
  <si>
    <t xml:space="preserve">Discussed OIT group layoff employee Colin Zhang's severance issues.  Reviewed his severance package counteroffers (40 wks &amp; 30 wks severance pay) with HRBP Yoky. </t>
  </si>
  <si>
    <t xml:space="preserve">Dongyan Wang case (OIT): Reviewed his performance reviews and copy n' paste to word doc to send to external counsel.  Reviewed and revised our draft response letter to DY's counsel.  </t>
  </si>
  <si>
    <t>Discussed with OIT (Rachel and Keren), and Procurement (Jiawenye) re: adding Murphy and Keren (and maybe Sherrie as a backup) as the new authorized signatories for OIT.  Reviewed GCTSM policy on such.</t>
  </si>
  <si>
    <t xml:space="preserve">Reviewed Scholarship Americas's MSA re: our high school scholarship program for our HR and TAMC's new initiative.  Discussed program with HR (Nicole) and Finance (Kristy). </t>
  </si>
  <si>
    <t xml:space="preserve">Kate Crane case (GPA):  Discussed case with Zhao and external counsel. Reviewed and uploaded her personnel file and related docs onto Kiteworks for external counsel.  Sent case to EPL insurance to open a new claim.  </t>
  </si>
  <si>
    <t xml:space="preserve">Reviewed spreadheet list of compliance Qs from C&amp;B team (Shaw Xia) re: his inquiry on the Equal Pay Act compliance for US region.  Discussed issues with Jamin and Shaw.  
</t>
  </si>
  <si>
    <t xml:space="preserve">Beth Rui Zhang case (OIT):  Meeting with EPL insurance rep to discuss our new claim.  Reviewed JAMS list of arbitrators.  Meeting with Zhao and external counsel to discuss case strategies and arbitration logistics. </t>
  </si>
  <si>
    <t>Meetings with HRBP Jade and C&amp;B (Shaw) re: a resigned TC employee's commission bonus payout issue.  Reviewed TC commission bonus plan.  Discussed issues with Jamin and C&amp;B (Yuan Ji).</t>
  </si>
  <si>
    <t xml:space="preserve">Drafted meeting notes and new travel guideline for Brent &amp; CVPs.  Reviewed external counsel's (Malcolm) updated travel alert guidance and his webinar PPT. </t>
  </si>
  <si>
    <t xml:space="preserve">Iraj Sodagar case (CSIG): Reviewed and discussed case settlement process with Finance team (Lin).  Reviewed emails to/from external counsel re: revised settlement agreement and settlement payment logistics. Reviewed revised settlement agreement.  Iraj finally signed the settlement agreement.  We will start the severance payment process. </t>
  </si>
  <si>
    <t xml:space="preserve">Beth Rui Zhang case (OIT):  Reviewed Beth's filed complaint.  Reviewed her personnel files and case timeline from HRD Yinuo.  Sent case timeline to external counsel for their review.  </t>
  </si>
  <si>
    <t xml:space="preserve">Meeting with Brent to discuss US travel guidelines/scripts for CVPs &amp; above level executives (ie. Jerry and Martin) that are coming to US in the next 2 weeks.  Meeting with immigration external counsel (Malcolm) to discuss CBP &amp; port of entry issues.  </t>
  </si>
  <si>
    <t>Reviewed TA’s EPL insurance renewal extension for 30 days.  Reviewed emails to/from our EPL broker re: the extension.</t>
  </si>
  <si>
    <t xml:space="preserve">OIT Email Separation Project (2022): OIT new head Murphy is inquiring on this old project and might want to revert back to using 1 Tencent email account for everyone.  Pulled old chat history and discussed issues with OIT Sherrie/Candy, Data Privacy Legal (Terry), and HRD Yinuo. </t>
  </si>
  <si>
    <t xml:space="preserve">Advised Operations team (Teresa and Spring) on how to respond to CBP officer's request to search Teresa's luggage at the SFO port of entry/custom on 4/26 (Saturday) on their way coming back from China.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</si>
</sst>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
      <sz val="11"/>
      <color theme="1"/>
      <name val="Aptos"/>
      <family val="2"/>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2" fillId="6" borderId="1" xfId="0" applyFont="1" applyFill="1" applyBorder="1" applyAlignment="1">
      <alignment vertical="center" wrapText="1"/>
    </xf>
    <xf numFmtId="0" fontId="6" fillId="6"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tabSelected="1" topLeftCell="A35" zoomScaleNormal="95" workbookViewId="0">
      <selection activeCell="H51" sqref="H5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6" customHeight="1">
      <c r="B6" s="8" t="s">
        <v>338</v>
      </c>
      <c r="C6" s="9" t="s">
        <v>25</v>
      </c>
      <c r="D6" s="10" t="s">
        <v>26</v>
      </c>
      <c r="E6" s="10" t="s">
        <v>30</v>
      </c>
      <c r="F6" s="9" t="s">
        <v>325</v>
      </c>
      <c r="G6" s="75">
        <v>2.5</v>
      </c>
      <c r="H6" s="9" t="s">
        <v>73</v>
      </c>
      <c r="I6" s="76" t="s">
        <v>363</v>
      </c>
    </row>
    <row r="7" spans="1:9" s="2" customFormat="1" ht="92.5" customHeight="1">
      <c r="B7" s="8" t="s">
        <v>338</v>
      </c>
      <c r="C7" s="9" t="s">
        <v>25</v>
      </c>
      <c r="D7" s="10" t="s">
        <v>26</v>
      </c>
      <c r="E7" s="10" t="s">
        <v>30</v>
      </c>
      <c r="F7" s="9" t="s">
        <v>325</v>
      </c>
      <c r="G7" s="75">
        <v>0.5</v>
      </c>
      <c r="H7" s="9" t="s">
        <v>27</v>
      </c>
      <c r="I7" s="76" t="s">
        <v>341</v>
      </c>
    </row>
    <row r="8" spans="1:9" s="2" customFormat="1" ht="74" customHeight="1">
      <c r="B8" s="8" t="s">
        <v>338</v>
      </c>
      <c r="C8" s="9" t="s">
        <v>25</v>
      </c>
      <c r="D8" s="10" t="s">
        <v>26</v>
      </c>
      <c r="E8" s="10" t="s">
        <v>30</v>
      </c>
      <c r="F8" s="9" t="s">
        <v>325</v>
      </c>
      <c r="G8" s="75">
        <v>1.5</v>
      </c>
      <c r="H8" s="9" t="s">
        <v>27</v>
      </c>
      <c r="I8" s="76" t="s">
        <v>368</v>
      </c>
    </row>
    <row r="9" spans="1:9" s="2" customFormat="1" ht="66" customHeight="1">
      <c r="B9" s="8" t="s">
        <v>338</v>
      </c>
      <c r="C9" s="9" t="s">
        <v>25</v>
      </c>
      <c r="D9" s="10" t="s">
        <v>26</v>
      </c>
      <c r="E9" s="10" t="s">
        <v>30</v>
      </c>
      <c r="F9" s="9" t="s">
        <v>325</v>
      </c>
      <c r="G9" s="75">
        <v>2</v>
      </c>
      <c r="H9" s="9" t="s">
        <v>73</v>
      </c>
      <c r="I9" s="76" t="s">
        <v>372</v>
      </c>
    </row>
    <row r="10" spans="1:9" s="2" customFormat="1" ht="119.5" customHeight="1">
      <c r="B10" s="8" t="s">
        <v>338</v>
      </c>
      <c r="C10" s="9" t="s">
        <v>25</v>
      </c>
      <c r="D10" s="10" t="s">
        <v>26</v>
      </c>
      <c r="E10" s="10" t="s">
        <v>30</v>
      </c>
      <c r="F10" s="9" t="s">
        <v>325</v>
      </c>
      <c r="G10" s="75">
        <v>1.5</v>
      </c>
      <c r="H10" s="9" t="s">
        <v>73</v>
      </c>
      <c r="I10" s="76" t="s">
        <v>371</v>
      </c>
    </row>
    <row r="11" spans="1:9" s="2" customFormat="1" ht="78.5" customHeight="1">
      <c r="B11" s="8" t="s">
        <v>338</v>
      </c>
      <c r="C11" s="9" t="s">
        <v>25</v>
      </c>
      <c r="D11" s="10" t="s">
        <v>26</v>
      </c>
      <c r="E11" s="10" t="s">
        <v>30</v>
      </c>
      <c r="F11" s="9" t="s">
        <v>325</v>
      </c>
      <c r="G11" s="75">
        <v>1.5</v>
      </c>
      <c r="H11" s="9" t="s">
        <v>27</v>
      </c>
      <c r="I11" s="76" t="s">
        <v>366</v>
      </c>
    </row>
    <row r="12" spans="1:9" s="2" customFormat="1" ht="62" customHeight="1">
      <c r="B12" s="8" t="s">
        <v>338</v>
      </c>
      <c r="C12" s="9" t="s">
        <v>25</v>
      </c>
      <c r="D12" s="10" t="s">
        <v>26</v>
      </c>
      <c r="E12" s="10" t="s">
        <v>30</v>
      </c>
      <c r="F12" s="9" t="s">
        <v>325</v>
      </c>
      <c r="G12" s="75">
        <v>0.5</v>
      </c>
      <c r="H12" s="9" t="s">
        <v>27</v>
      </c>
      <c r="I12" s="76" t="s">
        <v>362</v>
      </c>
    </row>
    <row r="13" spans="1:9" s="2" customFormat="1" ht="64.5" customHeight="1">
      <c r="B13" s="8" t="s">
        <v>338</v>
      </c>
      <c r="C13" s="9" t="s">
        <v>25</v>
      </c>
      <c r="D13" s="10" t="s">
        <v>26</v>
      </c>
      <c r="E13" s="10" t="s">
        <v>30</v>
      </c>
      <c r="F13" s="9" t="s">
        <v>325</v>
      </c>
      <c r="G13" s="75">
        <v>0.3</v>
      </c>
      <c r="H13" s="9" t="s">
        <v>27</v>
      </c>
      <c r="I13" s="76" t="s">
        <v>345</v>
      </c>
    </row>
    <row r="14" spans="1:9" s="2" customFormat="1" ht="52" customHeight="1">
      <c r="B14" s="8" t="s">
        <v>338</v>
      </c>
      <c r="C14" s="9" t="s">
        <v>25</v>
      </c>
      <c r="D14" s="10" t="s">
        <v>26</v>
      </c>
      <c r="E14" s="10" t="s">
        <v>30</v>
      </c>
      <c r="F14" s="9" t="s">
        <v>325</v>
      </c>
      <c r="G14" s="75">
        <v>0.5</v>
      </c>
      <c r="H14" s="9" t="s">
        <v>27</v>
      </c>
      <c r="I14" s="76" t="s">
        <v>348</v>
      </c>
    </row>
    <row r="15" spans="1:9" s="2" customFormat="1" ht="74.5" customHeight="1">
      <c r="B15" s="8" t="s">
        <v>338</v>
      </c>
      <c r="C15" s="9" t="s">
        <v>25</v>
      </c>
      <c r="D15" s="10" t="s">
        <v>26</v>
      </c>
      <c r="E15" s="10" t="s">
        <v>30</v>
      </c>
      <c r="F15" s="9" t="s">
        <v>325</v>
      </c>
      <c r="G15" s="75">
        <v>1.7</v>
      </c>
      <c r="H15" s="9" t="s">
        <v>27</v>
      </c>
      <c r="I15" s="76" t="s">
        <v>369</v>
      </c>
    </row>
    <row r="16" spans="1:9" s="2" customFormat="1" ht="89.5" customHeight="1">
      <c r="B16" s="8" t="s">
        <v>338</v>
      </c>
      <c r="C16" s="9" t="s">
        <v>25</v>
      </c>
      <c r="D16" s="10" t="s">
        <v>26</v>
      </c>
      <c r="E16" s="10" t="s">
        <v>30</v>
      </c>
      <c r="F16" s="9" t="s">
        <v>325</v>
      </c>
      <c r="G16" s="75">
        <v>0.5</v>
      </c>
      <c r="H16" s="9" t="s">
        <v>27</v>
      </c>
      <c r="I16" s="76" t="s">
        <v>361</v>
      </c>
    </row>
    <row r="17" spans="2:9" s="2" customFormat="1" ht="76.5" customHeight="1">
      <c r="B17" s="8" t="s">
        <v>338</v>
      </c>
      <c r="C17" s="9" t="s">
        <v>25</v>
      </c>
      <c r="D17" s="10" t="s">
        <v>26</v>
      </c>
      <c r="E17" s="10" t="s">
        <v>30</v>
      </c>
      <c r="F17" s="9" t="s">
        <v>325</v>
      </c>
      <c r="G17" s="75">
        <v>1.2</v>
      </c>
      <c r="H17" s="9" t="s">
        <v>73</v>
      </c>
      <c r="I17" s="76" t="s">
        <v>354</v>
      </c>
    </row>
    <row r="18" spans="2:9" s="2" customFormat="1" ht="91.5" customHeight="1">
      <c r="B18" s="8" t="s">
        <v>338</v>
      </c>
      <c r="C18" s="9" t="s">
        <v>25</v>
      </c>
      <c r="D18" s="10" t="s">
        <v>26</v>
      </c>
      <c r="E18" s="10" t="s">
        <v>30</v>
      </c>
      <c r="F18" s="9" t="s">
        <v>325</v>
      </c>
      <c r="G18" s="75">
        <v>1</v>
      </c>
      <c r="H18" s="9" t="s">
        <v>73</v>
      </c>
      <c r="I18" s="76" t="s">
        <v>346</v>
      </c>
    </row>
    <row r="19" spans="2:9" s="2" customFormat="1" ht="60" customHeight="1">
      <c r="B19" s="8" t="s">
        <v>338</v>
      </c>
      <c r="C19" s="9" t="s">
        <v>25</v>
      </c>
      <c r="D19" s="10" t="s">
        <v>26</v>
      </c>
      <c r="E19" s="10" t="s">
        <v>30</v>
      </c>
      <c r="F19" s="9" t="s">
        <v>325</v>
      </c>
      <c r="G19" s="75">
        <v>1.5</v>
      </c>
      <c r="H19" s="9" t="s">
        <v>27</v>
      </c>
      <c r="I19" s="76" t="s">
        <v>350</v>
      </c>
    </row>
    <row r="20" spans="2:9" s="2" customFormat="1" ht="47" customHeight="1">
      <c r="B20" s="8" t="s">
        <v>338</v>
      </c>
      <c r="C20" s="9" t="s">
        <v>25</v>
      </c>
      <c r="D20" s="10" t="s">
        <v>26</v>
      </c>
      <c r="E20" s="10" t="s">
        <v>30</v>
      </c>
      <c r="F20" s="9" t="s">
        <v>325</v>
      </c>
      <c r="G20" s="75">
        <v>0.5</v>
      </c>
      <c r="H20" s="9" t="s">
        <v>73</v>
      </c>
      <c r="I20" s="76" t="s">
        <v>347</v>
      </c>
    </row>
    <row r="21" spans="2:9" s="2" customFormat="1" ht="72" customHeight="1">
      <c r="B21" s="8" t="s">
        <v>338</v>
      </c>
      <c r="C21" s="9" t="s">
        <v>25</v>
      </c>
      <c r="D21" s="10" t="s">
        <v>26</v>
      </c>
      <c r="E21" s="10" t="s">
        <v>30</v>
      </c>
      <c r="F21" s="9" t="s">
        <v>325</v>
      </c>
      <c r="G21" s="75">
        <v>1</v>
      </c>
      <c r="H21" s="9" t="s">
        <v>73</v>
      </c>
      <c r="I21" s="76" t="s">
        <v>367</v>
      </c>
    </row>
    <row r="22" spans="2:9" s="2" customFormat="1" ht="60.5" customHeight="1">
      <c r="B22" s="8" t="s">
        <v>338</v>
      </c>
      <c r="C22" s="9" t="s">
        <v>25</v>
      </c>
      <c r="D22" s="10" t="s">
        <v>26</v>
      </c>
      <c r="E22" s="10" t="s">
        <v>30</v>
      </c>
      <c r="F22" s="9" t="s">
        <v>325</v>
      </c>
      <c r="G22" s="75">
        <v>1.5</v>
      </c>
      <c r="H22" s="9" t="s">
        <v>73</v>
      </c>
      <c r="I22" s="76" t="s">
        <v>351</v>
      </c>
    </row>
    <row r="23" spans="2:9" s="2" customFormat="1" ht="37.5" customHeight="1">
      <c r="B23" s="8" t="s">
        <v>338</v>
      </c>
      <c r="C23" s="9" t="s">
        <v>25</v>
      </c>
      <c r="D23" s="10" t="s">
        <v>26</v>
      </c>
      <c r="E23" s="10" t="s">
        <v>30</v>
      </c>
      <c r="F23" s="9" t="s">
        <v>325</v>
      </c>
      <c r="G23" s="75">
        <v>0.5</v>
      </c>
      <c r="H23" s="9" t="s">
        <v>73</v>
      </c>
      <c r="I23" s="77" t="s">
        <v>339</v>
      </c>
    </row>
    <row r="24" spans="2:9" s="2" customFormat="1" ht="65.5" customHeight="1">
      <c r="B24" s="8" t="s">
        <v>338</v>
      </c>
      <c r="C24" s="9" t="s">
        <v>25</v>
      </c>
      <c r="D24" s="10" t="s">
        <v>26</v>
      </c>
      <c r="E24" s="10" t="s">
        <v>30</v>
      </c>
      <c r="F24" s="9" t="s">
        <v>325</v>
      </c>
      <c r="G24" s="75">
        <v>1.5</v>
      </c>
      <c r="H24" s="9" t="s">
        <v>73</v>
      </c>
      <c r="I24" s="76" t="s">
        <v>365</v>
      </c>
    </row>
    <row r="25" spans="2:9" s="2" customFormat="1" ht="89.5" customHeight="1">
      <c r="B25" s="8" t="s">
        <v>338</v>
      </c>
      <c r="C25" s="9" t="s">
        <v>25</v>
      </c>
      <c r="D25" s="10" t="s">
        <v>26</v>
      </c>
      <c r="E25" s="10" t="s">
        <v>30</v>
      </c>
      <c r="F25" s="9" t="s">
        <v>325</v>
      </c>
      <c r="G25" s="75">
        <v>1.5</v>
      </c>
      <c r="H25" s="9" t="s">
        <v>27</v>
      </c>
      <c r="I25" s="76" t="s">
        <v>373</v>
      </c>
    </row>
    <row r="26" spans="2:9" s="2" customFormat="1" ht="62" customHeight="1">
      <c r="B26" s="8" t="s">
        <v>338</v>
      </c>
      <c r="C26" s="9" t="s">
        <v>25</v>
      </c>
      <c r="D26" s="10" t="s">
        <v>26</v>
      </c>
      <c r="E26" s="10" t="s">
        <v>30</v>
      </c>
      <c r="F26" s="9" t="s">
        <v>325</v>
      </c>
      <c r="G26" s="75">
        <v>2.5</v>
      </c>
      <c r="H26" s="9" t="s">
        <v>73</v>
      </c>
      <c r="I26" s="76" t="s">
        <v>370</v>
      </c>
    </row>
    <row r="27" spans="2:9" s="2" customFormat="1" ht="77.5" customHeight="1">
      <c r="B27" s="8" t="s">
        <v>338</v>
      </c>
      <c r="C27" s="9" t="s">
        <v>25</v>
      </c>
      <c r="D27" s="10" t="s">
        <v>26</v>
      </c>
      <c r="E27" s="10" t="s">
        <v>30</v>
      </c>
      <c r="F27" s="9" t="s">
        <v>325</v>
      </c>
      <c r="G27" s="75">
        <v>0.5</v>
      </c>
      <c r="H27" s="9" t="s">
        <v>27</v>
      </c>
      <c r="I27" s="76" t="s">
        <v>376</v>
      </c>
    </row>
    <row r="28" spans="2:9" s="2" customFormat="1" ht="74.5" customHeight="1">
      <c r="B28" s="8" t="s">
        <v>338</v>
      </c>
      <c r="C28" s="9" t="s">
        <v>25</v>
      </c>
      <c r="D28" s="10" t="s">
        <v>26</v>
      </c>
      <c r="E28" s="10" t="s">
        <v>30</v>
      </c>
      <c r="F28" s="9" t="s">
        <v>328</v>
      </c>
      <c r="G28" s="75">
        <v>0.5</v>
      </c>
      <c r="H28" s="9" t="s">
        <v>73</v>
      </c>
      <c r="I28" s="76" t="s">
        <v>349</v>
      </c>
    </row>
    <row r="29" spans="2:9" s="2" customFormat="1" ht="112.5" customHeight="1">
      <c r="B29" s="8" t="s">
        <v>338</v>
      </c>
      <c r="C29" s="9" t="s">
        <v>25</v>
      </c>
      <c r="D29" s="10" t="s">
        <v>26</v>
      </c>
      <c r="E29" s="10" t="s">
        <v>30</v>
      </c>
      <c r="F29" s="9" t="s">
        <v>328</v>
      </c>
      <c r="G29" s="75">
        <v>1.3</v>
      </c>
      <c r="H29" s="9" t="s">
        <v>27</v>
      </c>
      <c r="I29" s="76" t="s">
        <v>355</v>
      </c>
    </row>
    <row r="30" spans="2:9" s="2" customFormat="1" ht="60" customHeight="1">
      <c r="B30" s="8" t="s">
        <v>338</v>
      </c>
      <c r="C30" s="9" t="s">
        <v>28</v>
      </c>
      <c r="D30" s="10" t="s">
        <v>57</v>
      </c>
      <c r="E30" s="10" t="s">
        <v>30</v>
      </c>
      <c r="F30" s="9" t="s">
        <v>332</v>
      </c>
      <c r="G30" s="75">
        <v>1.5</v>
      </c>
      <c r="H30" s="9" t="s">
        <v>73</v>
      </c>
      <c r="I30" s="76" t="s">
        <v>357</v>
      </c>
    </row>
    <row r="31" spans="2:9" s="2" customFormat="1" ht="50" customHeight="1">
      <c r="B31" s="8" t="s">
        <v>338</v>
      </c>
      <c r="C31" s="9" t="s">
        <v>28</v>
      </c>
      <c r="D31" s="10" t="s">
        <v>49</v>
      </c>
      <c r="E31" s="10" t="s">
        <v>30</v>
      </c>
      <c r="F31" s="9" t="s">
        <v>332</v>
      </c>
      <c r="G31" s="75">
        <v>0.3</v>
      </c>
      <c r="H31" s="9" t="s">
        <v>73</v>
      </c>
      <c r="I31" s="76" t="s">
        <v>374</v>
      </c>
    </row>
    <row r="32" spans="2:9" s="2" customFormat="1" ht="76" customHeight="1">
      <c r="B32" s="8" t="s">
        <v>338</v>
      </c>
      <c r="C32" s="9" t="s">
        <v>28</v>
      </c>
      <c r="D32" s="10" t="s">
        <v>49</v>
      </c>
      <c r="E32" s="10" t="s">
        <v>30</v>
      </c>
      <c r="F32" s="9" t="s">
        <v>332</v>
      </c>
      <c r="G32" s="11">
        <v>0.5</v>
      </c>
      <c r="H32" s="9" t="s">
        <v>27</v>
      </c>
      <c r="I32" s="76" t="s">
        <v>344</v>
      </c>
    </row>
    <row r="33" spans="2:9" s="2" customFormat="1" ht="85.5" customHeight="1">
      <c r="B33" s="8" t="s">
        <v>338</v>
      </c>
      <c r="C33" s="9" t="s">
        <v>28</v>
      </c>
      <c r="D33" s="10" t="s">
        <v>49</v>
      </c>
      <c r="E33" s="10" t="s">
        <v>30</v>
      </c>
      <c r="F33" s="9" t="s">
        <v>332</v>
      </c>
      <c r="G33" s="75">
        <v>0.5</v>
      </c>
      <c r="H33" s="9" t="s">
        <v>27</v>
      </c>
      <c r="I33" s="76" t="s">
        <v>343</v>
      </c>
    </row>
    <row r="34" spans="2:9" s="2" customFormat="1" ht="78.5" customHeight="1">
      <c r="B34" s="8" t="s">
        <v>338</v>
      </c>
      <c r="C34" s="9" t="s">
        <v>28</v>
      </c>
      <c r="D34" s="10" t="s">
        <v>49</v>
      </c>
      <c r="E34" s="10" t="s">
        <v>30</v>
      </c>
      <c r="F34" s="9" t="s">
        <v>332</v>
      </c>
      <c r="G34" s="75">
        <v>1.5</v>
      </c>
      <c r="H34" s="9" t="s">
        <v>73</v>
      </c>
      <c r="I34" s="76" t="s">
        <v>356</v>
      </c>
    </row>
    <row r="35" spans="2:9" s="2" customFormat="1" ht="62" customHeight="1">
      <c r="B35" s="8" t="s">
        <v>338</v>
      </c>
      <c r="C35" s="9" t="s">
        <v>28</v>
      </c>
      <c r="D35" s="10" t="s">
        <v>31</v>
      </c>
      <c r="E35" s="10" t="s">
        <v>30</v>
      </c>
      <c r="F35" s="9" t="s">
        <v>332</v>
      </c>
      <c r="G35" s="11">
        <v>0.5</v>
      </c>
      <c r="H35" s="9" t="s">
        <v>27</v>
      </c>
      <c r="I35" s="76" t="s">
        <v>353</v>
      </c>
    </row>
    <row r="36" spans="2:9" s="2" customFormat="1" ht="96" customHeight="1">
      <c r="B36" s="8" t="s">
        <v>338</v>
      </c>
      <c r="C36" s="9" t="s">
        <v>28</v>
      </c>
      <c r="D36" s="10" t="s">
        <v>31</v>
      </c>
      <c r="E36" s="10" t="s">
        <v>30</v>
      </c>
      <c r="F36" s="9" t="s">
        <v>332</v>
      </c>
      <c r="G36" s="75">
        <v>2</v>
      </c>
      <c r="H36" s="9" t="s">
        <v>73</v>
      </c>
      <c r="I36" s="76" t="s">
        <v>360</v>
      </c>
    </row>
    <row r="37" spans="2:9" s="2" customFormat="1" ht="75" customHeight="1">
      <c r="B37" s="8" t="s">
        <v>338</v>
      </c>
      <c r="C37" s="9" t="s">
        <v>28</v>
      </c>
      <c r="D37" s="10" t="s">
        <v>31</v>
      </c>
      <c r="E37" s="10" t="s">
        <v>30</v>
      </c>
      <c r="F37" s="9" t="s">
        <v>332</v>
      </c>
      <c r="G37" s="75">
        <v>1</v>
      </c>
      <c r="H37" s="9" t="s">
        <v>27</v>
      </c>
      <c r="I37" s="76" t="s">
        <v>364</v>
      </c>
    </row>
    <row r="38" spans="2:9" s="2" customFormat="1" ht="102.5" customHeight="1">
      <c r="B38" s="8" t="s">
        <v>338</v>
      </c>
      <c r="C38" s="9" t="s">
        <v>28</v>
      </c>
      <c r="D38" s="10" t="s">
        <v>31</v>
      </c>
      <c r="E38" s="10" t="s">
        <v>30</v>
      </c>
      <c r="F38" s="9" t="s">
        <v>332</v>
      </c>
      <c r="G38" s="75">
        <v>1</v>
      </c>
      <c r="H38" s="9" t="s">
        <v>27</v>
      </c>
      <c r="I38" s="76" t="s">
        <v>375</v>
      </c>
    </row>
    <row r="39" spans="2:9" s="2" customFormat="1" ht="107.5" customHeight="1">
      <c r="B39" s="8" t="s">
        <v>338</v>
      </c>
      <c r="C39" s="9" t="s">
        <v>28</v>
      </c>
      <c r="D39" s="10" t="s">
        <v>31</v>
      </c>
      <c r="E39" s="10" t="s">
        <v>30</v>
      </c>
      <c r="F39" s="9" t="s">
        <v>332</v>
      </c>
      <c r="G39" s="75">
        <v>0.5</v>
      </c>
      <c r="H39" s="9" t="s">
        <v>27</v>
      </c>
      <c r="I39" s="76" t="s">
        <v>358</v>
      </c>
    </row>
    <row r="40" spans="2:9" s="2" customFormat="1" ht="94.5" customHeight="1">
      <c r="B40" s="8" t="s">
        <v>338</v>
      </c>
      <c r="C40" s="9" t="s">
        <v>43</v>
      </c>
      <c r="D40" s="10" t="s">
        <v>18</v>
      </c>
      <c r="E40" s="10" t="s">
        <v>34</v>
      </c>
      <c r="F40" s="9" t="s">
        <v>42</v>
      </c>
      <c r="G40" s="11">
        <v>0.7</v>
      </c>
      <c r="H40" s="9" t="s">
        <v>73</v>
      </c>
      <c r="I40" s="76" t="s">
        <v>359</v>
      </c>
    </row>
    <row r="41" spans="2:9" s="2" customFormat="1" ht="43.5">
      <c r="B41" s="8" t="s">
        <v>338</v>
      </c>
      <c r="C41" s="9" t="s">
        <v>28</v>
      </c>
      <c r="D41" s="10" t="s">
        <v>31</v>
      </c>
      <c r="E41" s="10" t="s">
        <v>33</v>
      </c>
      <c r="F41" s="9" t="s">
        <v>35</v>
      </c>
      <c r="G41" s="75">
        <v>0.5</v>
      </c>
      <c r="H41" s="9" t="s">
        <v>31</v>
      </c>
      <c r="I41" s="76" t="s">
        <v>352</v>
      </c>
    </row>
    <row r="42" spans="2:9" s="2" customFormat="1" ht="29">
      <c r="B42" s="8" t="s">
        <v>338</v>
      </c>
      <c r="C42" s="9" t="s">
        <v>28</v>
      </c>
      <c r="D42" s="10" t="s">
        <v>31</v>
      </c>
      <c r="E42" s="10" t="s">
        <v>33</v>
      </c>
      <c r="F42" s="9" t="s">
        <v>39</v>
      </c>
      <c r="G42" s="11">
        <v>12</v>
      </c>
      <c r="H42" s="9" t="s">
        <v>31</v>
      </c>
      <c r="I42" s="76" t="s">
        <v>342</v>
      </c>
    </row>
    <row r="43" spans="2:9" s="2" customFormat="1" ht="13.5">
      <c r="B43" s="8"/>
      <c r="C43" s="9"/>
      <c r="D43" s="10"/>
      <c r="E43" s="10"/>
      <c r="F43" s="9"/>
      <c r="G43" s="11"/>
      <c r="H43" s="9"/>
      <c r="I43" s="78"/>
    </row>
    <row r="44" spans="2:9" s="2" customFormat="1" ht="13.5">
      <c r="B44" s="8"/>
      <c r="C44" s="9"/>
      <c r="D44" s="10"/>
      <c r="E44" s="10"/>
      <c r="F44" s="9"/>
      <c r="G44" s="11"/>
      <c r="H44" s="9"/>
      <c r="I44" s="78"/>
    </row>
    <row r="45" spans="2:9" s="2" customFormat="1" ht="13.5">
      <c r="B45" s="8"/>
      <c r="C45" s="9"/>
      <c r="D45" s="10"/>
      <c r="E45" s="10"/>
      <c r="F45" s="9"/>
      <c r="G45" s="11"/>
      <c r="H45" s="9"/>
      <c r="I45" s="16"/>
    </row>
    <row r="46" spans="2:9" s="2" customFormat="1" ht="14.5" customHeight="1">
      <c r="B46" s="83" t="s">
        <v>32</v>
      </c>
      <c r="C46" s="84"/>
      <c r="D46" s="85"/>
      <c r="E46" s="12"/>
      <c r="F46" s="12"/>
      <c r="G46" s="86">
        <f>SUM(G6:G45)</f>
        <v>50.5</v>
      </c>
      <c r="H46" s="87"/>
      <c r="I46" s="88"/>
    </row>
    <row r="49" spans="2:3">
      <c r="B49" s="17" t="s">
        <v>81</v>
      </c>
      <c r="C49" s="18"/>
    </row>
    <row r="50" spans="2:3">
      <c r="C50" s="18"/>
    </row>
  </sheetData>
  <mergeCells count="4">
    <mergeCell ref="B1:I1"/>
    <mergeCell ref="B2:H2"/>
    <mergeCell ref="B46:D46"/>
    <mergeCell ref="G46:I46"/>
  </mergeCells>
  <phoneticPr fontId="10" type="noConversion"/>
  <dataValidations count="3">
    <dataValidation type="list" errorStyle="warning" allowBlank="1" sqref="C30:C45" xr:uid="{00000000-0002-0000-0000-000005000000}">
      <formula1>项目事项分类项目名称</formula1>
    </dataValidation>
    <dataValidation type="list" allowBlank="1" showInputMessage="1" showErrorMessage="1" sqref="F6:F45" xr:uid="{00000000-0002-0000-0000-000002000000}">
      <formula1>INDIRECT($E6)</formula1>
    </dataValidation>
    <dataValidation type="list" allowBlank="1" showInputMessage="1" showErrorMessage="1" sqref="H6:H45"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D11:D12 D6:D9 D21:D27 D30:D45</xm:sqref>
        </x14:dataValidation>
        <x14:dataValidation type="list" allowBlank="1" showInputMessage="1" showErrorMessage="1" xr:uid="{00000000-0002-0000-0000-000007000000}">
          <x14:formula1>
            <xm:f>Tag!$B$2:$E$2</xm:f>
          </x14:formula1>
          <xm:sqref>E11:E12 E6:E9 E21:E27 E30:E45</xm:sqref>
        </x14:dataValidation>
        <x14:dataValidation type="list" errorStyle="warning" allowBlank="1" xr:uid="{00000000-0002-0000-0000-000003000000}">
          <x14:formula1>
            <xm:f>'Exhibit I - Virtual Group'!$A$1:$A$7</xm:f>
          </x14:formula1>
          <xm:sqref>C11:C12 C6:C9 C21:C27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0" t="s">
        <v>64</v>
      </c>
      <c r="L4" s="20" t="s">
        <v>65</v>
      </c>
      <c r="M4" s="20" t="s">
        <v>66</v>
      </c>
      <c r="N4" s="20" t="s">
        <v>67</v>
      </c>
    </row>
    <row r="5" spans="2:14" ht="108.5" outlineLevel="1">
      <c r="C5" s="21" t="s">
        <v>100</v>
      </c>
      <c r="D5" s="102" t="s">
        <v>101</v>
      </c>
      <c r="E5" s="103"/>
      <c r="F5" s="22" t="s">
        <v>102</v>
      </c>
      <c r="G5" s="21" t="s">
        <v>103</v>
      </c>
      <c r="H5" s="21" t="s">
        <v>104</v>
      </c>
      <c r="I5" s="21" t="s">
        <v>105</v>
      </c>
      <c r="J5" s="21" t="s">
        <v>106</v>
      </c>
      <c r="K5" s="104" t="s">
        <v>107</v>
      </c>
      <c r="L5" s="104"/>
      <c r="M5" s="104"/>
      <c r="N5" s="104"/>
    </row>
    <row r="6" spans="2:14" s="23" customFormat="1" ht="201.5" outlineLevel="1">
      <c r="B6" s="105"/>
      <c r="C6" s="106" t="s">
        <v>108</v>
      </c>
      <c r="D6" s="11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5"/>
      <c r="C7" s="107"/>
      <c r="D7" s="107"/>
      <c r="E7" s="32" t="s">
        <v>116</v>
      </c>
      <c r="F7" s="33" t="s">
        <v>117</v>
      </c>
      <c r="G7" s="27" t="s">
        <v>118</v>
      </c>
      <c r="H7" s="34">
        <v>5</v>
      </c>
      <c r="I7" s="35" t="s">
        <v>119</v>
      </c>
      <c r="J7" s="29" t="s">
        <v>120</v>
      </c>
      <c r="K7" s="36" t="s">
        <v>121</v>
      </c>
      <c r="L7" s="37" t="s">
        <v>115</v>
      </c>
      <c r="M7" s="36" t="s">
        <v>122</v>
      </c>
      <c r="N7" s="38" t="s">
        <v>123</v>
      </c>
    </row>
    <row r="8" spans="2:14" s="23" customFormat="1" ht="217" outlineLevel="1">
      <c r="B8" s="105"/>
      <c r="C8" s="108"/>
      <c r="D8" s="11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5"/>
      <c r="C9" s="108"/>
      <c r="D9" s="112"/>
      <c r="E9" s="27" t="s">
        <v>131</v>
      </c>
      <c r="F9" s="26" t="s">
        <v>132</v>
      </c>
      <c r="G9" s="39" t="s">
        <v>133</v>
      </c>
      <c r="H9" s="28">
        <v>5</v>
      </c>
      <c r="I9" s="29" t="s">
        <v>128</v>
      </c>
      <c r="J9" s="29" t="s">
        <v>134</v>
      </c>
      <c r="K9" s="39" t="s">
        <v>135</v>
      </c>
      <c r="L9" s="39" t="s">
        <v>136</v>
      </c>
      <c r="M9" s="39" t="s">
        <v>137</v>
      </c>
      <c r="N9" s="38" t="s">
        <v>137</v>
      </c>
    </row>
    <row r="10" spans="2:14" s="23" customFormat="1" ht="77.5" outlineLevel="1">
      <c r="B10" s="105"/>
      <c r="C10" s="107"/>
      <c r="D10" s="113" t="s">
        <v>138</v>
      </c>
      <c r="E10" s="97"/>
      <c r="F10" s="27" t="s">
        <v>139</v>
      </c>
      <c r="G10" s="40" t="s">
        <v>140</v>
      </c>
      <c r="H10" s="35">
        <v>4</v>
      </c>
      <c r="I10" s="29" t="s">
        <v>128</v>
      </c>
      <c r="J10" s="30" t="s">
        <v>141</v>
      </c>
      <c r="K10" s="39" t="s">
        <v>142</v>
      </c>
      <c r="L10" s="39" t="s">
        <v>142</v>
      </c>
      <c r="M10" s="39" t="s">
        <v>142</v>
      </c>
      <c r="N10" s="38" t="s">
        <v>142</v>
      </c>
    </row>
    <row r="11" spans="2:14" s="23" customFormat="1" ht="263.5" outlineLevel="1">
      <c r="B11" s="105"/>
      <c r="C11" s="107"/>
      <c r="D11" s="110"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105"/>
      <c r="C12" s="10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8"/>
      <c r="D13" s="114"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9"/>
      <c r="D14" s="115"/>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6"/>
      <c r="D15" s="115"/>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5"/>
      <c r="C16" s="116" t="s">
        <v>167</v>
      </c>
      <c r="D16" s="11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5"/>
      <c r="C17" s="117"/>
      <c r="D17" s="12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5"/>
      <c r="C18" s="117"/>
      <c r="D18" s="121" t="s">
        <v>85</v>
      </c>
      <c r="E18" s="122"/>
      <c r="F18" s="44" t="s">
        <v>179</v>
      </c>
      <c r="G18" s="44" t="s">
        <v>180</v>
      </c>
      <c r="H18" s="42">
        <v>5</v>
      </c>
      <c r="I18" s="29" t="s">
        <v>181</v>
      </c>
      <c r="J18" s="29" t="s">
        <v>26</v>
      </c>
      <c r="K18" s="36" t="s">
        <v>182</v>
      </c>
      <c r="L18" s="36" t="s">
        <v>183</v>
      </c>
      <c r="M18" s="36" t="s">
        <v>183</v>
      </c>
      <c r="N18" s="38" t="s">
        <v>183</v>
      </c>
    </row>
    <row r="19" spans="2:14" s="23" customFormat="1" ht="155" outlineLevel="1">
      <c r="B19" s="105"/>
      <c r="C19" s="117"/>
      <c r="D19" s="123"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105"/>
      <c r="C20" s="118"/>
      <c r="D20" s="124" t="s">
        <v>87</v>
      </c>
      <c r="E20" s="125"/>
      <c r="F20" s="50" t="s">
        <v>188</v>
      </c>
      <c r="G20" s="44" t="s">
        <v>70</v>
      </c>
      <c r="H20" s="42">
        <v>5</v>
      </c>
      <c r="I20" s="29" t="s">
        <v>189</v>
      </c>
      <c r="J20" s="29" t="s">
        <v>190</v>
      </c>
      <c r="K20" s="36" t="s">
        <v>191</v>
      </c>
      <c r="L20" s="36" t="s">
        <v>192</v>
      </c>
      <c r="M20" s="36" t="s">
        <v>191</v>
      </c>
      <c r="N20" s="38" t="s">
        <v>191</v>
      </c>
    </row>
    <row r="21" spans="2:14" ht="170.5">
      <c r="B21" s="105"/>
      <c r="C21" s="117"/>
      <c r="D21" s="12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5"/>
      <c r="C22" s="117"/>
      <c r="D22" s="9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5"/>
      <c r="C23" s="11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5"/>
      <c r="C24" s="117"/>
      <c r="D24" s="123" t="s">
        <v>214</v>
      </c>
      <c r="E24" s="95"/>
      <c r="F24" s="44" t="s">
        <v>215</v>
      </c>
      <c r="G24" s="44" t="s">
        <v>216</v>
      </c>
      <c r="H24" s="42">
        <v>5</v>
      </c>
      <c r="I24" s="29" t="s">
        <v>128</v>
      </c>
      <c r="J24" s="29" t="s">
        <v>141</v>
      </c>
      <c r="K24" s="29" t="s">
        <v>217</v>
      </c>
      <c r="L24" s="29" t="s">
        <v>218</v>
      </c>
      <c r="M24" s="29" t="s">
        <v>218</v>
      </c>
      <c r="N24" s="29" t="s">
        <v>218</v>
      </c>
    </row>
    <row r="25" spans="2:14" s="23" customFormat="1" ht="310" outlineLevel="1">
      <c r="B25" s="105"/>
      <c r="C25" s="118"/>
      <c r="D25" s="124" t="s">
        <v>219</v>
      </c>
      <c r="E25" s="125"/>
      <c r="F25" s="50" t="s">
        <v>220</v>
      </c>
      <c r="G25" s="44" t="s">
        <v>221</v>
      </c>
      <c r="H25" s="42">
        <v>5</v>
      </c>
      <c r="I25" s="29" t="s">
        <v>128</v>
      </c>
      <c r="J25" s="29" t="s">
        <v>222</v>
      </c>
      <c r="K25" s="29" t="s">
        <v>223</v>
      </c>
      <c r="L25" s="29" t="s">
        <v>224</v>
      </c>
      <c r="M25" s="29" t="s">
        <v>225</v>
      </c>
      <c r="N25" s="29" t="s">
        <v>226</v>
      </c>
    </row>
    <row r="26" spans="2:14" s="23" customFormat="1" ht="409.5" outlineLevel="1">
      <c r="B26" s="105"/>
      <c r="C26" s="117"/>
      <c r="D26" s="11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5"/>
      <c r="C27" s="117"/>
      <c r="D27" s="12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5"/>
      <c r="C28" s="117"/>
      <c r="D28" s="121" t="s">
        <v>89</v>
      </c>
      <c r="E28" s="122"/>
      <c r="F28" s="44" t="s">
        <v>243</v>
      </c>
      <c r="G28" s="44" t="s">
        <v>244</v>
      </c>
      <c r="H28" s="42">
        <v>5</v>
      </c>
      <c r="I28" s="29" t="s">
        <v>245</v>
      </c>
      <c r="J28" s="55" t="s">
        <v>246</v>
      </c>
      <c r="K28" s="29" t="s">
        <v>247</v>
      </c>
      <c r="L28" s="29" t="s">
        <v>247</v>
      </c>
      <c r="M28" s="29" t="s">
        <v>248</v>
      </c>
      <c r="N28" s="29" t="s">
        <v>248</v>
      </c>
    </row>
    <row r="29" spans="2:14" s="23" customFormat="1" ht="139.5" outlineLevel="1">
      <c r="B29" s="105"/>
      <c r="C29" s="116" t="s">
        <v>249</v>
      </c>
      <c r="D29" s="12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5"/>
      <c r="C30" s="128"/>
      <c r="D30" s="13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5"/>
      <c r="C31" s="128"/>
      <c r="D31" s="11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5"/>
      <c r="C32" s="128"/>
      <c r="D32" s="13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5"/>
      <c r="C33" s="116" t="s">
        <v>270</v>
      </c>
      <c r="D33" s="10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5"/>
      <c r="C34" s="117"/>
      <c r="D34" s="13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5"/>
      <c r="C35" s="117"/>
      <c r="D35" s="12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5"/>
      <c r="C36" s="117"/>
      <c r="D36" s="10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5"/>
      <c r="C37" s="117"/>
      <c r="D37" s="12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5"/>
      <c r="C38" s="11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2025-05-06T08:50:42Z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