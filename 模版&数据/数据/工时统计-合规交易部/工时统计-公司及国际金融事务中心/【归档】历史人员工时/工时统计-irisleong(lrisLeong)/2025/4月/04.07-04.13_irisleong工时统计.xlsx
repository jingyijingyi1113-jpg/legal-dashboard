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ris\"/>
    </mc:Choice>
  </mc:AlternateContent>
  <xr:revisionPtr revIDLastSave="0" documentId="13_ncr:1_{A28C27A9-42CD-4E89-97B8-92B6447C51E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<sst xmlns="http://schemas.openxmlformats.org/spreadsheetml/2006/main" count="662" uniqueCount="372">
  <si>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</si>
  <si>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</si>
  <si>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</si>
  <si>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</si>
  <si>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</si>
  <si>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</si>
  <si>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</si>
  <si>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</si>
  <si>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</si>
  <si>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</si>
  <si>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</si>
  <si>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</si>
  <si>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</si>
  <si>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</si>
  <si>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</si>
  <si>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</si>
  <si>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</si>
  <si>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</si>
  <si>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</si>
  <si>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</si>
  <si>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</si>
  <si>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</si>
  <si>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</si>
  <si>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</si>
  <si>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</si>
  <si>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</si>
  <si>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</si>
  <si>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</si>
  <si>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</si>
  <si>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</si>
  <si>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</si>
  <si>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</si>
  <si>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</si>
  <si>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</si>
  <si>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</si>
  <si>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</si>
  <si>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</si>
  <si>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</si>
  <si>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</si>
  <si>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</si>
  <si>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</si>
  <si>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</si>
  <si>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</si>
  <si>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</si>
  <si>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</si>
  <si>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</si>
  <si>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</si>
  <si>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</si>
  <si>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</si>
  <si>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</si>
  <si>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</si>
  <si>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</si>
  <si>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</si>
  <si>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</si>
  <si>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</si>
  <si>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</si>
  <si>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</si>
  <si>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</si>
  <si>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</si>
  <si>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</si>
  <si>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</si>
  <si>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</si>
  <si>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</si>
  <si>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</si>
  <si>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</si>
  <si>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</si>
  <si>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</si>
  <si>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</si>
  <si>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</si>
  <si>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</si>
  <si>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</si>
  <si>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</si>
  <si>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</si>
  <si>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</si>
  <si>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</si>
  <si>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</si>
  <si>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</si>
  <si>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</si>
  <si>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</si>
  <si>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</si>
  <si>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</si>
  <si>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</si>
  <si>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</si>
  <si>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</si>
  <si>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</si>
  <si>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</si>
  <si>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</si>
  <si>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</si>
  <si>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</si>
  <si>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</si>
  <si>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</si>
  <si>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</si>
  <si>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</si>
  <si>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</si>
  <si>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</si>
  <si>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</si>
  <si>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</si>
  <si>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</si>
  <si>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</si>
  <si>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</si>
  <si>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</si>
  <si>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</si>
  <si>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</si>
  <si>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</si>
  <si>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</si>
  <si>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</si>
  <si>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</si>
  <si>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</si>
  <si>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</si>
  <si>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</si>
  <si>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</si>
  <si>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</si>
  <si>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</si>
  <si>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</si>
  <si>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</si>
  <si>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</si>
  <si>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</si>
  <si>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</si>
  <si>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</si>
  <si>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</si>
  <si>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</si>
  <si>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</si>
  <si>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</si>
  <si>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</si>
  <si>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</si>
  <si>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</si>
  <si>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</si>
  <si>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</si>
  <si>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</si>
  <si>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</si>
  <si>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</si>
  <si>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</si>
  <si>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</si>
  <si>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</si>
  <si>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</si>
  <si>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</si>
  <si>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</si>
  <si>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</si>
  <si>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</si>
  <si>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</si>
  <si>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</si>
  <si>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</si>
  <si>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</si>
  <si>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</si>
  <si>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</si>
  <si>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</si>
  <si>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</si>
  <si>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</si>
  <si>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</si>
  <si>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</si>
  <si>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</si>
  <si>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</si>
  <si>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</si>
  <si>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</si>
  <si>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</si>
  <si>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</si>
  <si>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</si>
  <si>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</si>
  <si>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</si>
  <si>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</si>
  <si>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</si>
  <si>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</si>
  <si>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</si>
  <si>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</si>
  <si>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</si>
  <si>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</si>
  <si>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</si>
  <si>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</si>
  <si>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</si>
  <si>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</si>
  <si>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</si>
  <si>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</si>
  <si>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</si>
  <si>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</si>
  <si>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</si>
  <si>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</si>
  <si>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</si>
  <si>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</si>
  <si>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</si>
  <si>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</si>
  <si>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</si>
  <si>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</si>
  <si>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</si>
  <si>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</si>
  <si>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</si>
  <si>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</si>
  <si>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</si>
  <si>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</si>
  <si>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</si>
  <si>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</si>
  <si>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</si>
  <si>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</si>
  <si>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</si>
  <si>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</si>
  <si>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</si>
  <si>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</si>
  <si>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</si>
  <si>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</si>
  <si>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</si>
  <si>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</si>
  <si>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</si>
  <si>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</si>
  <si>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</si>
  <si>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</si>
  <si>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</si>
  <si>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</si>
  <si>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</si>
  <si>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</si>
  <si>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</si>
  <si>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</si>
  <si>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</si>
  <si>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</si>
  <si>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</si>
  <si>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</si>
  <si>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</si>
  <si>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</si>
  <si>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</si>
  <si>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</si>
  <si>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</si>
  <si>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</si>
  <si>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</si>
  <si>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</si>
  <si>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</si>
  <si>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</si>
  <si>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</si>
  <si>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</si>
  <si>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</si>
  <si>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</si>
  <si>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</si>
  <si>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</si>
  <si>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</si>
  <si>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</si>
  <si>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</si>
  <si>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</si>
  <si>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</si>
  <si>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</si>
  <si>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</si>
  <si>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</si>
  <si>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</si>
  <si>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</si>
  <si>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</si>
  <si>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</si>
  <si>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</si>
  <si>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</si>
  <si>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</si>
  <si>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</si>
  <si>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</si>
  <si>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</si>
  <si>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</si>
  <si>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</si>
  <si>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</si>
  <si>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</si>
  <si>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</si>
  <si>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</si>
  <si>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</si>
  <si>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</si>
  <si>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</si>
  <si>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</si>
  <si>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</si>
  <si>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</si>
  <si>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</si>
  <si>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</si>
  <si>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</si>
  <si>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</si>
  <si>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</si>
  <si>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</si>
  <si>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</si>
  <si>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</si>
  <si>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</si>
  <si>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</si>
  <si>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</si>
  <si>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</si>
  <si>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</si>
  <si>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</si>
  <si>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</si>
  <si>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</si>
  <si>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</si>
  <si>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</si>
  <si>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</si>
  <si>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</si>
  <si>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</si>
  <si>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</si>
  <si>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</si>
  <si>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</si>
  <si>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</si>
  <si>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</si>
  <si>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</si>
  <si>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</si>
  <si>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</si>
  <si>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</si>
  <si>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</si>
  <si>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</si>
  <si>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</si>
  <si>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</si>
  <si>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</si>
  <si>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</si>
  <si>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</si>
  <si>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</si>
  <si>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</si>
  <si>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</si>
  <si>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</si>
  <si>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</si>
  <si>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</si>
  <si>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</si>
  <si>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</si>
  <si>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</si>
  <si>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</si>
  <si>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</si>
  <si>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</si>
  <si>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</si>
  <si>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</si>
  <si>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</si>
  <si>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</si>
  <si>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</si>
  <si>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</si>
  <si>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</si>
  <si>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</si>
  <si>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</si>
  <si>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</si>
  <si>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</si>
  <si>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</si>
  <si>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</si>
  <si>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</si>
  <si>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</si>
  <si>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</si>
  <si>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</si>
  <si>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</si>
  <si>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</si>
  <si>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</si>
  <si>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</si>
  <si>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</si>
  <si>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</si>
  <si>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</si>
  <si>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</si>
  <si>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</si>
  <si>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</si>
  <si>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</si>
  <si>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</si>
  <si>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irisleong</t>
  </si>
  <si>
    <t xml:space="preserve">Reviewed C&amp;B inquiry regarding Tlive and its ADP company code issue. </t>
  </si>
  <si>
    <r>
      <t>Date: 2025</t>
    </r>
    <r>
      <rPr>
        <b/>
        <sz val="10"/>
        <color theme="0"/>
        <rFont val="等线"/>
        <charset val="134"/>
      </rPr>
      <t xml:space="preserve">-04-07 </t>
    </r>
    <r>
      <rPr>
        <b/>
        <sz val="10"/>
        <color theme="0"/>
        <rFont val="新細明體"/>
        <family val="1"/>
        <charset val="136"/>
      </rPr>
      <t xml:space="preserve">- </t>
    </r>
    <r>
      <rPr>
        <b/>
        <sz val="10"/>
        <color theme="0"/>
        <rFont val="新細明體"/>
        <family val="2"/>
        <scheme val="minor"/>
      </rPr>
      <t>2025-04-13</t>
    </r>
  </si>
  <si>
    <t xml:space="preserve">DY’s Norway visa ban case- Reviewed emails to/from external counsel re: debt collection from the state’s legal costs in defending DY’s case before Oslo district court.  Discussed case with Zhao, Silvia, and external counsel on the discrepancy in our company policy regarding the invoice being issued prior to DY's departure. </t>
  </si>
  <si>
    <t xml:space="preserve">Reviewed emails to/from ZAM HRD Raymond Lui and SG Desiree re: closing their Singapore operations and SG legal advices on severance agreements. </t>
  </si>
  <si>
    <t xml:space="preserve">Meeting with HQ HR Compliance team (Jennie Wang) and Bettina to discuss OFS's "Overseas HR &amp; Legal Crisis Mechanism" project re: crisis mgm for overseas. Reviewed their PPT.  </t>
  </si>
  <si>
    <t>Researched withholding or unauthorized pay deductions on EEs' final paycheck for unreturned company laptops and penalties for violating CA labor codes on these issues.  Drafted a summary update to Liz in response to OIT's OMC (Keren Wang)'s complaint about Jamin &amp; I not being cooperative on her suggestions to resolve the unreturned laptops issue.</t>
  </si>
  <si>
    <t xml:space="preserve">Discussed with OIT (Sherrie) re: our legal options to resolve the unreturned company laptops by terminated EEs.  Meeting with Sherrie to discuss this issue and Keren Wang's unreasonable expectations for us to withhold or do unauthorized deductions on terminated EEs' last paycheck and their severance pay. </t>
  </si>
  <si>
    <t xml:space="preserve">Reviewed C&amp;B team's inquiry on whether to pay out unused floating holidays for terminated EEs in Texas, Washington, and Maryland.  Discussed and provided legal advices to C&amp;B team. 
</t>
  </si>
  <si>
    <t xml:space="preserve">Reviewed and updated C&amp;B team's "US Floating Holiday Payout State Summary". 
</t>
  </si>
  <si>
    <t xml:space="preserve">Discussed with Canada HR Manager (Sezzy) regarding when did we start hiring Canada employees through a 3rd party agenct (iSoftStone).  Researched old files to pull original contract showing March 2020 as the start date. </t>
  </si>
  <si>
    <t xml:space="preserve">Meeting with OIT products team (Jasmine Ai) regarding drafting a MSA template to offer software/services to 2nd party studios.  Reviewed her notes and suggestions on MSA terms and conditions. </t>
  </si>
  <si>
    <t xml:space="preserve">Reviewed the original MSA agreement between TMF and Tencent Europe.  Provided additional feedback re: the SOW for Accounting Services for Kite Bird Colombia.  Reviewed updated SOW. </t>
  </si>
  <si>
    <t>Discussed with HR/Immigration (Yvonne), Sana and HRD Yinuo re: an US employee's OPT will be expiring before he can transfer back to China.  Discussed solutions and risk analysis.</t>
  </si>
  <si>
    <t xml:space="preserve">Reviewed and revised job postings and job descriptions for Recruiting team. </t>
  </si>
  <si>
    <t xml:space="preserve">Reviewed HR Immigration team's US travel guidelines to send to Canada employees.  Discussed with Immigration (Yvonne) on these issues. </t>
  </si>
  <si>
    <t>Discussed with HRD Yinuo, Sana and HRBP Kiddy re:  layoff case of a S3 Recruiter (Arman Jivani). His termination date is set for 4/11/25. Revised draft responses to Arman regarding why we cut off his system access and his severance counteroffer.</t>
  </si>
  <si>
    <t xml:space="preserve">Reviewed emails re: OIT litigation case (DY) to/from external counsel about their document requests.  Discussed with HRD Yinuo and HQ HR team to pull additional docs and info to complete DY's personnel file and doc requests.  Uploaded docs to our external counsel's shared drive. </t>
  </si>
  <si>
    <t xml:space="preserve">Beth Rui Zhang case (OIT): Reviewed her Demand for Arbitration letter.  Meeting with external counsel to discuss case.  Notified our EPL insurance rep to open a new claim for this case.  Updated Brent and Liz about this case. Pulled a copy of her personnel file.  </t>
  </si>
  <si>
    <t xml:space="preserve">Reviewed and discussed C&amp;B team (Shaw Xia)'s inquiry on the Equal Pay Act compliance issue of a new WXG BD candidate (low base salary + 40% target bonus).  Discussed compliance issues with external counsel.  Did case defense analysis with Shaw Xia.
</t>
  </si>
  <si>
    <t>Discussed the layoff cases of 2 Media Lab employees (tinglanlin, zafarshahid) with HRBP Jade and Sana.  Their termination dates are set for 4/4/25 and 4/18/25.  Reviewed tinglanlin's termination inquiry.</t>
  </si>
  <si>
    <t xml:space="preserve">Reviewed and analyzed 3 cases of OIT layoff- Jeff Xu, Queena Suo, and Pete Wang).  Reviewed Jeff's severance counteroffer, Queena's grievance investigation report results, and Pete's counteroffer.  Reached out to C&amp;B team re: Jeff Xu's leave history. Discussed cases with HRBP Yoky, ER Compliance Mgr Sana and HRD Yinuo. </t>
  </si>
  <si>
    <t xml:space="preserve">Reviewed and updated TCW Canada's Addendum for HR Manager (Sato).  Discussed document with Sato.  </t>
  </si>
  <si>
    <t>Reviewed and approved legal invoices from Morgan Lewis and Fenwick.</t>
  </si>
  <si>
    <t>Reviewed City of Carson's business license application requirements, zoning approval, and license fee issues. Discussed with LA Office Manager (Michelle Zhang).</t>
  </si>
  <si>
    <t xml:space="preserve">Reviewed Finance's team draft email to all EEs re: Upgraded Tencent Overseas Air Ticket Platform . 
</t>
  </si>
  <si>
    <t>Reviewed Ambius's (live plants wall vendor) contract and invoice regarding price changes.  Discussed with Carson office manager (Michelle Zhang).</t>
  </si>
  <si>
    <t>Completed our TA’s EPL insurance renewal application.  Discussed application with Finance team (Sarah) and our insurance broker (Scott Taylor).  Sent renewal application and our 2024 financials to our insurance broker for processing.</t>
  </si>
  <si>
    <t xml:space="preserve">Reviewed Brent's request for a new US travel guidance for executives entering the US and the ESTA waiver approval issues.  Discussed with Brent, Danny, Liz and other EEs.  Meeting with immigration external counsel for guidance. Meeting with a new law firm (Trow &amp; Rahal ) with Brent and Danny to discuss their "white gloves" immigration services for top executives. 
</t>
  </si>
  <si>
    <t xml:space="preserve">Reviewed and updated annual report filings for Tencent America in Maryland; and Proxoima Beta US in Massachusettes and Washington.  Revised annual report for TA in Maryland.  Reviewed Paracorp invoices and sent to Finance for processing.   
</t>
  </si>
  <si>
    <t xml:space="preserve">Received and reviewed 4 sets of Service of Process docs served to Tencent Cloud through our registered agent Paracorp, regarding the bankruptcy case (In re: Edgio, Inc.).  Reviewed Paracorp invoices on the bankruptcy case filings, and sent to Finance team for processing. </t>
  </si>
  <si>
    <t xml:space="preserve">Reviewed emails re: settlement of the CSIG litigation case of Iraj Sodagar to/from external counsel.  Reviewed their revised settlement agreement.  Discussed settlement payment schedule with Zhao Liu.  </t>
  </si>
  <si>
    <t xml:space="preserve">Updated weekly timesheet each day; and organized and replied to emails. Updated March's monthly matters reporting.  </t>
  </si>
  <si>
    <t xml:space="preserve">Discussed ZAM's updated office sublease agreement with Operations Manager (Sky) for our LA office.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</si>
</sst>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4">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name val="Aptos"/>
      <family val="2"/>
    </font>
    <font>
      <i/>
      <sz val="10"/>
      <name val="新細明體"/>
      <family val="2"/>
      <scheme val="minor"/>
    </font>
    <font>
      <i/>
      <sz val="10"/>
      <color theme="1"/>
      <name val="新細明體"/>
      <family val="2"/>
      <scheme val="minor"/>
    </font>
    <font>
      <sz val="11"/>
      <color theme="1"/>
      <name val="Aptos"/>
      <family val="2"/>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1" fillId="5" borderId="1" xfId="0" applyNumberFormat="1" applyFont="1" applyFill="1" applyBorder="1" applyAlignment="1">
      <alignment horizontal="center" vertical="center"/>
    </xf>
    <xf numFmtId="0" fontId="30" fillId="6" borderId="1" xfId="0" applyFont="1" applyFill="1" applyBorder="1" applyAlignment="1">
      <alignment vertical="center" wrapText="1"/>
    </xf>
    <xf numFmtId="0" fontId="30" fillId="0" borderId="1" xfId="0" applyFont="1" applyBorder="1" applyAlignment="1">
      <alignment vertical="center" wrapText="1"/>
    </xf>
    <xf numFmtId="177" fontId="32" fillId="5" borderId="1" xfId="0" applyNumberFormat="1" applyFont="1" applyFill="1" applyBorder="1" applyAlignment="1">
      <alignment horizontal="center" vertical="center"/>
    </xf>
    <xf numFmtId="0" fontId="33" fillId="6" borderId="1" xfId="0" applyFont="1" applyFill="1" applyBorder="1" applyAlignment="1">
      <alignment vertical="center" wrapText="1"/>
    </xf>
    <xf numFmtId="0" fontId="30" fillId="0" borderId="1"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topLeftCell="A30" zoomScaleNormal="95" workbookViewId="0">
      <selection activeCell="G47" sqref="G4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1" t="s">
        <v>0</v>
      </c>
      <c r="C1" s="82"/>
      <c r="D1" s="82"/>
      <c r="E1" s="82"/>
      <c r="F1" s="82"/>
      <c r="G1" s="82"/>
      <c r="H1" s="82"/>
      <c r="I1" s="82"/>
    </row>
    <row r="2" spans="1:9" ht="17">
      <c r="B2" s="83"/>
      <c r="C2" s="84"/>
      <c r="D2" s="84"/>
      <c r="E2" s="84"/>
      <c r="F2" s="84"/>
      <c r="G2" s="84"/>
      <c r="H2" s="84"/>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89.5" customHeight="1">
      <c r="B6" s="8" t="s">
        <v>338</v>
      </c>
      <c r="C6" s="9" t="s">
        <v>25</v>
      </c>
      <c r="D6" s="10" t="s">
        <v>26</v>
      </c>
      <c r="E6" s="10" t="s">
        <v>30</v>
      </c>
      <c r="F6" s="9" t="s">
        <v>325</v>
      </c>
      <c r="G6" s="75">
        <v>3</v>
      </c>
      <c r="H6" s="9" t="s">
        <v>73</v>
      </c>
      <c r="I6" s="79" t="s">
        <v>355</v>
      </c>
    </row>
    <row r="7" spans="1:9" s="2" customFormat="1" ht="101.5">
      <c r="B7" s="8" t="s">
        <v>338</v>
      </c>
      <c r="C7" s="9" t="s">
        <v>25</v>
      </c>
      <c r="D7" s="10" t="s">
        <v>26</v>
      </c>
      <c r="E7" s="10" t="s">
        <v>30</v>
      </c>
      <c r="F7" s="9" t="s">
        <v>325</v>
      </c>
      <c r="G7" s="75">
        <v>2.5</v>
      </c>
      <c r="H7" s="9" t="s">
        <v>27</v>
      </c>
      <c r="I7" s="76" t="s">
        <v>356</v>
      </c>
    </row>
    <row r="8" spans="1:9" s="2" customFormat="1" ht="116">
      <c r="B8" s="8" t="s">
        <v>338</v>
      </c>
      <c r="C8" s="9" t="s">
        <v>25</v>
      </c>
      <c r="D8" s="10" t="s">
        <v>26</v>
      </c>
      <c r="E8" s="10" t="s">
        <v>30</v>
      </c>
      <c r="F8" s="9" t="s">
        <v>325</v>
      </c>
      <c r="G8" s="11">
        <v>1</v>
      </c>
      <c r="H8" s="9" t="s">
        <v>27</v>
      </c>
      <c r="I8" s="76" t="s">
        <v>341</v>
      </c>
    </row>
    <row r="9" spans="1:9" s="2" customFormat="1" ht="72.5">
      <c r="B9" s="8" t="s">
        <v>338</v>
      </c>
      <c r="C9" s="9" t="s">
        <v>25</v>
      </c>
      <c r="D9" s="10" t="s">
        <v>26</v>
      </c>
      <c r="E9" s="10" t="s">
        <v>30</v>
      </c>
      <c r="F9" s="9" t="s">
        <v>325</v>
      </c>
      <c r="G9" s="75">
        <v>1</v>
      </c>
      <c r="H9" s="9" t="s">
        <v>73</v>
      </c>
      <c r="I9" s="80" t="s">
        <v>369</v>
      </c>
    </row>
    <row r="10" spans="1:9" s="2" customFormat="1" ht="110.5" customHeight="1">
      <c r="B10" s="8" t="s">
        <v>338</v>
      </c>
      <c r="C10" s="9" t="s">
        <v>25</v>
      </c>
      <c r="D10" s="10" t="s">
        <v>26</v>
      </c>
      <c r="E10" s="10" t="s">
        <v>30</v>
      </c>
      <c r="F10" s="9" t="s">
        <v>325</v>
      </c>
      <c r="G10" s="75">
        <v>4</v>
      </c>
      <c r="H10" s="9" t="s">
        <v>73</v>
      </c>
      <c r="I10" s="76" t="s">
        <v>359</v>
      </c>
    </row>
    <row r="11" spans="1:9" s="2" customFormat="1" ht="77" customHeight="1">
      <c r="B11" s="8" t="s">
        <v>338</v>
      </c>
      <c r="C11" s="9" t="s">
        <v>25</v>
      </c>
      <c r="D11" s="10" t="s">
        <v>26</v>
      </c>
      <c r="E11" s="10" t="s">
        <v>30</v>
      </c>
      <c r="F11" s="9" t="s">
        <v>325</v>
      </c>
      <c r="G11" s="11">
        <v>0.7</v>
      </c>
      <c r="H11" s="9" t="s">
        <v>73</v>
      </c>
      <c r="I11" s="76" t="s">
        <v>358</v>
      </c>
    </row>
    <row r="12" spans="1:9" s="2" customFormat="1" ht="91" customHeight="1">
      <c r="B12" s="8" t="s">
        <v>338</v>
      </c>
      <c r="C12" s="9" t="s">
        <v>25</v>
      </c>
      <c r="D12" s="10" t="s">
        <v>26</v>
      </c>
      <c r="E12" s="10" t="s">
        <v>30</v>
      </c>
      <c r="F12" s="9" t="s">
        <v>325</v>
      </c>
      <c r="G12" s="11">
        <v>1</v>
      </c>
      <c r="H12" s="9" t="s">
        <v>27</v>
      </c>
      <c r="I12" s="79" t="s">
        <v>354</v>
      </c>
    </row>
    <row r="13" spans="1:9" s="2" customFormat="1" ht="37" customHeight="1">
      <c r="B13" s="8" t="s">
        <v>338</v>
      </c>
      <c r="C13" s="9" t="s">
        <v>25</v>
      </c>
      <c r="D13" s="10" t="s">
        <v>26</v>
      </c>
      <c r="E13" s="10" t="s">
        <v>30</v>
      </c>
      <c r="F13" s="9" t="s">
        <v>325</v>
      </c>
      <c r="G13" s="11">
        <v>0.3</v>
      </c>
      <c r="H13" s="9" t="s">
        <v>27</v>
      </c>
      <c r="I13" s="76" t="s">
        <v>339</v>
      </c>
    </row>
    <row r="14" spans="1:9" s="2" customFormat="1" ht="70" customHeight="1">
      <c r="B14" s="8" t="s">
        <v>338</v>
      </c>
      <c r="C14" s="9" t="s">
        <v>25</v>
      </c>
      <c r="D14" s="10" t="s">
        <v>26</v>
      </c>
      <c r="E14" s="10" t="s">
        <v>30</v>
      </c>
      <c r="F14" s="9" t="s">
        <v>325</v>
      </c>
      <c r="G14" s="11">
        <v>0.5</v>
      </c>
      <c r="H14" s="9" t="s">
        <v>27</v>
      </c>
      <c r="I14" s="76" t="s">
        <v>346</v>
      </c>
    </row>
    <row r="15" spans="1:9" s="2" customFormat="1" ht="45" customHeight="1">
      <c r="B15" s="8" t="s">
        <v>338</v>
      </c>
      <c r="C15" s="9" t="s">
        <v>25</v>
      </c>
      <c r="D15" s="10" t="s">
        <v>26</v>
      </c>
      <c r="E15" s="10" t="s">
        <v>30</v>
      </c>
      <c r="F15" s="9" t="s">
        <v>325</v>
      </c>
      <c r="G15" s="75">
        <v>1</v>
      </c>
      <c r="H15" s="9" t="s">
        <v>73</v>
      </c>
      <c r="I15" s="80" t="s">
        <v>347</v>
      </c>
    </row>
    <row r="16" spans="1:9" s="2" customFormat="1" ht="98.5" customHeight="1">
      <c r="B16" s="8" t="s">
        <v>338</v>
      </c>
      <c r="C16" s="9" t="s">
        <v>25</v>
      </c>
      <c r="D16" s="10" t="s">
        <v>26</v>
      </c>
      <c r="E16" s="10" t="s">
        <v>30</v>
      </c>
      <c r="F16" s="9" t="s">
        <v>325</v>
      </c>
      <c r="G16" s="75">
        <v>2</v>
      </c>
      <c r="H16" s="9" t="s">
        <v>27</v>
      </c>
      <c r="I16" s="76" t="s">
        <v>357</v>
      </c>
    </row>
    <row r="17" spans="2:9" s="2" customFormat="1" ht="77" customHeight="1">
      <c r="B17" s="8" t="s">
        <v>338</v>
      </c>
      <c r="C17" s="9" t="s">
        <v>25</v>
      </c>
      <c r="D17" s="10" t="s">
        <v>26</v>
      </c>
      <c r="E17" s="10" t="s">
        <v>30</v>
      </c>
      <c r="F17" s="9" t="s">
        <v>325</v>
      </c>
      <c r="G17" s="11">
        <v>0.5</v>
      </c>
      <c r="H17" s="9" t="s">
        <v>73</v>
      </c>
      <c r="I17" s="76" t="s">
        <v>348</v>
      </c>
    </row>
    <row r="18" spans="2:9" s="2" customFormat="1" ht="45" customHeight="1">
      <c r="B18" s="8" t="s">
        <v>338</v>
      </c>
      <c r="C18" s="9" t="s">
        <v>25</v>
      </c>
      <c r="D18" s="10" t="s">
        <v>26</v>
      </c>
      <c r="E18" s="10" t="s">
        <v>30</v>
      </c>
      <c r="F18" s="9" t="s">
        <v>325</v>
      </c>
      <c r="G18" s="11">
        <v>0.7</v>
      </c>
      <c r="H18" s="9" t="s">
        <v>73</v>
      </c>
      <c r="I18" s="76" t="s">
        <v>360</v>
      </c>
    </row>
    <row r="19" spans="2:9" s="2" customFormat="1" ht="125" customHeight="1">
      <c r="B19" s="8" t="s">
        <v>338</v>
      </c>
      <c r="C19" s="9" t="s">
        <v>25</v>
      </c>
      <c r="D19" s="10" t="s">
        <v>26</v>
      </c>
      <c r="E19" s="10" t="s">
        <v>30</v>
      </c>
      <c r="F19" s="9" t="s">
        <v>325</v>
      </c>
      <c r="G19" s="75">
        <v>3</v>
      </c>
      <c r="H19" s="9" t="s">
        <v>27</v>
      </c>
      <c r="I19" s="80" t="s">
        <v>366</v>
      </c>
    </row>
    <row r="20" spans="2:9" s="2" customFormat="1" ht="61" customHeight="1">
      <c r="B20" s="8" t="s">
        <v>338</v>
      </c>
      <c r="C20" s="9" t="s">
        <v>25</v>
      </c>
      <c r="D20" s="10" t="s">
        <v>26</v>
      </c>
      <c r="E20" s="10" t="s">
        <v>30</v>
      </c>
      <c r="F20" s="9" t="s">
        <v>325</v>
      </c>
      <c r="G20" s="11">
        <v>0.5</v>
      </c>
      <c r="H20" s="9" t="s">
        <v>73</v>
      </c>
      <c r="I20" s="76" t="s">
        <v>353</v>
      </c>
    </row>
    <row r="21" spans="2:9" s="2" customFormat="1" ht="37.5" customHeight="1">
      <c r="B21" s="8" t="s">
        <v>338</v>
      </c>
      <c r="C21" s="9" t="s">
        <v>25</v>
      </c>
      <c r="D21" s="10" t="s">
        <v>26</v>
      </c>
      <c r="E21" s="10" t="s">
        <v>30</v>
      </c>
      <c r="F21" s="9" t="s">
        <v>325</v>
      </c>
      <c r="G21" s="11">
        <v>1</v>
      </c>
      <c r="H21" s="9" t="s">
        <v>73</v>
      </c>
      <c r="I21" s="80" t="s">
        <v>352</v>
      </c>
    </row>
    <row r="22" spans="2:9" s="2" customFormat="1" ht="60" customHeight="1">
      <c r="B22" s="8" t="s">
        <v>338</v>
      </c>
      <c r="C22" s="9" t="s">
        <v>25</v>
      </c>
      <c r="D22" s="10" t="s">
        <v>26</v>
      </c>
      <c r="E22" s="10" t="s">
        <v>30</v>
      </c>
      <c r="F22" s="9" t="s">
        <v>328</v>
      </c>
      <c r="G22" s="11">
        <v>0.7</v>
      </c>
      <c r="H22" s="9" t="s">
        <v>73</v>
      </c>
      <c r="I22" s="80" t="s">
        <v>342</v>
      </c>
    </row>
    <row r="23" spans="2:9" s="2" customFormat="1" ht="60" customHeight="1">
      <c r="B23" s="8" t="s">
        <v>338</v>
      </c>
      <c r="C23" s="9" t="s">
        <v>25</v>
      </c>
      <c r="D23" s="10" t="s">
        <v>26</v>
      </c>
      <c r="E23" s="10" t="s">
        <v>30</v>
      </c>
      <c r="F23" s="9" t="s">
        <v>328</v>
      </c>
      <c r="G23" s="75">
        <v>1.5</v>
      </c>
      <c r="H23" s="9" t="s">
        <v>27</v>
      </c>
      <c r="I23" s="80" t="s">
        <v>343</v>
      </c>
    </row>
    <row r="24" spans="2:9" s="2" customFormat="1" ht="60" customHeight="1">
      <c r="B24" s="8" t="s">
        <v>338</v>
      </c>
      <c r="C24" s="9" t="s">
        <v>25</v>
      </c>
      <c r="D24" s="10" t="s">
        <v>26</v>
      </c>
      <c r="E24" s="10" t="s">
        <v>30</v>
      </c>
      <c r="F24" s="9" t="s">
        <v>328</v>
      </c>
      <c r="G24" s="78">
        <v>1</v>
      </c>
      <c r="H24" s="9" t="s">
        <v>27</v>
      </c>
      <c r="I24" s="76" t="s">
        <v>351</v>
      </c>
    </row>
    <row r="25" spans="2:9" s="2" customFormat="1" ht="66.5" customHeight="1">
      <c r="B25" s="8" t="s">
        <v>338</v>
      </c>
      <c r="C25" s="9" t="s">
        <v>28</v>
      </c>
      <c r="D25" s="10" t="s">
        <v>57</v>
      </c>
      <c r="E25" s="10" t="s">
        <v>30</v>
      </c>
      <c r="F25" s="9" t="s">
        <v>332</v>
      </c>
      <c r="G25" s="11">
        <v>2</v>
      </c>
      <c r="H25" s="9" t="s">
        <v>73</v>
      </c>
      <c r="I25" s="76" t="s">
        <v>350</v>
      </c>
    </row>
    <row r="26" spans="2:9" s="2" customFormat="1" ht="57.5" customHeight="1">
      <c r="B26" s="8" t="s">
        <v>338</v>
      </c>
      <c r="C26" s="9" t="s">
        <v>28</v>
      </c>
      <c r="D26" s="10" t="s">
        <v>57</v>
      </c>
      <c r="E26" s="10" t="s">
        <v>30</v>
      </c>
      <c r="F26" s="9" t="s">
        <v>332</v>
      </c>
      <c r="G26" s="11">
        <v>0.3</v>
      </c>
      <c r="H26" s="9" t="s">
        <v>73</v>
      </c>
      <c r="I26" s="76" t="s">
        <v>363</v>
      </c>
    </row>
    <row r="27" spans="2:9" s="2" customFormat="1" ht="99.5" customHeight="1">
      <c r="B27" s="8" t="s">
        <v>338</v>
      </c>
      <c r="C27" s="9" t="s">
        <v>43</v>
      </c>
      <c r="D27" s="10" t="s">
        <v>47</v>
      </c>
      <c r="E27" s="10" t="s">
        <v>30</v>
      </c>
      <c r="F27" s="9" t="s">
        <v>332</v>
      </c>
      <c r="G27" s="75">
        <v>1</v>
      </c>
      <c r="H27" s="9" t="s">
        <v>73</v>
      </c>
      <c r="I27" s="80" t="s">
        <v>367</v>
      </c>
    </row>
    <row r="28" spans="2:9" s="2" customFormat="1" ht="67" customHeight="1">
      <c r="B28" s="8" t="s">
        <v>338</v>
      </c>
      <c r="C28" s="9" t="s">
        <v>28</v>
      </c>
      <c r="D28" s="10" t="s">
        <v>49</v>
      </c>
      <c r="E28" s="10" t="s">
        <v>30</v>
      </c>
      <c r="F28" s="9" t="s">
        <v>332</v>
      </c>
      <c r="G28" s="75">
        <v>0.5</v>
      </c>
      <c r="H28" s="9" t="s">
        <v>73</v>
      </c>
      <c r="I28" s="76" t="s">
        <v>364</v>
      </c>
    </row>
    <row r="29" spans="2:9" s="2" customFormat="1" ht="48" customHeight="1">
      <c r="B29" s="8" t="s">
        <v>338</v>
      </c>
      <c r="C29" s="9" t="s">
        <v>28</v>
      </c>
      <c r="D29" s="10" t="s">
        <v>49</v>
      </c>
      <c r="E29" s="10" t="s">
        <v>30</v>
      </c>
      <c r="F29" s="9" t="s">
        <v>332</v>
      </c>
      <c r="G29" s="75">
        <v>0.5</v>
      </c>
      <c r="H29" s="9" t="s">
        <v>73</v>
      </c>
      <c r="I29" s="80" t="s">
        <v>371</v>
      </c>
    </row>
    <row r="30" spans="2:9" s="2" customFormat="1" ht="72" customHeight="1">
      <c r="B30" s="8" t="s">
        <v>338</v>
      </c>
      <c r="C30" s="9" t="s">
        <v>28</v>
      </c>
      <c r="D30" s="10" t="s">
        <v>49</v>
      </c>
      <c r="E30" s="10" t="s">
        <v>30</v>
      </c>
      <c r="F30" s="9" t="s">
        <v>332</v>
      </c>
      <c r="G30" s="75">
        <v>1.5</v>
      </c>
      <c r="H30" s="9" t="s">
        <v>73</v>
      </c>
      <c r="I30" s="76" t="s">
        <v>365</v>
      </c>
    </row>
    <row r="31" spans="2:9" s="2" customFormat="1" ht="64" customHeight="1">
      <c r="B31" s="8" t="s">
        <v>338</v>
      </c>
      <c r="C31" s="9" t="s">
        <v>28</v>
      </c>
      <c r="D31" s="10" t="s">
        <v>49</v>
      </c>
      <c r="E31" s="10" t="s">
        <v>30</v>
      </c>
      <c r="F31" s="9" t="s">
        <v>332</v>
      </c>
      <c r="G31" s="11">
        <v>0.5</v>
      </c>
      <c r="H31" s="9" t="s">
        <v>73</v>
      </c>
      <c r="I31" s="76" t="s">
        <v>362</v>
      </c>
    </row>
    <row r="32" spans="2:9" s="2" customFormat="1" ht="107" customHeight="1">
      <c r="B32" s="8" t="s">
        <v>338</v>
      </c>
      <c r="C32" s="9" t="s">
        <v>28</v>
      </c>
      <c r="D32" s="10" t="s">
        <v>31</v>
      </c>
      <c r="E32" s="10" t="s">
        <v>30</v>
      </c>
      <c r="F32" s="9" t="s">
        <v>332</v>
      </c>
      <c r="G32" s="11">
        <v>1</v>
      </c>
      <c r="H32" s="9" t="s">
        <v>27</v>
      </c>
      <c r="I32" s="80" t="s">
        <v>345</v>
      </c>
    </row>
    <row r="33" spans="2:9" s="2" customFormat="1" ht="114.5" customHeight="1">
      <c r="B33" s="8" t="s">
        <v>338</v>
      </c>
      <c r="C33" s="9" t="s">
        <v>28</v>
      </c>
      <c r="D33" s="10" t="s">
        <v>31</v>
      </c>
      <c r="E33" s="10" t="s">
        <v>30</v>
      </c>
      <c r="F33" s="9" t="s">
        <v>332</v>
      </c>
      <c r="G33" s="11">
        <v>1.5</v>
      </c>
      <c r="H33" s="9" t="s">
        <v>73</v>
      </c>
      <c r="I33" s="80" t="s">
        <v>344</v>
      </c>
    </row>
    <row r="34" spans="2:9" s="2" customFormat="1" ht="81" customHeight="1">
      <c r="B34" s="8" t="s">
        <v>338</v>
      </c>
      <c r="C34" s="9" t="s">
        <v>28</v>
      </c>
      <c r="D34" s="10" t="s">
        <v>31</v>
      </c>
      <c r="E34" s="10" t="s">
        <v>30</v>
      </c>
      <c r="F34" s="9" t="s">
        <v>326</v>
      </c>
      <c r="G34" s="11">
        <v>1</v>
      </c>
      <c r="H34" s="9" t="s">
        <v>27</v>
      </c>
      <c r="I34" s="76" t="s">
        <v>349</v>
      </c>
    </row>
    <row r="35" spans="2:9" s="2" customFormat="1" ht="90.5" customHeight="1">
      <c r="B35" s="8" t="s">
        <v>338</v>
      </c>
      <c r="C35" s="9" t="s">
        <v>43</v>
      </c>
      <c r="D35" s="10" t="s">
        <v>18</v>
      </c>
      <c r="E35" s="10" t="s">
        <v>34</v>
      </c>
      <c r="F35" s="9" t="s">
        <v>42</v>
      </c>
      <c r="G35" s="11">
        <v>0.7</v>
      </c>
      <c r="H35" s="9" t="s">
        <v>73</v>
      </c>
      <c r="I35" s="76" t="s">
        <v>368</v>
      </c>
    </row>
    <row r="36" spans="2:9" s="2" customFormat="1" ht="29">
      <c r="B36" s="8" t="s">
        <v>338</v>
      </c>
      <c r="C36" s="9" t="s">
        <v>28</v>
      </c>
      <c r="D36" s="10" t="s">
        <v>31</v>
      </c>
      <c r="E36" s="10" t="s">
        <v>33</v>
      </c>
      <c r="F36" s="9" t="s">
        <v>36</v>
      </c>
      <c r="G36" s="11">
        <v>0.5</v>
      </c>
      <c r="H36" s="9" t="s">
        <v>31</v>
      </c>
      <c r="I36" s="77" t="s">
        <v>361</v>
      </c>
    </row>
    <row r="37" spans="2:9" s="2" customFormat="1" ht="43.5">
      <c r="B37" s="8" t="s">
        <v>338</v>
      </c>
      <c r="C37" s="9" t="s">
        <v>28</v>
      </c>
      <c r="D37" s="10" t="s">
        <v>31</v>
      </c>
      <c r="E37" s="10" t="s">
        <v>33</v>
      </c>
      <c r="F37" s="9" t="s">
        <v>39</v>
      </c>
      <c r="G37" s="11">
        <v>12</v>
      </c>
      <c r="H37" s="9" t="s">
        <v>31</v>
      </c>
      <c r="I37" s="80" t="s">
        <v>370</v>
      </c>
    </row>
    <row r="38" spans="2:9" s="2" customFormat="1" ht="13.5">
      <c r="B38" s="8"/>
      <c r="C38" s="9"/>
      <c r="D38" s="10"/>
      <c r="E38" s="10"/>
      <c r="F38" s="9"/>
      <c r="G38" s="11"/>
      <c r="H38" s="9"/>
      <c r="I38" s="16"/>
    </row>
    <row r="39" spans="2:9" s="2" customFormat="1" ht="13.5">
      <c r="B39" s="8"/>
      <c r="C39" s="9"/>
      <c r="D39" s="10"/>
      <c r="E39" s="10"/>
      <c r="F39" s="9"/>
      <c r="G39" s="11"/>
      <c r="H39" s="9"/>
      <c r="I39" s="16"/>
    </row>
    <row r="40" spans="2:9" s="2" customFormat="1" ht="13.5">
      <c r="B40" s="8"/>
      <c r="C40" s="9"/>
      <c r="D40" s="10"/>
      <c r="E40" s="10"/>
      <c r="F40" s="9"/>
      <c r="G40" s="11"/>
      <c r="H40" s="9"/>
      <c r="I40" s="16"/>
    </row>
    <row r="41" spans="2:9" s="2" customFormat="1" ht="14.5" customHeight="1">
      <c r="B41" s="85" t="s">
        <v>32</v>
      </c>
      <c r="C41" s="86"/>
      <c r="D41" s="87"/>
      <c r="E41" s="12"/>
      <c r="F41" s="12"/>
      <c r="G41" s="88">
        <f>SUM(G6:G40)</f>
        <v>48.900000000000006</v>
      </c>
      <c r="H41" s="89"/>
      <c r="I41" s="90"/>
    </row>
    <row r="44" spans="2:9">
      <c r="B44" s="17" t="s">
        <v>81</v>
      </c>
      <c r="C44" s="18"/>
    </row>
    <row r="45" spans="2:9">
      <c r="C45" s="18"/>
    </row>
  </sheetData>
  <mergeCells count="4">
    <mergeCell ref="B1:I1"/>
    <mergeCell ref="B2:H2"/>
    <mergeCell ref="B41:D41"/>
    <mergeCell ref="G41:I41"/>
  </mergeCells>
  <phoneticPr fontId="10" type="noConversion"/>
  <dataValidations count="3">
    <dataValidation type="list" errorStyle="warning" allowBlank="1" sqref="C28:C40" xr:uid="{00000000-0002-0000-0000-000005000000}">
      <formula1>项目事项分类项目名称</formula1>
    </dataValidation>
    <dataValidation type="list" allowBlank="1" showInputMessage="1" showErrorMessage="1" sqref="F6:F40" xr:uid="{00000000-0002-0000-0000-000002000000}">
      <formula1>INDIRECT($E6)</formula1>
    </dataValidation>
    <dataValidation type="list" allowBlank="1" showInputMessage="1" showErrorMessage="1" sqref="H6:H40" xr:uid="{00000000-0002-0000-0000-000006000000}">
      <formula1>事项分类指定内容</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 D6:D8 D10:D19 D25:D40</xm:sqref>
        </x14:dataValidation>
        <x14:dataValidation type="list" allowBlank="1" showInputMessage="1" showErrorMessage="1" xr:uid="{00000000-0002-0000-0000-000007000000}">
          <x14:formula1>
            <xm:f>Tag!$B$2:$E$2</xm:f>
          </x14:formula1>
          <xm:sqref>E21 E6:E8 E10:E19 E25:E40</xm:sqref>
        </x14:dataValidation>
        <x14:dataValidation type="list" errorStyle="warning" allowBlank="1" xr:uid="{00000000-0002-0000-0000-000003000000}">
          <x14:formula1>
            <xm:f>'Exhibit I - Virtual Group'!$A$1:$A$7</xm:f>
          </x14:formula1>
          <xm:sqref>C21 C6:C8 C10:C19 C25:C27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2025-05-06T08:49:49Z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