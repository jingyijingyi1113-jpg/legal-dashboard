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Iris\"/>
    </mc:Choice>
  </mc:AlternateContent>
  <xr:revisionPtr revIDLastSave="0" documentId="13_ncr:1_{3DCC77D9-CB67-49B9-9D30-782DCBFEB772}"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0" i="1" l="1"/>
</calcChain>
</file>

<file path=xl/sharedStrings.xml><?xml version="1.0" encoding="utf-8"?>
<sst xmlns="http://schemas.openxmlformats.org/spreadsheetml/2006/main" count="655" uniqueCount="371">
  <si>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</si>
  <si>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</si>
  <si>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</si>
  <si>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</si>
  <si>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</si>
  <si>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</si>
  <si>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</si>
  <si>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</si>
  <si>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</si>
  <si>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</si>
  <si>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</si>
  <si>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</si>
  <si>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</si>
  <si>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</si>
  <si>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</si>
  <si>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</si>
  <si>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</si>
  <si>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</si>
  <si>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</si>
  <si>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</si>
  <si>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</si>
  <si>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</si>
  <si>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</si>
  <si>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</si>
  <si>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</si>
  <si>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</si>
  <si>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</si>
  <si>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</si>
  <si>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</si>
  <si>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</si>
  <si>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</si>
  <si>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</si>
  <si>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</si>
  <si>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</si>
  <si>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</si>
  <si>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</si>
  <si>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</si>
  <si>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</si>
  <si>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</si>
  <si>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</si>
  <si>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</si>
  <si>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</si>
  <si>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</si>
  <si>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</si>
  <si>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</si>
  <si>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</si>
  <si>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</si>
  <si>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</si>
  <si>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</si>
  <si>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</si>
  <si>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</si>
  <si>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</si>
  <si>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</si>
  <si>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</si>
  <si>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</si>
  <si>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</si>
  <si>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</si>
  <si>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</si>
  <si>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</si>
  <si>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</si>
  <si>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</si>
  <si>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</si>
  <si>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</si>
  <si>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</si>
  <si>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</si>
  <si>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</si>
  <si>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</si>
  <si>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</si>
  <si>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</si>
  <si>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</si>
  <si>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</si>
  <si>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</si>
  <si>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</si>
  <si>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</si>
  <si>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</si>
  <si>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</si>
  <si>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</si>
  <si>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</si>
  <si>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</si>
  <si>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</si>
  <si>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</si>
  <si>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</si>
  <si>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</si>
  <si>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</si>
  <si>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</si>
  <si>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</si>
  <si>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</si>
  <si>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</si>
  <si>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</si>
  <si>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</si>
  <si>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</si>
  <si>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</si>
  <si>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</si>
  <si>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</si>
  <si>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</si>
  <si>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</si>
  <si>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</si>
  <si>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</si>
  <si>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</si>
  <si>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</si>
  <si>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</si>
  <si>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</si>
  <si>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</si>
  <si>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</si>
  <si>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</si>
  <si>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</si>
  <si>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</si>
  <si>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</si>
  <si>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</si>
  <si>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</si>
  <si>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</si>
  <si>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</si>
  <si>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</si>
  <si>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</si>
  <si>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</si>
  <si>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</si>
  <si>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</si>
  <si>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</si>
  <si>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</si>
  <si>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</si>
  <si>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</si>
  <si>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</si>
  <si>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</si>
  <si>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</si>
  <si>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</si>
  <si>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</si>
  <si>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</si>
  <si>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</si>
  <si>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</si>
  <si>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</si>
  <si>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</si>
  <si>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</si>
  <si>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</si>
  <si>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</si>
  <si>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</si>
  <si>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</si>
  <si>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</si>
  <si>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</si>
  <si>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</si>
  <si>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</si>
  <si>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</si>
  <si>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</si>
  <si>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</si>
  <si>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</si>
  <si>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</si>
  <si>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</si>
  <si>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</si>
  <si>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</si>
  <si>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</si>
  <si>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</si>
  <si>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</si>
  <si>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</si>
  <si>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</si>
  <si>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</si>
  <si>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</si>
  <si>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</si>
  <si>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</si>
  <si>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</si>
  <si>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</si>
  <si>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</si>
  <si>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</si>
  <si>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</si>
  <si>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</si>
  <si>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</si>
  <si>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</si>
  <si>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</si>
  <si>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</si>
  <si>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</si>
  <si>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</si>
  <si>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</si>
  <si>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</si>
  <si>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</si>
  <si>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</si>
  <si>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</si>
  <si>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</si>
  <si>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</si>
  <si>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</si>
  <si>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</si>
  <si>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</si>
  <si>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</si>
  <si>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</si>
  <si>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</si>
  <si>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</si>
  <si>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</si>
  <si>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</si>
  <si>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</si>
  <si>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</si>
  <si>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</si>
  <si>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</si>
  <si>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</si>
  <si>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</si>
  <si>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</si>
  <si>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</si>
  <si>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</si>
  <si>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</si>
  <si>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</si>
  <si>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</si>
  <si>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</si>
  <si>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</si>
  <si>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</si>
  <si>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</si>
  <si>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</si>
  <si>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</si>
  <si>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</si>
  <si>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</si>
  <si>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</si>
  <si>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</si>
  <si>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</si>
  <si>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</si>
  <si>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</si>
  <si>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</si>
  <si>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</si>
  <si>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</si>
  <si>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</si>
  <si>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</si>
  <si>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</si>
  <si>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</si>
  <si>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</si>
  <si>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</si>
  <si>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</si>
  <si>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</si>
  <si>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</si>
  <si>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</si>
  <si>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</si>
  <si>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</si>
  <si>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</si>
  <si>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</si>
  <si>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</si>
  <si>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</si>
  <si>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</si>
  <si>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</si>
  <si>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</si>
  <si>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</si>
  <si>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</si>
  <si>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</si>
  <si>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</si>
  <si>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</si>
  <si>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</si>
  <si>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</si>
  <si>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</si>
  <si>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</si>
  <si>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</si>
  <si>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</si>
  <si>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</si>
  <si>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</si>
  <si>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</si>
  <si>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</si>
  <si>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</si>
  <si>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</si>
  <si>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</si>
  <si>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</si>
  <si>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</si>
  <si>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</si>
  <si>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</si>
  <si>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</si>
  <si>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</si>
  <si>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</si>
  <si>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</si>
  <si>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</si>
  <si>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</si>
  <si>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</si>
  <si>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</si>
  <si>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</si>
  <si>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</si>
  <si>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</si>
  <si>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</si>
  <si>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</si>
  <si>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</si>
  <si>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</si>
  <si>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</si>
  <si>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</si>
  <si>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</si>
  <si>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</si>
  <si>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</si>
  <si>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</si>
  <si>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</si>
  <si>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</si>
  <si>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</si>
  <si>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</si>
  <si>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</si>
  <si>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</si>
  <si>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</si>
  <si>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</si>
  <si>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</si>
  <si>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</si>
  <si>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</si>
  <si>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</si>
  <si>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</si>
  <si>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</si>
  <si>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</si>
  <si>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</si>
  <si>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</si>
  <si>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</si>
  <si>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</si>
  <si>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</si>
  <si>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</si>
  <si>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</si>
  <si>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</si>
  <si>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</si>
  <si>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</si>
  <si>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</si>
  <si>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</si>
  <si>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</si>
  <si>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</si>
  <si>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</si>
  <si>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</si>
  <si>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</si>
  <si>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</si>
  <si>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</si>
  <si>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</si>
  <si>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</si>
  <si>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</si>
  <si>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</si>
  <si>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</si>
  <si>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</si>
  <si>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</si>
  <si>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</si>
  <si>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</si>
  <si>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</si>
  <si>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</si>
  <si>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</si>
  <si>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</si>
  <si>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</si>
  <si>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</si>
  <si>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</si>
  <si>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</si>
  <si>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</si>
  <si>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</si>
  <si>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</si>
  <si>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</si>
  <si>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</si>
  <si>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</si>
  <si>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</si>
  <si>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</si>
  <si>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</si>
  <si>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</si>
  <si>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</si>
  <si>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</si>
  <si>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irisleong</t>
  </si>
  <si>
    <t xml:space="preserve">Reviewed emails to/from ZAM HRD Raymond Lui and SG Desiree re: closing their Singapore operations and SG legal advices on severance agreements. </t>
  </si>
  <si>
    <t xml:space="preserve">Reviewed and revised job postings and job descriptions for Recruiting team. </t>
  </si>
  <si>
    <r>
      <t>Date: 2025</t>
    </r>
    <r>
      <rPr>
        <b/>
        <sz val="10"/>
        <color theme="0"/>
        <rFont val="等线"/>
        <charset val="134"/>
      </rPr>
      <t xml:space="preserve">-04-14 </t>
    </r>
    <r>
      <rPr>
        <b/>
        <sz val="10"/>
        <color theme="0"/>
        <rFont val="新細明體"/>
        <family val="1"/>
        <charset val="136"/>
      </rPr>
      <t xml:space="preserve">- </t>
    </r>
    <r>
      <rPr>
        <b/>
        <sz val="10"/>
        <color theme="0"/>
        <rFont val="新細明體"/>
        <family val="2"/>
        <scheme val="minor"/>
      </rPr>
      <t>2025-04-20</t>
    </r>
  </si>
  <si>
    <t xml:space="preserve">Reviewed and revised the Offer Letter for the new CEO of LevelUp (Mazza).  Researched Brazil labor law issues.  Discussed the offer letter with HRBP Zoey.  </t>
  </si>
  <si>
    <t>Reviewed City of Carson's business license application re: zoning approval.  Discussed with LA/Irvine Office Manager (Michelle Zhang).</t>
  </si>
  <si>
    <t>Reviewed City of Irvine business license renewal  application.  Discussed with LA/Irvine Office Manager (Michelle Zhang).</t>
  </si>
  <si>
    <t xml:space="preserve">Completed our TA’s EPL insurance renewal application.  Discussed application with our insurance broker (Scott Taylor) to seek a 30 days extension.  </t>
  </si>
  <si>
    <t xml:space="preserve">Meeting with Hylant corporate insurance reps (Alex Zhu and Nan Shen) to discuss future vendor relationships with Tencent re: CGL, EPL, and employee benefits related insurances.  Discussed with HRD Yinuo and Finance Kristy. </t>
  </si>
  <si>
    <t>Beth Rui Zhang case (OIT):   Reviewed Beth's filed complaint.  Discussed case with external counsel and Zhao Liu.  Discussed case background timeline with HRD Yinuo.   Reached out to C&amp;B team, HRBP Yoky, and HRD Yinuo for docs request.</t>
  </si>
  <si>
    <t xml:space="preserve">Beth Rui Zhang case (OIT):  Reviewed her personnel files and uploaded docs to our external counsel's shared drive. Reviewed and revised Litigation Hold Notice draft. </t>
  </si>
  <si>
    <t xml:space="preserve">Reviewed emails re: settlement of the CSIG litigation case of Iraj Sodagar to/from external counsel.  Discussed settlement payment schedule with Zhao Liu.  Reached out to C&amp;B team and Finance team to initiate the process settlement checks. </t>
  </si>
  <si>
    <t xml:space="preserve">Kate Crane case (GPA): Reviewed the demand letter from a former GPA employee's counsel.  Discussed case with Zhao, HRBP Emily and Sana. Reached out to HR to pull her personnel file. </t>
  </si>
  <si>
    <t>Reviewed Operations Teresa's inquiry re: subletting ZAM's old space in our LA office to Cloud9 Esports.  Discussed conflict of interest issues with Teresa, Jamin and PR Sean.</t>
  </si>
  <si>
    <t xml:space="preserve">Reviewed and revised annual report for TA in Maryland.  Discussed errors with Paracorp.   Reviewed Paracorp invoices for annual report filings for TA and TC in Florida, 
</t>
  </si>
  <si>
    <t>Meeting with HRD Yinuo re: Timi Montreal's upcoming group layoff.  Further meeting with HRD Yinuo and Jamin to discuss about the Canada federal and Quebec law of group termination and notice requirements to the employees and the state.  Researched on Canada/Quebec's labor law on group terminations.  Reviewed emails to/from Canada external counsel.</t>
  </si>
  <si>
    <t xml:space="preserve">Discussed OIT group layoff employee Colin Zhang's severance issues.  Reviewed his severance package.  Prepped for his severance negotiation with HRBP Yoky. </t>
  </si>
  <si>
    <t xml:space="preserve">Dongyan Wang's (OIT) Norway visa ban case- Reviewed C&amp;B's email from Dongyan re: his reimbursement request for the debt collection invoice from the Oslo district court.  Discussed case with Zhao, Silvia, and external counsel.  </t>
  </si>
  <si>
    <t xml:space="preserve">Reviewed and discussed Recruiting &amp; C&amp;B's case re: a WA candidate with a noncompete with prior employer; we want to offer him a job located in CA and China for the 1st year.  Discussed issues with Recruiting, C&amp;B and Jamin. </t>
  </si>
  <si>
    <t xml:space="preserve">Reviewed and discussed the layoff of a TiMi Brazl employee (Marcelo Menezes) with HR Managers Sato and Sezzy. </t>
  </si>
  <si>
    <t xml:space="preserve">Received and reviewed 9 sets of Service of Process docs served to Tencent Cloud through our registered agent Paracorp, regarding the bankruptcy case (In re: Edgio, Inc.).  Received a subpoena for THL; sent subpoena to Zhao Liu.  Reviewed Paracorp invoices on the bankruptcy case filings, and sent to Finance team for processing. </t>
  </si>
  <si>
    <t>Reviewed Notion order form renewal for Procurement team (Jiawen Ye).  Discussed review with Jiawen.</t>
  </si>
  <si>
    <t>Reviewed 2 cases of OIT layoff- Jeff Xu and Pete Wang.  Jeff Xu has signed the severance.  Reviewed Pete Wang's followup Qs regarding employment benefits; Pete Wang has signed the severance agreement.</t>
  </si>
  <si>
    <t xml:space="preserve">Reviewed the layoff case update of a S3 Recruiter (Arman Jivani).  He has signed the severance agreement.  </t>
  </si>
  <si>
    <t>Continued to discuss with HR/Immigration (Yvonne), Sana and HRD Yinuo re: an US employee's OPT will be expiring before he can transfer back to China.  Discussed solutions and risk analysis.</t>
  </si>
  <si>
    <t xml:space="preserve">Reviewed and revised OIT's vendor SOW (GEM Strategic).  Sent to Yan Li for signature. </t>
  </si>
  <si>
    <t xml:space="preserve">Reviewed and revised 2 Temporary Employee Agreements for Lightspeed LA- Katie Burgess and Brynn Mitchell. </t>
  </si>
  <si>
    <t xml:space="preserve">Reviewed and approved legal invoices from Morgan Lewis. </t>
  </si>
  <si>
    <t xml:space="preserve">Reviewed and discussed C&amp;B team (Shaw Xia)'s inquiry on the Equal Pay Act compliance issue of a new WXG BD candidate (low base salary + 40% target bonus).  Continued to discuss compliance issues and case anaysis with Shaw Xia.
</t>
  </si>
  <si>
    <t xml:space="preserve">Updated weekly timesheet each day; and organized and replied to emails.   </t>
  </si>
  <si>
    <t xml:space="preserve">Discussed the layoff cases of a Media Lab employee (Zafar Shahid) with HRBP Jade, Sana, Annie and Janssy.  His termination date was set for 4/18/25 but he tried to resign the morning of 4/18/25 and to ask for 1 more week of work.  We decided to layoff him and still offer him the severance package. </t>
  </si>
  <si>
    <t xml:space="preserve">Reviewed Operations Teresa's request to remove a drone video of our LA office posted by a user on the RedNote social media app.  Reviewed the video and discussed issue with Teresa, Sky and Jamin. Sky reached out to RedNote app to request to remove the video. </t>
  </si>
  <si>
    <t xml:space="preserve">Reviewed C&amp;B (Wenjie)'s inquiry regarding a 30-day prior notice to terminate contract with Aon. Reviewed and revised our draft termination notice.  Discussed draft with Wenjie.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</si>
</sst>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4">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name val="Aptos"/>
      <family val="2"/>
    </font>
    <font>
      <i/>
      <sz val="10"/>
      <name val="新細明體"/>
      <family val="2"/>
      <scheme val="minor"/>
    </font>
    <font>
      <i/>
      <sz val="10"/>
      <color theme="1"/>
      <name val="新細明體"/>
      <family val="2"/>
      <scheme val="minor"/>
    </font>
    <font>
      <sz val="11"/>
      <color theme="1"/>
      <name val="Aptos"/>
      <family val="2"/>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4">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77" fontId="31" fillId="5" borderId="1" xfId="0" applyNumberFormat="1" applyFont="1" applyFill="1" applyBorder="1" applyAlignment="1">
      <alignment horizontal="center" vertical="center"/>
    </xf>
    <xf numFmtId="0" fontId="30" fillId="6" borderId="1" xfId="0" applyFont="1" applyFill="1" applyBorder="1" applyAlignment="1">
      <alignment vertical="center" wrapText="1"/>
    </xf>
    <xf numFmtId="0" fontId="30" fillId="0" borderId="1" xfId="0" applyFont="1" applyBorder="1" applyAlignment="1">
      <alignment vertical="center" wrapText="1"/>
    </xf>
    <xf numFmtId="177" fontId="32" fillId="5" borderId="1" xfId="0" applyNumberFormat="1" applyFont="1" applyFill="1" applyBorder="1" applyAlignment="1">
      <alignment horizontal="center" vertical="center"/>
    </xf>
    <xf numFmtId="0" fontId="33" fillId="6" borderId="1" xfId="0" applyFont="1" applyFill="1" applyBorder="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4"/>
  <sheetViews>
    <sheetView tabSelected="1" zoomScaleNormal="95" workbookViewId="0">
      <selection activeCell="E48" sqref="E48"/>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80" t="s">
        <v>0</v>
      </c>
      <c r="C1" s="81"/>
      <c r="D1" s="81"/>
      <c r="E1" s="81"/>
      <c r="F1" s="81"/>
      <c r="G1" s="81"/>
      <c r="H1" s="81"/>
      <c r="I1" s="81"/>
    </row>
    <row r="2" spans="1:9" ht="17">
      <c r="B2" s="82"/>
      <c r="C2" s="83"/>
      <c r="D2" s="83"/>
      <c r="E2" s="83"/>
      <c r="F2" s="83"/>
      <c r="G2" s="83"/>
      <c r="H2" s="83"/>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80.5" customHeight="1">
      <c r="B6" s="8" t="s">
        <v>338</v>
      </c>
      <c r="C6" s="9" t="s">
        <v>25</v>
      </c>
      <c r="D6" s="10" t="s">
        <v>26</v>
      </c>
      <c r="E6" s="10" t="s">
        <v>30</v>
      </c>
      <c r="F6" s="9" t="s">
        <v>325</v>
      </c>
      <c r="G6" s="11">
        <v>0.7</v>
      </c>
      <c r="H6" s="9" t="s">
        <v>27</v>
      </c>
      <c r="I6" s="76" t="s">
        <v>355</v>
      </c>
    </row>
    <row r="7" spans="1:9" s="2" customFormat="1" ht="90.5" customHeight="1">
      <c r="B7" s="8" t="s">
        <v>338</v>
      </c>
      <c r="C7" s="9" t="s">
        <v>25</v>
      </c>
      <c r="D7" s="10" t="s">
        <v>26</v>
      </c>
      <c r="E7" s="10" t="s">
        <v>30</v>
      </c>
      <c r="F7" s="9" t="s">
        <v>325</v>
      </c>
      <c r="G7" s="75">
        <v>3</v>
      </c>
      <c r="H7" s="9" t="s">
        <v>27</v>
      </c>
      <c r="I7" s="76" t="s">
        <v>347</v>
      </c>
    </row>
    <row r="8" spans="1:9" s="2" customFormat="1" ht="62" customHeight="1">
      <c r="B8" s="8" t="s">
        <v>338</v>
      </c>
      <c r="C8" s="9" t="s">
        <v>25</v>
      </c>
      <c r="D8" s="10" t="s">
        <v>26</v>
      </c>
      <c r="E8" s="10" t="s">
        <v>30</v>
      </c>
      <c r="F8" s="9" t="s">
        <v>325</v>
      </c>
      <c r="G8" s="75">
        <v>2.5</v>
      </c>
      <c r="H8" s="9" t="s">
        <v>73</v>
      </c>
      <c r="I8" s="76" t="s">
        <v>348</v>
      </c>
    </row>
    <row r="9" spans="1:9" s="2" customFormat="1" ht="62" customHeight="1">
      <c r="B9" s="8" t="s">
        <v>338</v>
      </c>
      <c r="C9" s="9" t="s">
        <v>25</v>
      </c>
      <c r="D9" s="10" t="s">
        <v>26</v>
      </c>
      <c r="E9" s="10" t="s">
        <v>30</v>
      </c>
      <c r="F9" s="9" t="s">
        <v>325</v>
      </c>
      <c r="G9" s="75">
        <v>0.5</v>
      </c>
      <c r="H9" s="9" t="s">
        <v>27</v>
      </c>
      <c r="I9" s="76" t="s">
        <v>354</v>
      </c>
    </row>
    <row r="10" spans="1:9" s="2" customFormat="1" ht="79.5" customHeight="1">
      <c r="B10" s="8" t="s">
        <v>338</v>
      </c>
      <c r="C10" s="9" t="s">
        <v>25</v>
      </c>
      <c r="D10" s="10" t="s">
        <v>26</v>
      </c>
      <c r="E10" s="10" t="s">
        <v>30</v>
      </c>
      <c r="F10" s="9" t="s">
        <v>325</v>
      </c>
      <c r="G10" s="75">
        <v>1.5</v>
      </c>
      <c r="H10" s="9" t="s">
        <v>27</v>
      </c>
      <c r="I10" s="76" t="s">
        <v>350</v>
      </c>
    </row>
    <row r="11" spans="1:9" s="2" customFormat="1" ht="89.5" customHeight="1">
      <c r="B11" s="8" t="s">
        <v>338</v>
      </c>
      <c r="C11" s="9" t="s">
        <v>25</v>
      </c>
      <c r="D11" s="10" t="s">
        <v>26</v>
      </c>
      <c r="E11" s="10" t="s">
        <v>30</v>
      </c>
      <c r="F11" s="9" t="s">
        <v>325</v>
      </c>
      <c r="G11" s="75">
        <v>1</v>
      </c>
      <c r="H11" s="9" t="s">
        <v>73</v>
      </c>
      <c r="I11" s="76" t="s">
        <v>349</v>
      </c>
    </row>
    <row r="12" spans="1:9" s="2" customFormat="1" ht="78" customHeight="1">
      <c r="B12" s="8" t="s">
        <v>338</v>
      </c>
      <c r="C12" s="9" t="s">
        <v>25</v>
      </c>
      <c r="D12" s="10" t="s">
        <v>26</v>
      </c>
      <c r="E12" s="10" t="s">
        <v>30</v>
      </c>
      <c r="F12" s="9" t="s">
        <v>325</v>
      </c>
      <c r="G12" s="78">
        <v>0.7</v>
      </c>
      <c r="H12" s="9" t="s">
        <v>73</v>
      </c>
      <c r="I12" s="79" t="s">
        <v>360</v>
      </c>
    </row>
    <row r="13" spans="1:9" s="2" customFormat="1" ht="104" customHeight="1">
      <c r="B13" s="8" t="s">
        <v>338</v>
      </c>
      <c r="C13" s="9" t="s">
        <v>25</v>
      </c>
      <c r="D13" s="10" t="s">
        <v>26</v>
      </c>
      <c r="E13" s="10" t="s">
        <v>30</v>
      </c>
      <c r="F13" s="9" t="s">
        <v>325</v>
      </c>
      <c r="G13" s="11">
        <v>2</v>
      </c>
      <c r="H13" s="9" t="s">
        <v>27</v>
      </c>
      <c r="I13" s="79" t="s">
        <v>368</v>
      </c>
    </row>
    <row r="14" spans="1:9" s="2" customFormat="1" ht="52" customHeight="1">
      <c r="B14" s="8" t="s">
        <v>338</v>
      </c>
      <c r="C14" s="9" t="s">
        <v>25</v>
      </c>
      <c r="D14" s="10" t="s">
        <v>26</v>
      </c>
      <c r="E14" s="10" t="s">
        <v>30</v>
      </c>
      <c r="F14" s="9" t="s">
        <v>325</v>
      </c>
      <c r="G14" s="11">
        <v>0.3</v>
      </c>
      <c r="H14" s="9" t="s">
        <v>73</v>
      </c>
      <c r="I14" s="76" t="s">
        <v>361</v>
      </c>
    </row>
    <row r="15" spans="1:9" s="2" customFormat="1" ht="61.5" customHeight="1">
      <c r="B15" s="8" t="s">
        <v>338</v>
      </c>
      <c r="C15" s="9" t="s">
        <v>25</v>
      </c>
      <c r="D15" s="10" t="s">
        <v>26</v>
      </c>
      <c r="E15" s="10" t="s">
        <v>30</v>
      </c>
      <c r="F15" s="9" t="s">
        <v>325</v>
      </c>
      <c r="G15" s="75">
        <v>3</v>
      </c>
      <c r="H15" s="9" t="s">
        <v>73</v>
      </c>
      <c r="I15" s="76" t="s">
        <v>342</v>
      </c>
    </row>
    <row r="16" spans="1:9" s="2" customFormat="1" ht="50" customHeight="1">
      <c r="B16" s="8" t="s">
        <v>338</v>
      </c>
      <c r="C16" s="9" t="s">
        <v>25</v>
      </c>
      <c r="D16" s="10" t="s">
        <v>26</v>
      </c>
      <c r="E16" s="10" t="s">
        <v>30</v>
      </c>
      <c r="F16" s="9" t="s">
        <v>325</v>
      </c>
      <c r="G16" s="75">
        <v>0.7</v>
      </c>
      <c r="H16" s="9" t="s">
        <v>27</v>
      </c>
      <c r="I16" s="76" t="s">
        <v>357</v>
      </c>
    </row>
    <row r="17" spans="2:9" s="2" customFormat="1" ht="132.5" customHeight="1">
      <c r="B17" s="8" t="s">
        <v>338</v>
      </c>
      <c r="C17" s="9" t="s">
        <v>25</v>
      </c>
      <c r="D17" s="10" t="s">
        <v>26</v>
      </c>
      <c r="E17" s="10" t="s">
        <v>30</v>
      </c>
      <c r="F17" s="9" t="s">
        <v>325</v>
      </c>
      <c r="G17" s="75">
        <v>1.5</v>
      </c>
      <c r="H17" s="9" t="s">
        <v>27</v>
      </c>
      <c r="I17" s="76" t="s">
        <v>353</v>
      </c>
    </row>
    <row r="18" spans="2:9" s="2" customFormat="1" ht="91.5" customHeight="1">
      <c r="B18" s="8" t="s">
        <v>338</v>
      </c>
      <c r="C18" s="9" t="s">
        <v>25</v>
      </c>
      <c r="D18" s="10" t="s">
        <v>26</v>
      </c>
      <c r="E18" s="10" t="s">
        <v>30</v>
      </c>
      <c r="F18" s="9" t="s">
        <v>325</v>
      </c>
      <c r="G18" s="75">
        <v>0.7</v>
      </c>
      <c r="H18" s="9" t="s">
        <v>27</v>
      </c>
      <c r="I18" s="76" t="s">
        <v>356</v>
      </c>
    </row>
    <row r="19" spans="2:9" s="2" customFormat="1" ht="88" customHeight="1">
      <c r="B19" s="8" t="s">
        <v>338</v>
      </c>
      <c r="C19" s="9" t="s">
        <v>25</v>
      </c>
      <c r="D19" s="10" t="s">
        <v>26</v>
      </c>
      <c r="E19" s="10" t="s">
        <v>30</v>
      </c>
      <c r="F19" s="9" t="s">
        <v>325</v>
      </c>
      <c r="G19" s="75">
        <v>1.5</v>
      </c>
      <c r="H19" s="9" t="s">
        <v>27</v>
      </c>
      <c r="I19" s="76" t="s">
        <v>366</v>
      </c>
    </row>
    <row r="20" spans="2:9" s="2" customFormat="1" ht="37.5" customHeight="1">
      <c r="B20" s="8" t="s">
        <v>338</v>
      </c>
      <c r="C20" s="9" t="s">
        <v>25</v>
      </c>
      <c r="D20" s="10" t="s">
        <v>26</v>
      </c>
      <c r="E20" s="10" t="s">
        <v>30</v>
      </c>
      <c r="F20" s="9" t="s">
        <v>325</v>
      </c>
      <c r="G20" s="75">
        <v>1</v>
      </c>
      <c r="H20" s="9" t="s">
        <v>73</v>
      </c>
      <c r="I20" s="79" t="s">
        <v>340</v>
      </c>
    </row>
    <row r="21" spans="2:9" s="2" customFormat="1" ht="60" customHeight="1">
      <c r="B21" s="8" t="s">
        <v>338</v>
      </c>
      <c r="C21" s="9" t="s">
        <v>25</v>
      </c>
      <c r="D21" s="10" t="s">
        <v>26</v>
      </c>
      <c r="E21" s="10" t="s">
        <v>30</v>
      </c>
      <c r="F21" s="9" t="s">
        <v>328</v>
      </c>
      <c r="G21" s="75">
        <v>0.5</v>
      </c>
      <c r="H21" s="9" t="s">
        <v>73</v>
      </c>
      <c r="I21" s="76" t="s">
        <v>339</v>
      </c>
    </row>
    <row r="22" spans="2:9" s="2" customFormat="1" ht="78.5" customHeight="1">
      <c r="B22" s="8" t="s">
        <v>338</v>
      </c>
      <c r="C22" s="9" t="s">
        <v>25</v>
      </c>
      <c r="D22" s="10" t="s">
        <v>26</v>
      </c>
      <c r="E22" s="10" t="s">
        <v>30</v>
      </c>
      <c r="F22" s="9" t="s">
        <v>328</v>
      </c>
      <c r="G22" s="78">
        <v>0.5</v>
      </c>
      <c r="H22" s="9" t="s">
        <v>27</v>
      </c>
      <c r="I22" s="76" t="s">
        <v>362</v>
      </c>
    </row>
    <row r="23" spans="2:9" s="2" customFormat="1" ht="65" customHeight="1">
      <c r="B23" s="8" t="s">
        <v>338</v>
      </c>
      <c r="C23" s="9" t="s">
        <v>25</v>
      </c>
      <c r="D23" s="10" t="s">
        <v>26</v>
      </c>
      <c r="E23" s="10" t="s">
        <v>30</v>
      </c>
      <c r="F23" s="9" t="s">
        <v>328</v>
      </c>
      <c r="G23" s="78">
        <v>0.7</v>
      </c>
      <c r="H23" s="9" t="s">
        <v>27</v>
      </c>
      <c r="I23" s="76" t="s">
        <v>370</v>
      </c>
    </row>
    <row r="24" spans="2:9" s="2" customFormat="1" ht="69.5" customHeight="1">
      <c r="B24" s="8" t="s">
        <v>338</v>
      </c>
      <c r="C24" s="9" t="s">
        <v>43</v>
      </c>
      <c r="D24" s="10" t="s">
        <v>47</v>
      </c>
      <c r="E24" s="10" t="s">
        <v>30</v>
      </c>
      <c r="F24" s="9" t="s">
        <v>332</v>
      </c>
      <c r="G24" s="75">
        <v>0.7</v>
      </c>
      <c r="H24" s="9" t="s">
        <v>73</v>
      </c>
      <c r="I24" s="76" t="s">
        <v>352</v>
      </c>
    </row>
    <row r="25" spans="2:9" s="2" customFormat="1" ht="62.5" customHeight="1">
      <c r="B25" s="8" t="s">
        <v>338</v>
      </c>
      <c r="C25" s="9" t="s">
        <v>28</v>
      </c>
      <c r="D25" s="10" t="s">
        <v>49</v>
      </c>
      <c r="E25" s="10" t="s">
        <v>30</v>
      </c>
      <c r="F25" s="9" t="s">
        <v>332</v>
      </c>
      <c r="G25" s="75">
        <v>0.5</v>
      </c>
      <c r="H25" s="9" t="s">
        <v>73</v>
      </c>
      <c r="I25" s="76" t="s">
        <v>345</v>
      </c>
    </row>
    <row r="26" spans="2:9" s="2" customFormat="1" ht="78" customHeight="1">
      <c r="B26" s="8" t="s">
        <v>338</v>
      </c>
      <c r="C26" s="9" t="s">
        <v>28</v>
      </c>
      <c r="D26" s="10" t="s">
        <v>49</v>
      </c>
      <c r="E26" s="10" t="s">
        <v>30</v>
      </c>
      <c r="F26" s="9" t="s">
        <v>332</v>
      </c>
      <c r="G26" s="11">
        <v>1.5</v>
      </c>
      <c r="H26" s="9" t="s">
        <v>74</v>
      </c>
      <c r="I26" s="76" t="s">
        <v>346</v>
      </c>
    </row>
    <row r="27" spans="2:9" s="2" customFormat="1" ht="49" customHeight="1">
      <c r="B27" s="8" t="s">
        <v>338</v>
      </c>
      <c r="C27" s="9" t="s">
        <v>28</v>
      </c>
      <c r="D27" s="10" t="s">
        <v>49</v>
      </c>
      <c r="E27" s="10" t="s">
        <v>30</v>
      </c>
      <c r="F27" s="9" t="s">
        <v>332</v>
      </c>
      <c r="G27" s="11">
        <v>1</v>
      </c>
      <c r="H27" s="9" t="s">
        <v>73</v>
      </c>
      <c r="I27" s="76" t="s">
        <v>343</v>
      </c>
    </row>
    <row r="28" spans="2:9" s="2" customFormat="1" ht="49" customHeight="1">
      <c r="B28" s="8" t="s">
        <v>338</v>
      </c>
      <c r="C28" s="9" t="s">
        <v>28</v>
      </c>
      <c r="D28" s="10" t="s">
        <v>49</v>
      </c>
      <c r="E28" s="10" t="s">
        <v>30</v>
      </c>
      <c r="F28" s="9" t="s">
        <v>332</v>
      </c>
      <c r="G28" s="11">
        <v>1</v>
      </c>
      <c r="H28" s="9" t="s">
        <v>27</v>
      </c>
      <c r="I28" s="76" t="s">
        <v>344</v>
      </c>
    </row>
    <row r="29" spans="2:9" s="2" customFormat="1" ht="64" customHeight="1">
      <c r="B29" s="8" t="s">
        <v>338</v>
      </c>
      <c r="C29" s="9" t="s">
        <v>28</v>
      </c>
      <c r="D29" s="10" t="s">
        <v>49</v>
      </c>
      <c r="E29" s="10" t="s">
        <v>30</v>
      </c>
      <c r="F29" s="9" t="s">
        <v>332</v>
      </c>
      <c r="G29" s="11">
        <v>0.5</v>
      </c>
      <c r="H29" s="9" t="s">
        <v>27</v>
      </c>
      <c r="I29" s="76" t="s">
        <v>351</v>
      </c>
    </row>
    <row r="30" spans="2:9" s="2" customFormat="1" ht="87.5" customHeight="1">
      <c r="B30" s="8" t="s">
        <v>338</v>
      </c>
      <c r="C30" s="9" t="s">
        <v>28</v>
      </c>
      <c r="D30" s="10" t="s">
        <v>49</v>
      </c>
      <c r="E30" s="10" t="s">
        <v>30</v>
      </c>
      <c r="F30" s="9" t="s">
        <v>332</v>
      </c>
      <c r="G30" s="11">
        <v>1</v>
      </c>
      <c r="H30" s="9" t="s">
        <v>27</v>
      </c>
      <c r="I30" s="76" t="s">
        <v>369</v>
      </c>
    </row>
    <row r="31" spans="2:9" s="2" customFormat="1" ht="46.5" customHeight="1">
      <c r="B31" s="8" t="s">
        <v>338</v>
      </c>
      <c r="C31" s="9" t="s">
        <v>28</v>
      </c>
      <c r="D31" s="10" t="s">
        <v>57</v>
      </c>
      <c r="E31" s="10" t="s">
        <v>30</v>
      </c>
      <c r="F31" s="9" t="s">
        <v>332</v>
      </c>
      <c r="G31" s="11">
        <v>0.5</v>
      </c>
      <c r="H31" s="9" t="s">
        <v>73</v>
      </c>
      <c r="I31" s="76" t="s">
        <v>359</v>
      </c>
    </row>
    <row r="32" spans="2:9" s="2" customFormat="1" ht="37.5" customHeight="1">
      <c r="B32" s="8" t="s">
        <v>338</v>
      </c>
      <c r="C32" s="9" t="s">
        <v>28</v>
      </c>
      <c r="D32" s="10" t="s">
        <v>31</v>
      </c>
      <c r="E32" s="10" t="s">
        <v>30</v>
      </c>
      <c r="F32" s="9" t="s">
        <v>326</v>
      </c>
      <c r="G32" s="11">
        <v>0.7</v>
      </c>
      <c r="H32" s="9" t="s">
        <v>73</v>
      </c>
      <c r="I32" s="76" t="s">
        <v>363</v>
      </c>
    </row>
    <row r="33" spans="2:9" s="2" customFormat="1" ht="49.5" customHeight="1">
      <c r="B33" s="8" t="s">
        <v>338</v>
      </c>
      <c r="C33" s="9" t="s">
        <v>28</v>
      </c>
      <c r="D33" s="10" t="s">
        <v>31</v>
      </c>
      <c r="E33" s="10" t="s">
        <v>30</v>
      </c>
      <c r="F33" s="9" t="s">
        <v>326</v>
      </c>
      <c r="G33" s="11">
        <v>1</v>
      </c>
      <c r="H33" s="9" t="s">
        <v>73</v>
      </c>
      <c r="I33" s="76" t="s">
        <v>364</v>
      </c>
    </row>
    <row r="34" spans="2:9" s="2" customFormat="1" ht="117" customHeight="1">
      <c r="B34" s="8" t="s">
        <v>338</v>
      </c>
      <c r="C34" s="9" t="s">
        <v>43</v>
      </c>
      <c r="D34" s="10" t="s">
        <v>18</v>
      </c>
      <c r="E34" s="10" t="s">
        <v>34</v>
      </c>
      <c r="F34" s="9" t="s">
        <v>42</v>
      </c>
      <c r="G34" s="11">
        <v>1.5</v>
      </c>
      <c r="H34" s="9" t="s">
        <v>73</v>
      </c>
      <c r="I34" s="76" t="s">
        <v>358</v>
      </c>
    </row>
    <row r="35" spans="2:9" s="2" customFormat="1" ht="29">
      <c r="B35" s="8" t="s">
        <v>338</v>
      </c>
      <c r="C35" s="9" t="s">
        <v>28</v>
      </c>
      <c r="D35" s="10" t="s">
        <v>31</v>
      </c>
      <c r="E35" s="10" t="s">
        <v>33</v>
      </c>
      <c r="F35" s="9" t="s">
        <v>36</v>
      </c>
      <c r="G35" s="11">
        <v>0.3</v>
      </c>
      <c r="H35" s="9" t="s">
        <v>31</v>
      </c>
      <c r="I35" s="77" t="s">
        <v>365</v>
      </c>
    </row>
    <row r="36" spans="2:9" s="2" customFormat="1" ht="29">
      <c r="B36" s="8" t="s">
        <v>338</v>
      </c>
      <c r="C36" s="9" t="s">
        <v>28</v>
      </c>
      <c r="D36" s="10" t="s">
        <v>31</v>
      </c>
      <c r="E36" s="10" t="s">
        <v>33</v>
      </c>
      <c r="F36" s="9" t="s">
        <v>39</v>
      </c>
      <c r="G36" s="11">
        <v>11</v>
      </c>
      <c r="H36" s="9" t="s">
        <v>31</v>
      </c>
      <c r="I36" s="76" t="s">
        <v>367</v>
      </c>
    </row>
    <row r="37" spans="2:9" s="2" customFormat="1" ht="13.5">
      <c r="B37" s="8"/>
      <c r="C37" s="9"/>
      <c r="D37" s="10"/>
      <c r="E37" s="10"/>
      <c r="F37" s="9"/>
      <c r="G37" s="11"/>
      <c r="H37" s="9"/>
      <c r="I37" s="16"/>
    </row>
    <row r="38" spans="2:9" s="2" customFormat="1" ht="13.5">
      <c r="B38" s="8"/>
      <c r="C38" s="9"/>
      <c r="D38" s="10"/>
      <c r="E38" s="10"/>
      <c r="F38" s="9"/>
      <c r="G38" s="11"/>
      <c r="H38" s="9"/>
      <c r="I38" s="16"/>
    </row>
    <row r="39" spans="2:9" s="2" customFormat="1" ht="13.5">
      <c r="B39" s="8"/>
      <c r="C39" s="9"/>
      <c r="D39" s="10"/>
      <c r="E39" s="10"/>
      <c r="F39" s="9"/>
      <c r="G39" s="11"/>
      <c r="H39" s="9"/>
      <c r="I39" s="16"/>
    </row>
    <row r="40" spans="2:9" s="2" customFormat="1" ht="14.5" customHeight="1">
      <c r="B40" s="84" t="s">
        <v>32</v>
      </c>
      <c r="C40" s="85"/>
      <c r="D40" s="86"/>
      <c r="E40" s="12"/>
      <c r="F40" s="12"/>
      <c r="G40" s="87">
        <f>SUM(G6:G39)</f>
        <v>43.499999999999993</v>
      </c>
      <c r="H40" s="88"/>
      <c r="I40" s="89"/>
    </row>
    <row r="43" spans="2:9">
      <c r="B43" s="17" t="s">
        <v>81</v>
      </c>
      <c r="C43" s="18"/>
    </row>
    <row r="44" spans="2:9">
      <c r="C44" s="18"/>
    </row>
  </sheetData>
  <mergeCells count="4">
    <mergeCell ref="B1:I1"/>
    <mergeCell ref="B2:H2"/>
    <mergeCell ref="B40:D40"/>
    <mergeCell ref="G40:I40"/>
  </mergeCells>
  <phoneticPr fontId="10" type="noConversion"/>
  <dataValidations count="3">
    <dataValidation type="list" errorStyle="warning" allowBlank="1" sqref="C25:C39" xr:uid="{00000000-0002-0000-0000-000005000000}">
      <formula1>项目事项分类项目名称</formula1>
    </dataValidation>
    <dataValidation type="list" allowBlank="1" showInputMessage="1" showErrorMessage="1" sqref="F6:F39" xr:uid="{00000000-0002-0000-0000-000002000000}">
      <formula1>INDIRECT($E6)</formula1>
    </dataValidation>
    <dataValidation type="list" allowBlank="1" showInputMessage="1" showErrorMessage="1" sqref="H6:H39" xr:uid="{00000000-0002-0000-0000-000006000000}">
      <formula1>事项分类指定内容</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D12:D14 D6:D10 D19:D20 D24:D39</xm:sqref>
        </x14:dataValidation>
        <x14:dataValidation type="list" allowBlank="1" showInputMessage="1" showErrorMessage="1" xr:uid="{00000000-0002-0000-0000-000007000000}">
          <x14:formula1>
            <xm:f>Tag!$B$2:$E$2</xm:f>
          </x14:formula1>
          <xm:sqref>E12:E14 E6:E10 E19:E20 E24:E39</xm:sqref>
        </x14:dataValidation>
        <x14:dataValidation type="list" errorStyle="warning" allowBlank="1" xr:uid="{00000000-0002-0000-0000-000003000000}">
          <x14:formula1>
            <xm:f>'Exhibit I - Virtual Group'!$A$1:$A$7</xm:f>
          </x14:formula1>
          <xm:sqref>C24 C12:C14 C6:C10 C19:C20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337</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90" t="s">
        <v>92</v>
      </c>
      <c r="D1" s="91"/>
      <c r="E1" s="91"/>
      <c r="F1" s="91"/>
      <c r="G1" s="91"/>
      <c r="H1" s="91"/>
      <c r="I1" s="91"/>
      <c r="J1" s="91"/>
      <c r="K1" s="91"/>
      <c r="L1" s="91"/>
      <c r="M1" s="91"/>
      <c r="N1" s="91"/>
    </row>
    <row r="2" spans="2:14">
      <c r="C2" s="92" t="s">
        <v>93</v>
      </c>
      <c r="D2" s="92"/>
      <c r="E2" s="92"/>
      <c r="F2" s="92"/>
      <c r="G2" s="92"/>
      <c r="H2" s="92"/>
      <c r="I2" s="92"/>
      <c r="J2" s="92"/>
      <c r="K2" s="92"/>
      <c r="L2" s="92"/>
      <c r="M2" s="92"/>
      <c r="N2" s="92"/>
    </row>
    <row r="3" spans="2:14">
      <c r="C3" s="93" t="s">
        <v>94</v>
      </c>
      <c r="D3" s="95" t="s">
        <v>95</v>
      </c>
      <c r="E3" s="96"/>
      <c r="F3" s="93" t="s">
        <v>96</v>
      </c>
      <c r="G3" s="93" t="s">
        <v>97</v>
      </c>
      <c r="H3" s="93" t="s">
        <v>98</v>
      </c>
      <c r="I3" s="99" t="s">
        <v>99</v>
      </c>
      <c r="J3" s="93" t="s">
        <v>63</v>
      </c>
      <c r="K3" s="100" t="s">
        <v>62</v>
      </c>
      <c r="L3" s="101"/>
      <c r="M3" s="101"/>
      <c r="N3" s="102"/>
    </row>
    <row r="4" spans="2:14">
      <c r="C4" s="94"/>
      <c r="D4" s="97"/>
      <c r="E4" s="98"/>
      <c r="F4" s="94"/>
      <c r="G4" s="94"/>
      <c r="H4" s="94"/>
      <c r="I4" s="94"/>
      <c r="J4" s="94"/>
      <c r="K4" s="20" t="s">
        <v>64</v>
      </c>
      <c r="L4" s="20" t="s">
        <v>65</v>
      </c>
      <c r="M4" s="20" t="s">
        <v>66</v>
      </c>
      <c r="N4" s="20" t="s">
        <v>67</v>
      </c>
    </row>
    <row r="5" spans="2:14" ht="108.5" outlineLevel="1">
      <c r="C5" s="21" t="s">
        <v>100</v>
      </c>
      <c r="D5" s="103" t="s">
        <v>101</v>
      </c>
      <c r="E5" s="104"/>
      <c r="F5" s="22" t="s">
        <v>102</v>
      </c>
      <c r="G5" s="21" t="s">
        <v>103</v>
      </c>
      <c r="H5" s="21" t="s">
        <v>104</v>
      </c>
      <c r="I5" s="21" t="s">
        <v>105</v>
      </c>
      <c r="J5" s="21" t="s">
        <v>106</v>
      </c>
      <c r="K5" s="105" t="s">
        <v>107</v>
      </c>
      <c r="L5" s="105"/>
      <c r="M5" s="105"/>
      <c r="N5" s="105"/>
    </row>
    <row r="6" spans="2:14" s="23" customFormat="1" ht="201.5" outlineLevel="1">
      <c r="B6" s="106"/>
      <c r="C6" s="107" t="s">
        <v>108</v>
      </c>
      <c r="D6" s="111"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6"/>
      <c r="C7" s="108"/>
      <c r="D7" s="108"/>
      <c r="E7" s="32" t="s">
        <v>116</v>
      </c>
      <c r="F7" s="33" t="s">
        <v>117</v>
      </c>
      <c r="G7" s="27" t="s">
        <v>118</v>
      </c>
      <c r="H7" s="34">
        <v>5</v>
      </c>
      <c r="I7" s="35" t="s">
        <v>119</v>
      </c>
      <c r="J7" s="29" t="s">
        <v>120</v>
      </c>
      <c r="K7" s="36" t="s">
        <v>121</v>
      </c>
      <c r="L7" s="37" t="s">
        <v>115</v>
      </c>
      <c r="M7" s="36" t="s">
        <v>122</v>
      </c>
      <c r="N7" s="38" t="s">
        <v>123</v>
      </c>
    </row>
    <row r="8" spans="2:14" s="23" customFormat="1" ht="217" outlineLevel="1">
      <c r="B8" s="106"/>
      <c r="C8" s="109"/>
      <c r="D8" s="112"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6"/>
      <c r="C9" s="109"/>
      <c r="D9" s="113"/>
      <c r="E9" s="27" t="s">
        <v>131</v>
      </c>
      <c r="F9" s="26" t="s">
        <v>132</v>
      </c>
      <c r="G9" s="39" t="s">
        <v>133</v>
      </c>
      <c r="H9" s="28">
        <v>5</v>
      </c>
      <c r="I9" s="29" t="s">
        <v>128</v>
      </c>
      <c r="J9" s="29" t="s">
        <v>134</v>
      </c>
      <c r="K9" s="39" t="s">
        <v>135</v>
      </c>
      <c r="L9" s="39" t="s">
        <v>136</v>
      </c>
      <c r="M9" s="39" t="s">
        <v>137</v>
      </c>
      <c r="N9" s="38" t="s">
        <v>137</v>
      </c>
    </row>
    <row r="10" spans="2:14" s="23" customFormat="1" ht="77.5" outlineLevel="1">
      <c r="B10" s="106"/>
      <c r="C10" s="108"/>
      <c r="D10" s="114" t="s">
        <v>138</v>
      </c>
      <c r="E10" s="98"/>
      <c r="F10" s="27" t="s">
        <v>139</v>
      </c>
      <c r="G10" s="40" t="s">
        <v>140</v>
      </c>
      <c r="H10" s="35">
        <v>4</v>
      </c>
      <c r="I10" s="29" t="s">
        <v>128</v>
      </c>
      <c r="J10" s="30" t="s">
        <v>141</v>
      </c>
      <c r="K10" s="39" t="s">
        <v>142</v>
      </c>
      <c r="L10" s="39" t="s">
        <v>142</v>
      </c>
      <c r="M10" s="39" t="s">
        <v>142</v>
      </c>
      <c r="N10" s="38" t="s">
        <v>142</v>
      </c>
    </row>
    <row r="11" spans="2:14" s="23" customFormat="1" ht="263.5" outlineLevel="1">
      <c r="B11" s="106"/>
      <c r="C11" s="108"/>
      <c r="D11" s="111" t="s">
        <v>143</v>
      </c>
      <c r="E11" s="104"/>
      <c r="F11" s="27" t="s">
        <v>144</v>
      </c>
      <c r="G11" s="27" t="s">
        <v>145</v>
      </c>
      <c r="H11" s="28">
        <v>5</v>
      </c>
      <c r="I11" s="29" t="s">
        <v>146</v>
      </c>
      <c r="J11" s="29" t="s">
        <v>147</v>
      </c>
      <c r="K11" s="29" t="s">
        <v>148</v>
      </c>
      <c r="L11" s="29" t="s">
        <v>148</v>
      </c>
      <c r="M11" s="29" t="s">
        <v>148</v>
      </c>
      <c r="N11" s="29" t="s">
        <v>148</v>
      </c>
    </row>
    <row r="12" spans="2:14" s="23" customFormat="1" ht="409.5" outlineLevel="1">
      <c r="B12" s="106"/>
      <c r="C12" s="109"/>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9"/>
      <c r="D13" s="115"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0"/>
      <c r="D14" s="116"/>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7"/>
      <c r="D15" s="116"/>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6"/>
      <c r="C16" s="117" t="s">
        <v>167</v>
      </c>
      <c r="D16" s="120"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6"/>
      <c r="C17" s="118"/>
      <c r="D17" s="121"/>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6"/>
      <c r="C18" s="118"/>
      <c r="D18" s="122" t="s">
        <v>85</v>
      </c>
      <c r="E18" s="123"/>
      <c r="F18" s="44" t="s">
        <v>179</v>
      </c>
      <c r="G18" s="44" t="s">
        <v>180</v>
      </c>
      <c r="H18" s="42">
        <v>5</v>
      </c>
      <c r="I18" s="29" t="s">
        <v>181</v>
      </c>
      <c r="J18" s="29" t="s">
        <v>26</v>
      </c>
      <c r="K18" s="36" t="s">
        <v>182</v>
      </c>
      <c r="L18" s="36" t="s">
        <v>183</v>
      </c>
      <c r="M18" s="36" t="s">
        <v>183</v>
      </c>
      <c r="N18" s="38" t="s">
        <v>183</v>
      </c>
    </row>
    <row r="19" spans="2:14" s="23" customFormat="1" ht="155" outlineLevel="1">
      <c r="B19" s="106"/>
      <c r="C19" s="118"/>
      <c r="D19" s="124" t="s">
        <v>86</v>
      </c>
      <c r="E19" s="104"/>
      <c r="F19" s="44" t="s">
        <v>184</v>
      </c>
      <c r="G19" s="27" t="s">
        <v>175</v>
      </c>
      <c r="H19" s="42">
        <v>5</v>
      </c>
      <c r="I19" s="29" t="s">
        <v>185</v>
      </c>
      <c r="J19" s="44" t="s">
        <v>186</v>
      </c>
      <c r="K19" s="36" t="s">
        <v>187</v>
      </c>
      <c r="L19" s="36" t="s">
        <v>187</v>
      </c>
      <c r="M19" s="36" t="s">
        <v>187</v>
      </c>
      <c r="N19" s="49" t="s">
        <v>187</v>
      </c>
    </row>
    <row r="20" spans="2:14" s="23" customFormat="1" ht="93" outlineLevel="1">
      <c r="B20" s="106"/>
      <c r="C20" s="119"/>
      <c r="D20" s="125" t="s">
        <v>87</v>
      </c>
      <c r="E20" s="126"/>
      <c r="F20" s="50" t="s">
        <v>188</v>
      </c>
      <c r="G20" s="44" t="s">
        <v>70</v>
      </c>
      <c r="H20" s="42">
        <v>5</v>
      </c>
      <c r="I20" s="29" t="s">
        <v>189</v>
      </c>
      <c r="J20" s="29" t="s">
        <v>190</v>
      </c>
      <c r="K20" s="36" t="s">
        <v>191</v>
      </c>
      <c r="L20" s="36" t="s">
        <v>192</v>
      </c>
      <c r="M20" s="36" t="s">
        <v>191</v>
      </c>
      <c r="N20" s="38" t="s">
        <v>191</v>
      </c>
    </row>
    <row r="21" spans="2:14" ht="170.5">
      <c r="B21" s="106"/>
      <c r="C21" s="118"/>
      <c r="D21" s="127"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6"/>
      <c r="C22" s="118"/>
      <c r="D22" s="97"/>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6"/>
      <c r="C23" s="117"/>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6"/>
      <c r="C24" s="118"/>
      <c r="D24" s="124" t="s">
        <v>214</v>
      </c>
      <c r="E24" s="96"/>
      <c r="F24" s="44" t="s">
        <v>215</v>
      </c>
      <c r="G24" s="44" t="s">
        <v>216</v>
      </c>
      <c r="H24" s="42">
        <v>5</v>
      </c>
      <c r="I24" s="29" t="s">
        <v>128</v>
      </c>
      <c r="J24" s="29" t="s">
        <v>141</v>
      </c>
      <c r="K24" s="29" t="s">
        <v>217</v>
      </c>
      <c r="L24" s="29" t="s">
        <v>218</v>
      </c>
      <c r="M24" s="29" t="s">
        <v>218</v>
      </c>
      <c r="N24" s="29" t="s">
        <v>218</v>
      </c>
    </row>
    <row r="25" spans="2:14" s="23" customFormat="1" ht="310" outlineLevel="1">
      <c r="B25" s="106"/>
      <c r="C25" s="119"/>
      <c r="D25" s="125" t="s">
        <v>219</v>
      </c>
      <c r="E25" s="126"/>
      <c r="F25" s="50" t="s">
        <v>220</v>
      </c>
      <c r="G25" s="44" t="s">
        <v>221</v>
      </c>
      <c r="H25" s="42">
        <v>5</v>
      </c>
      <c r="I25" s="29" t="s">
        <v>128</v>
      </c>
      <c r="J25" s="29" t="s">
        <v>222</v>
      </c>
      <c r="K25" s="29" t="s">
        <v>223</v>
      </c>
      <c r="L25" s="29" t="s">
        <v>224</v>
      </c>
      <c r="M25" s="29" t="s">
        <v>225</v>
      </c>
      <c r="N25" s="29" t="s">
        <v>226</v>
      </c>
    </row>
    <row r="26" spans="2:14" s="23" customFormat="1" ht="409.5" outlineLevel="1">
      <c r="B26" s="106"/>
      <c r="C26" s="118"/>
      <c r="D26" s="120"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6"/>
      <c r="C27" s="118"/>
      <c r="D27" s="128"/>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6"/>
      <c r="C28" s="118"/>
      <c r="D28" s="122" t="s">
        <v>89</v>
      </c>
      <c r="E28" s="123"/>
      <c r="F28" s="44" t="s">
        <v>243</v>
      </c>
      <c r="G28" s="44" t="s">
        <v>244</v>
      </c>
      <c r="H28" s="42">
        <v>5</v>
      </c>
      <c r="I28" s="29" t="s">
        <v>245</v>
      </c>
      <c r="J28" s="55" t="s">
        <v>246</v>
      </c>
      <c r="K28" s="29" t="s">
        <v>247</v>
      </c>
      <c r="L28" s="29" t="s">
        <v>247</v>
      </c>
      <c r="M28" s="29" t="s">
        <v>248</v>
      </c>
      <c r="N28" s="29" t="s">
        <v>248</v>
      </c>
    </row>
    <row r="29" spans="2:14" s="23" customFormat="1" ht="139.5" outlineLevel="1">
      <c r="B29" s="106"/>
      <c r="C29" s="117" t="s">
        <v>249</v>
      </c>
      <c r="D29" s="130"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6"/>
      <c r="C30" s="129"/>
      <c r="D30" s="131"/>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6"/>
      <c r="C31" s="129"/>
      <c r="D31" s="120"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6"/>
      <c r="C32" s="129"/>
      <c r="D32" s="132"/>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6"/>
      <c r="C33" s="117" t="s">
        <v>270</v>
      </c>
      <c r="D33" s="107"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6"/>
      <c r="C34" s="118"/>
      <c r="D34" s="133"/>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6"/>
      <c r="C35" s="118"/>
      <c r="D35" s="121"/>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6"/>
      <c r="C36" s="118"/>
      <c r="D36" s="107"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6"/>
      <c r="C37" s="118"/>
      <c r="D37" s="121"/>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6"/>
      <c r="C38" s="118"/>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2025-05-06T08:49:28Z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