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9A01A9F6-2C17-4C61-B0CD-5C0AE66BAB7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alcChain>
</file>

<file path=xl/sharedStrings.xml><?xml version="1.0" encoding="utf-8"?>
<sst xmlns="http://schemas.openxmlformats.org/spreadsheetml/2006/main" count="655" uniqueCount="371">
  <si>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</si>
  <si>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</si>
  <si>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</si>
  <si>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</si>
  <si>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</si>
  <si>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</si>
  <si>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</si>
  <si>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</si>
  <si>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</si>
  <si>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</si>
  <si>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</si>
  <si>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</si>
  <si>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</si>
  <si>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</si>
  <si>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</si>
  <si>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</si>
  <si>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</si>
  <si>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</si>
  <si>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</si>
  <si>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</si>
  <si>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</si>
  <si>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</si>
  <si>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</si>
  <si>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</si>
  <si>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</si>
  <si>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</si>
  <si>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</si>
  <si>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</si>
  <si>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</si>
  <si>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</si>
  <si>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</si>
  <si>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</si>
  <si>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</si>
  <si>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</si>
  <si>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</si>
  <si>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</si>
  <si>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</si>
  <si>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</si>
  <si>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</si>
  <si>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</si>
  <si>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</si>
  <si>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</si>
  <si>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</si>
  <si>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</si>
  <si>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</si>
  <si>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</si>
  <si>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</si>
  <si>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</si>
  <si>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</si>
  <si>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</si>
  <si>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</si>
  <si>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</si>
  <si>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</si>
  <si>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</si>
  <si>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</si>
  <si>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</si>
  <si>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</si>
  <si>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</si>
  <si>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</si>
  <si>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</si>
  <si>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</si>
  <si>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</si>
  <si>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</si>
  <si>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</si>
  <si>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</si>
  <si>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</si>
  <si>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</si>
  <si>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</si>
  <si>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</si>
  <si>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</si>
  <si>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</si>
  <si>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</si>
  <si>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</si>
  <si>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</si>
  <si>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</si>
  <si>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</si>
  <si>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</si>
  <si>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</si>
  <si>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</si>
  <si>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</si>
  <si>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</si>
  <si>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</si>
  <si>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</si>
  <si>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</si>
  <si>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</si>
  <si>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</si>
  <si>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</si>
  <si>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</si>
  <si>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</si>
  <si>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</si>
  <si>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</si>
  <si>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</si>
  <si>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</si>
  <si>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</si>
  <si>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</si>
  <si>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</si>
  <si>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</si>
  <si>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</si>
  <si>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</si>
  <si>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</si>
  <si>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</si>
  <si>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</si>
  <si>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</si>
  <si>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</si>
  <si>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</si>
  <si>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</si>
  <si>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</si>
  <si>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</si>
  <si>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</si>
  <si>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</si>
  <si>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</si>
  <si>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</si>
  <si>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</si>
  <si>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</si>
  <si>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</si>
  <si>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</si>
  <si>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</si>
  <si>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</si>
  <si>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</si>
  <si>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</si>
  <si>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</si>
  <si>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</si>
  <si>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</si>
  <si>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</si>
  <si>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</si>
  <si>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</si>
  <si>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</si>
  <si>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</si>
  <si>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</si>
  <si>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</si>
  <si>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</si>
  <si>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</si>
  <si>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</si>
  <si>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</si>
  <si>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</si>
  <si>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</si>
  <si>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</si>
  <si>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</si>
  <si>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</si>
  <si>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</si>
  <si>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</si>
  <si>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</si>
  <si>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</si>
  <si>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</si>
  <si>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</si>
  <si>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</si>
  <si>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</si>
  <si>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</si>
  <si>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</si>
  <si>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</si>
  <si>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</si>
  <si>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</si>
  <si>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</si>
  <si>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</si>
  <si>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</si>
  <si>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</si>
  <si>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</si>
  <si>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</si>
  <si>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</si>
  <si>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</si>
  <si>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</si>
  <si>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</si>
  <si>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</si>
  <si>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</si>
  <si>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</si>
  <si>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</si>
  <si>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</si>
  <si>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</si>
  <si>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</si>
  <si>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</si>
  <si>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</si>
  <si>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</si>
  <si>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</si>
  <si>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</si>
  <si>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</si>
  <si>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</si>
  <si>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</si>
  <si>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</si>
  <si>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</si>
  <si>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</si>
  <si>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</si>
  <si>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</si>
  <si>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</si>
  <si>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</si>
  <si>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</si>
  <si>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</si>
  <si>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</si>
  <si>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</si>
  <si>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</si>
  <si>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</si>
  <si>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</si>
  <si>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</si>
  <si>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</si>
  <si>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</si>
  <si>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</si>
  <si>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</si>
  <si>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</si>
  <si>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</si>
  <si>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</si>
  <si>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</si>
  <si>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</si>
  <si>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</si>
  <si>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</si>
  <si>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</si>
  <si>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</si>
  <si>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</si>
  <si>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</si>
  <si>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</si>
  <si>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</si>
  <si>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</si>
  <si>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</si>
  <si>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</si>
  <si>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</si>
  <si>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</si>
  <si>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</si>
  <si>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</si>
  <si>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</si>
  <si>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</si>
  <si>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</si>
  <si>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</si>
  <si>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</si>
  <si>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</si>
  <si>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</si>
  <si>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</si>
  <si>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</si>
  <si>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</si>
  <si>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</si>
  <si>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</si>
  <si>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</si>
  <si>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</si>
  <si>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</si>
  <si>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</si>
  <si>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</si>
  <si>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</si>
  <si>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</si>
  <si>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</si>
  <si>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</si>
  <si>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</si>
  <si>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</si>
  <si>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</si>
  <si>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</si>
  <si>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</si>
  <si>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</si>
  <si>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</si>
  <si>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</si>
  <si>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</si>
  <si>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</si>
  <si>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</si>
  <si>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</si>
  <si>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</si>
  <si>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</si>
  <si>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</si>
  <si>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</si>
  <si>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</si>
  <si>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</si>
  <si>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</si>
  <si>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</si>
  <si>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</si>
  <si>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</si>
  <si>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</si>
  <si>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</si>
  <si>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</si>
  <si>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</si>
  <si>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</si>
  <si>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</si>
  <si>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</si>
  <si>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</si>
  <si>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</si>
  <si>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</si>
  <si>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</si>
  <si>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</si>
  <si>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</si>
  <si>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</si>
  <si>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</si>
  <si>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</si>
  <si>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</si>
  <si>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</si>
  <si>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</si>
  <si>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</si>
  <si>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</si>
  <si>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</si>
  <si>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</si>
  <si>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</si>
  <si>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</si>
  <si>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</si>
  <si>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</si>
  <si>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</si>
  <si>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</si>
  <si>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</si>
  <si>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</si>
  <si>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</si>
  <si>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</si>
  <si>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</si>
  <si>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</si>
  <si>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</si>
  <si>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</si>
  <si>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</si>
  <si>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</si>
  <si>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</si>
  <si>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</si>
  <si>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</si>
  <si>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</si>
  <si>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</si>
  <si>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</si>
  <si>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</si>
  <si>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</si>
  <si>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</si>
  <si>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</si>
  <si>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</si>
  <si>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</si>
  <si>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</si>
  <si>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</si>
  <si>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</si>
  <si>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</si>
  <si>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</si>
  <si>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</si>
  <si>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</si>
  <si>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</si>
  <si>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</si>
  <si>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</si>
  <si>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</si>
  <si>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</si>
  <si>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</si>
  <si>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</si>
  <si>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</si>
  <si>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</si>
  <si>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</si>
  <si>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</si>
  <si>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</si>
  <si>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</si>
  <si>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</si>
  <si>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</si>
  <si>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</si>
  <si>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</si>
  <si>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</si>
  <si>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</si>
  <si>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</si>
  <si>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</si>
  <si>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</si>
  <si>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5th Amendment to ZAM's Space Sharing Agreement for LA office: Reviewed emails to/from ZAM regarding the contract. Sent contract to Yan Li via Docusign for his signature. </t>
  </si>
  <si>
    <t>Reviewed the updated Scholarship Americas's MSA re: our high school scholarship program for our HR and TAMC's new initiative.  Sent contract to Brent via Docusign for his signature.</t>
  </si>
  <si>
    <t xml:space="preserve">Reviewed WeChat msgs to/from ZAM HRD Raymond and Tencent China Legal (Ashley Zhang) re: hiring a former employee as an independent contractor in China.  </t>
  </si>
  <si>
    <t xml:space="preserve">Reviewed emails to/from ZAM HRD Raymond Lui and SG Desiree re: SG office group layoff set on 4/30.  </t>
  </si>
  <si>
    <t xml:space="preserve">Reviewed 401K investment review docs to prep for the committee meeting.  Attended 401K committee meeting with Fidelity, HR, Finance, and Legal members. </t>
  </si>
  <si>
    <t xml:space="preserve">Kate Crane case (GPA):  Reviewed case file to prep for meeting with external counsel.  Meeting with Zhao &amp; external counsel to discuss Kate Crane's case. </t>
  </si>
  <si>
    <t>Reviewed OIT group employee Lynette Qu's severance agreement.  Reviewed emails to/from HRBP Yoky and C&amp;B team.  She has signed our severance agreement.</t>
  </si>
  <si>
    <t xml:space="preserve">Reviewed and discussed with HRBP Zoey &amp; Sana re: an upcoming layoff case of a Central Publishing EE (judordaz) set for May 9th.  Reviewed and revised draft termination communication script. </t>
  </si>
  <si>
    <t xml:space="preserve">Attended Corporate Legal's biweekly team meeting.  Drafted speaking points for the meeting. </t>
  </si>
  <si>
    <t xml:space="preserve">Reviewed TA’s EPL insurance renewal extension for 30 days.  Reviewed the invoice and sent to Finance for processing.  Reviewed and replied to EPL insurance broker's followup Qs to our renewal application. </t>
  </si>
  <si>
    <t xml:space="preserve">Discussed with HRBPs Lili and Jade re: updating TC Sales Commission Bonus plan to reflect RMB versus USD.  Reviewed revised TC plan.
</t>
  </si>
  <si>
    <t xml:space="preserve">Lunch meeting with Hylant corporate insurance rep (Alex Zhu), HRD Yinuo, and Finance Kristy &amp; Sarah to discuss Hylant's insurance programs on CGL, EPL, and employee benefits related insurances.  </t>
  </si>
  <si>
    <t xml:space="preserve">Discussed ZAM's layoff this week with HRD Raymond.  Discussed with Office Manager (Sky) re: ZAM's layoff issues and dropping off 6 EEs' paychecks to LA office front door.  Discussed this conflict of interest with ZAM (Raymond) and Sky. Raymond agreed to come pick up EE paychecks and overnight mail the checks to the terminated EEs.  </t>
  </si>
  <si>
    <t xml:space="preserve">Attended APABA's legal seminar "AI and Ethics: Best Practices and Global Perspectives" on 5/1/25 for CLE credits.  </t>
  </si>
  <si>
    <t xml:space="preserve">Meeting with Data Privacy legal (Evelyn) re: the new DOJ Data Security Program and how HR/Legal can support their compliance project. Discussed Tencent's US entities background and the best contact persons for her to go to for certain issues.  Reviewed and replied emails to/from Evelyn. </t>
  </si>
  <si>
    <t xml:space="preserve">Attended DLA Piper's webinar on "Navigating China’s retaliatory tariffs: Strategies for multinationalson" on  4/30/25 for CLE credits.  </t>
  </si>
  <si>
    <t>Attended a law firm (Yabo Lin from Sidley Austin) luncheon in Palo Alto on 4/29/25 with Terry, Jia, Jamin, Meimei, Evelyn, and Claire.</t>
  </si>
  <si>
    <t>Reviewed legal invoices from Morgan Lewis.</t>
  </si>
  <si>
    <t>Beth Rui Zhang case (OIT):  Reviewed JAMS related documents for this case.  Reviewed JAMS arbitrator list with external counsel and discussed who to choose/strike. Reviewed ELP's claim coverage letter and provided defense counsel's contact info to EPL insurance.</t>
  </si>
  <si>
    <t xml:space="preserve">Iraj Sodagar case (CSIG): Reviewed the executed settlement agreement.  Reviewed emails to/from external counsel and EPL insurance re: settlement payment invoice revision and updates.  </t>
  </si>
  <si>
    <t xml:space="preserve">Class Action (WA): They served Paracorp with ths case on 5/1/25.  Plaintiff is a WA job candidate that supposedly has applied to one of our WA jobs recently (4/17/2025).  He is alleging that there was no salary range or benefits info listed in our job posting, which is required under the Pay Transparency Law that went into effect on 1/1/2023 for WA state.  Reviewed case complaint.  Discussed case with Zhao, Jamin and Liz.  Reviewed WeCom chat history re: compliance check in 2022 to ensure we were compliant but it looks like it might be a Workday system error.  Reached out to HR/C&amp;B team in HQ to investigate.  </t>
  </si>
  <si>
    <t xml:space="preserve">Dongyan Wang case (OIT): Meeting with Zhao and external counsel re: case strategy and revising our draft response letter to DY's counsel.  </t>
  </si>
  <si>
    <t xml:space="preserve">Colin Zhang case (OIT): Reviewed demand letter from Colin's counsel, requesting a copy of his personnel file.  Discussed case with HRBP Yoky re: Colin's severance counteroffers. </t>
  </si>
  <si>
    <t xml:space="preserve">Meeting with Brent, Meimei and new law firm (O'Melveny) to discuss US travel issues to (ie. CBP &amp; port of entry issues) for executive Martin's arrival next week.  Meeting with Brent &amp; Meimei to discuss drafting a travel guidance for Martin's EA to provide to Martin.  Be on standby for Martin's arrival to SFO airport on 5/4/25 from 4:30pm to 5:30pm.  </t>
  </si>
  <si>
    <r>
      <t>Date: 2025</t>
    </r>
    <r>
      <rPr>
        <b/>
        <sz val="10"/>
        <color theme="0"/>
        <rFont val="等线"/>
        <charset val="134"/>
      </rPr>
      <t xml:space="preserve">-04-28 </t>
    </r>
    <r>
      <rPr>
        <b/>
        <sz val="10"/>
        <color theme="0"/>
        <rFont val="新細明體"/>
        <family val="1"/>
        <charset val="136"/>
      </rPr>
      <t xml:space="preserve">- </t>
    </r>
    <r>
      <rPr>
        <b/>
        <sz val="10"/>
        <color theme="0"/>
        <rFont val="新細明體"/>
        <family val="2"/>
        <scheme val="minor"/>
      </rPr>
      <t xml:space="preserve">2025-05-04 </t>
    </r>
  </si>
  <si>
    <t xml:space="preserve">Received and reviewed 2 sets of Service of Process docs served to Tencent Cloud through our registered agent Paracorp, regarding the bankruptcy case (In re: Edgio, Inc.).   Reviewed Paracorp invoices on the bankruptcy case filings, and sent to Finance team for processing.  Reviewed overdue invoices from Paracorp witj Finance team (Lin). </t>
  </si>
  <si>
    <t>Reviewed and discussed with Jamin, HR &amp; external counsel re: the case of an Irvine office employee (Joshua Taylor) having child pornography in his personal computer.  Reviewed emails to/from external counsel; and reviewed draft emails to employee.  Reviewed EE's email responses; and discussed case with Jamin/Andy/Jason and HRBP Carol.  Reviewed our draft litigation hold.</t>
  </si>
  <si>
    <t xml:space="preserve">Discussed an employee's visa approval issue with HR/Immigration (Yvonne &amp; Jessie) and the visa officer's request to show proof of entity relationship between Proxima Beta US and THL. </t>
  </si>
  <si>
    <t xml:space="preserve">Reviewed BG's inquiry on whether TA was registered in Nevada; and whether to register TA and TC in Arizona. </t>
  </si>
  <si>
    <t xml:space="preserve">Discussed with Jamin, Operations team (Teresa &amp; Spring) and HR regarding a safety &amp; risk issue of a terminated contractor (Siddharth Velagapudi) visiting PA office. This contractor had made past visits to our office and delivering weird creepy gifts to OIT dept. 
</t>
  </si>
  <si>
    <t xml:space="preserve">Reviewed external counsel's (Malcolm) updated travel alert guidance and his webinar PPT; and reviewed OMM's travel guidance.  Drafted a US travel guidance for Martin; sent draft to immigation external counsel (Malcolm) for his review; and discussed draft with Malcolm. </t>
  </si>
  <si>
    <t>Updated weekly timesheet each day; and organized and replied to emails.  Drafted April month end BSC and OKR for NA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</si>
</sst>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zoomScaleNormal="95" workbookViewId="0">
      <selection activeCell="S43" sqref="S4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363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2" customHeight="1">
      <c r="B6" s="8" t="s">
        <v>338</v>
      </c>
      <c r="C6" s="9" t="s">
        <v>25</v>
      </c>
      <c r="D6" s="10" t="s">
        <v>26</v>
      </c>
      <c r="E6" s="10" t="s">
        <v>30</v>
      </c>
      <c r="F6" s="9" t="s">
        <v>325</v>
      </c>
      <c r="G6" s="75">
        <v>1</v>
      </c>
      <c r="H6" s="9" t="s">
        <v>27</v>
      </c>
      <c r="I6" s="76" t="s">
        <v>360</v>
      </c>
    </row>
    <row r="7" spans="1:9" s="2" customFormat="1" ht="92.5" customHeight="1">
      <c r="B7" s="8" t="s">
        <v>338</v>
      </c>
      <c r="C7" s="9" t="s">
        <v>25</v>
      </c>
      <c r="D7" s="10" t="s">
        <v>26</v>
      </c>
      <c r="E7" s="10" t="s">
        <v>30</v>
      </c>
      <c r="F7" s="9" t="s">
        <v>325</v>
      </c>
      <c r="G7" s="75">
        <v>1.5</v>
      </c>
      <c r="H7" s="9" t="s">
        <v>73</v>
      </c>
      <c r="I7" s="76" t="s">
        <v>357</v>
      </c>
    </row>
    <row r="8" spans="1:9" s="2" customFormat="1" ht="74" customHeight="1">
      <c r="B8" s="8" t="s">
        <v>338</v>
      </c>
      <c r="C8" s="9" t="s">
        <v>25</v>
      </c>
      <c r="D8" s="10" t="s">
        <v>26</v>
      </c>
      <c r="E8" s="10" t="s">
        <v>30</v>
      </c>
      <c r="F8" s="9" t="s">
        <v>325</v>
      </c>
      <c r="G8" s="75">
        <v>0.7</v>
      </c>
      <c r="H8" s="9" t="s">
        <v>73</v>
      </c>
      <c r="I8" s="76" t="s">
        <v>358</v>
      </c>
    </row>
    <row r="9" spans="1:9" s="2" customFormat="1" ht="59.5" customHeight="1">
      <c r="B9" s="8" t="s">
        <v>338</v>
      </c>
      <c r="C9" s="9" t="s">
        <v>25</v>
      </c>
      <c r="D9" s="10" t="s">
        <v>26</v>
      </c>
      <c r="E9" s="10" t="s">
        <v>30</v>
      </c>
      <c r="F9" s="9" t="s">
        <v>325</v>
      </c>
      <c r="G9" s="75">
        <v>1.5</v>
      </c>
      <c r="H9" s="9" t="s">
        <v>27</v>
      </c>
      <c r="I9" s="76" t="s">
        <v>344</v>
      </c>
    </row>
    <row r="10" spans="1:9" s="2" customFormat="1" ht="61.5" customHeight="1">
      <c r="B10" s="8" t="s">
        <v>338</v>
      </c>
      <c r="C10" s="9" t="s">
        <v>25</v>
      </c>
      <c r="D10" s="10" t="s">
        <v>26</v>
      </c>
      <c r="E10" s="10" t="s">
        <v>30</v>
      </c>
      <c r="F10" s="9" t="s">
        <v>325</v>
      </c>
      <c r="G10" s="75">
        <v>0.5</v>
      </c>
      <c r="H10" s="9" t="s">
        <v>27</v>
      </c>
      <c r="I10" s="76" t="s">
        <v>361</v>
      </c>
    </row>
    <row r="11" spans="1:9" s="2" customFormat="1" ht="208" customHeight="1">
      <c r="B11" s="8" t="s">
        <v>338</v>
      </c>
      <c r="C11" s="9" t="s">
        <v>25</v>
      </c>
      <c r="D11" s="10" t="s">
        <v>26</v>
      </c>
      <c r="E11" s="10" t="s">
        <v>30</v>
      </c>
      <c r="F11" s="9" t="s">
        <v>325</v>
      </c>
      <c r="G11" s="75">
        <v>4.5</v>
      </c>
      <c r="H11" s="9" t="s">
        <v>73</v>
      </c>
      <c r="I11" s="76" t="s">
        <v>359</v>
      </c>
    </row>
    <row r="12" spans="1:9" s="2" customFormat="1" ht="64.5" customHeight="1">
      <c r="B12" s="8" t="s">
        <v>338</v>
      </c>
      <c r="C12" s="9" t="s">
        <v>25</v>
      </c>
      <c r="D12" s="10" t="s">
        <v>26</v>
      </c>
      <c r="E12" s="10" t="s">
        <v>30</v>
      </c>
      <c r="F12" s="9" t="s">
        <v>325</v>
      </c>
      <c r="G12" s="75">
        <v>0.3</v>
      </c>
      <c r="H12" s="9" t="s">
        <v>73</v>
      </c>
      <c r="I12" s="76" t="s">
        <v>345</v>
      </c>
    </row>
    <row r="13" spans="1:9" s="2" customFormat="1" ht="80" customHeight="1">
      <c r="B13" s="8" t="s">
        <v>338</v>
      </c>
      <c r="C13" s="9" t="s">
        <v>25</v>
      </c>
      <c r="D13" s="10" t="s">
        <v>26</v>
      </c>
      <c r="E13" s="10" t="s">
        <v>30</v>
      </c>
      <c r="F13" s="9" t="s">
        <v>325</v>
      </c>
      <c r="G13" s="75">
        <v>1</v>
      </c>
      <c r="H13" s="9" t="s">
        <v>27</v>
      </c>
      <c r="I13" s="76" t="s">
        <v>346</v>
      </c>
    </row>
    <row r="14" spans="1:9" s="2" customFormat="1" ht="132" customHeight="1">
      <c r="B14" s="8" t="s">
        <v>338</v>
      </c>
      <c r="C14" s="9" t="s">
        <v>25</v>
      </c>
      <c r="D14" s="10" t="s">
        <v>26</v>
      </c>
      <c r="E14" s="10" t="s">
        <v>30</v>
      </c>
      <c r="F14" s="9" t="s">
        <v>325</v>
      </c>
      <c r="G14" s="75">
        <v>3</v>
      </c>
      <c r="H14" s="9" t="s">
        <v>27</v>
      </c>
      <c r="I14" s="76" t="s">
        <v>365</v>
      </c>
    </row>
    <row r="15" spans="1:9" s="2" customFormat="1" ht="53" customHeight="1">
      <c r="B15" s="8" t="s">
        <v>338</v>
      </c>
      <c r="C15" s="9" t="s">
        <v>25</v>
      </c>
      <c r="D15" s="10" t="s">
        <v>26</v>
      </c>
      <c r="E15" s="10" t="s">
        <v>30</v>
      </c>
      <c r="F15" s="9" t="s">
        <v>325</v>
      </c>
      <c r="G15" s="75">
        <v>0.3</v>
      </c>
      <c r="H15" s="9" t="s">
        <v>27</v>
      </c>
      <c r="I15" s="76" t="s">
        <v>349</v>
      </c>
    </row>
    <row r="16" spans="1:9" s="2" customFormat="1" ht="118" customHeight="1">
      <c r="B16" s="8" t="s">
        <v>338</v>
      </c>
      <c r="C16" s="9" t="s">
        <v>25</v>
      </c>
      <c r="D16" s="10" t="s">
        <v>26</v>
      </c>
      <c r="E16" s="10" t="s">
        <v>30</v>
      </c>
      <c r="F16" s="9" t="s">
        <v>325</v>
      </c>
      <c r="G16" s="75">
        <v>1</v>
      </c>
      <c r="H16" s="9" t="s">
        <v>27</v>
      </c>
      <c r="I16" s="76" t="s">
        <v>351</v>
      </c>
    </row>
    <row r="17" spans="2:9" s="2" customFormat="1" ht="66" customHeight="1">
      <c r="B17" s="8" t="s">
        <v>338</v>
      </c>
      <c r="C17" s="9" t="s">
        <v>25</v>
      </c>
      <c r="D17" s="10" t="s">
        <v>26</v>
      </c>
      <c r="E17" s="10" t="s">
        <v>30</v>
      </c>
      <c r="F17" s="9" t="s">
        <v>325</v>
      </c>
      <c r="G17" s="75">
        <v>1.5</v>
      </c>
      <c r="H17" s="9" t="s">
        <v>27</v>
      </c>
      <c r="I17" s="76" t="s">
        <v>343</v>
      </c>
    </row>
    <row r="18" spans="2:9" s="2" customFormat="1" ht="65.5" customHeight="1">
      <c r="B18" s="8" t="s">
        <v>338</v>
      </c>
      <c r="C18" s="9" t="s">
        <v>25</v>
      </c>
      <c r="D18" s="10" t="s">
        <v>26</v>
      </c>
      <c r="E18" s="10" t="s">
        <v>30</v>
      </c>
      <c r="F18" s="9" t="s">
        <v>325</v>
      </c>
      <c r="G18" s="75">
        <v>0.5</v>
      </c>
      <c r="H18" s="9" t="s">
        <v>73</v>
      </c>
      <c r="I18" s="76" t="s">
        <v>340</v>
      </c>
    </row>
    <row r="19" spans="2:9" s="2" customFormat="1" ht="121.5" customHeight="1">
      <c r="B19" s="8" t="s">
        <v>338</v>
      </c>
      <c r="C19" s="9" t="s">
        <v>25</v>
      </c>
      <c r="D19" s="10" t="s">
        <v>26</v>
      </c>
      <c r="E19" s="10" t="s">
        <v>30</v>
      </c>
      <c r="F19" s="9" t="s">
        <v>325</v>
      </c>
      <c r="G19" s="75">
        <v>2.5</v>
      </c>
      <c r="H19" s="9" t="s">
        <v>27</v>
      </c>
      <c r="I19" s="76" t="s">
        <v>362</v>
      </c>
    </row>
    <row r="20" spans="2:9" s="2" customFormat="1" ht="88.5" customHeight="1">
      <c r="B20" s="8" t="s">
        <v>338</v>
      </c>
      <c r="C20" s="9" t="s">
        <v>25</v>
      </c>
      <c r="D20" s="10" t="s">
        <v>26</v>
      </c>
      <c r="E20" s="10" t="s">
        <v>30</v>
      </c>
      <c r="F20" s="9" t="s">
        <v>325</v>
      </c>
      <c r="G20" s="75">
        <v>3</v>
      </c>
      <c r="H20" s="9" t="s">
        <v>73</v>
      </c>
      <c r="I20" s="76" t="s">
        <v>369</v>
      </c>
    </row>
    <row r="21" spans="2:9" s="2" customFormat="1" ht="101" customHeight="1">
      <c r="B21" s="8" t="s">
        <v>338</v>
      </c>
      <c r="C21" s="9" t="s">
        <v>25</v>
      </c>
      <c r="D21" s="10" t="s">
        <v>26</v>
      </c>
      <c r="E21" s="10" t="s">
        <v>30</v>
      </c>
      <c r="F21" s="9" t="s">
        <v>325</v>
      </c>
      <c r="G21" s="75">
        <v>0.7</v>
      </c>
      <c r="H21" s="9" t="s">
        <v>27</v>
      </c>
      <c r="I21" s="76" t="s">
        <v>368</v>
      </c>
    </row>
    <row r="22" spans="2:9" s="2" customFormat="1" ht="66" customHeight="1">
      <c r="B22" s="8" t="s">
        <v>338</v>
      </c>
      <c r="C22" s="9" t="s">
        <v>25</v>
      </c>
      <c r="D22" s="10" t="s">
        <v>26</v>
      </c>
      <c r="E22" s="10" t="s">
        <v>30</v>
      </c>
      <c r="F22" s="9" t="s">
        <v>325</v>
      </c>
      <c r="G22" s="75">
        <v>0.3</v>
      </c>
      <c r="H22" s="9" t="s">
        <v>27</v>
      </c>
      <c r="I22" s="76" t="s">
        <v>366</v>
      </c>
    </row>
    <row r="23" spans="2:9" s="2" customFormat="1" ht="59" customHeight="1">
      <c r="B23" s="8" t="s">
        <v>338</v>
      </c>
      <c r="C23" s="9" t="s">
        <v>43</v>
      </c>
      <c r="D23" s="10" t="s">
        <v>26</v>
      </c>
      <c r="E23" s="10" t="s">
        <v>30</v>
      </c>
      <c r="F23" s="9" t="s">
        <v>325</v>
      </c>
      <c r="G23" s="75">
        <v>0.3</v>
      </c>
      <c r="H23" s="9" t="s">
        <v>27</v>
      </c>
      <c r="I23" s="76" t="s">
        <v>367</v>
      </c>
    </row>
    <row r="24" spans="2:9" s="2" customFormat="1" ht="48.5" customHeight="1">
      <c r="B24" s="8" t="s">
        <v>338</v>
      </c>
      <c r="C24" s="9" t="s">
        <v>25</v>
      </c>
      <c r="D24" s="10" t="s">
        <v>26</v>
      </c>
      <c r="E24" s="10" t="s">
        <v>30</v>
      </c>
      <c r="F24" s="9" t="s">
        <v>328</v>
      </c>
      <c r="G24" s="75">
        <v>0.3</v>
      </c>
      <c r="H24" s="9" t="s">
        <v>73</v>
      </c>
      <c r="I24" s="76" t="s">
        <v>342</v>
      </c>
    </row>
    <row r="25" spans="2:9" s="2" customFormat="1" ht="63.5" customHeight="1">
      <c r="B25" s="8" t="s">
        <v>338</v>
      </c>
      <c r="C25" s="9" t="s">
        <v>25</v>
      </c>
      <c r="D25" s="10" t="s">
        <v>26</v>
      </c>
      <c r="E25" s="10" t="s">
        <v>30</v>
      </c>
      <c r="F25" s="9" t="s">
        <v>328</v>
      </c>
      <c r="G25" s="75">
        <v>0.3</v>
      </c>
      <c r="H25" s="9" t="s">
        <v>27</v>
      </c>
      <c r="I25" s="76" t="s">
        <v>341</v>
      </c>
    </row>
    <row r="26" spans="2:9" s="2" customFormat="1" ht="78" customHeight="1">
      <c r="B26" s="8" t="s">
        <v>338</v>
      </c>
      <c r="C26" s="9" t="s">
        <v>43</v>
      </c>
      <c r="D26" s="10" t="s">
        <v>49</v>
      </c>
      <c r="E26" s="10" t="s">
        <v>30</v>
      </c>
      <c r="F26" s="9" t="s">
        <v>332</v>
      </c>
      <c r="G26" s="75">
        <v>0.5</v>
      </c>
      <c r="H26" s="9" t="s">
        <v>73</v>
      </c>
      <c r="I26" s="76" t="s">
        <v>348</v>
      </c>
    </row>
    <row r="27" spans="2:9" s="2" customFormat="1" ht="78" customHeight="1">
      <c r="B27" s="8" t="s">
        <v>338</v>
      </c>
      <c r="C27" s="9" t="s">
        <v>43</v>
      </c>
      <c r="D27" s="10" t="s">
        <v>49</v>
      </c>
      <c r="E27" s="10" t="s">
        <v>30</v>
      </c>
      <c r="F27" s="9" t="s">
        <v>332</v>
      </c>
      <c r="G27" s="75">
        <v>1.5</v>
      </c>
      <c r="H27" s="9" t="s">
        <v>27</v>
      </c>
      <c r="I27" s="76" t="s">
        <v>350</v>
      </c>
    </row>
    <row r="28" spans="2:9" s="2" customFormat="1" ht="70" customHeight="1">
      <c r="B28" s="8" t="s">
        <v>338</v>
      </c>
      <c r="C28" s="9" t="s">
        <v>28</v>
      </c>
      <c r="D28" s="10" t="s">
        <v>49</v>
      </c>
      <c r="E28" s="10" t="s">
        <v>30</v>
      </c>
      <c r="F28" s="9" t="s">
        <v>332</v>
      </c>
      <c r="G28" s="75">
        <v>0.5</v>
      </c>
      <c r="H28" s="9" t="s">
        <v>73</v>
      </c>
      <c r="I28" s="76" t="s">
        <v>339</v>
      </c>
    </row>
    <row r="29" spans="2:9" s="2" customFormat="1" ht="102.5" customHeight="1">
      <c r="B29" s="8" t="s">
        <v>338</v>
      </c>
      <c r="C29" s="9" t="s">
        <v>28</v>
      </c>
      <c r="D29" s="10" t="s">
        <v>31</v>
      </c>
      <c r="E29" s="10" t="s">
        <v>30</v>
      </c>
      <c r="F29" s="9" t="s">
        <v>332</v>
      </c>
      <c r="G29" s="75">
        <v>1.5</v>
      </c>
      <c r="H29" s="9" t="s">
        <v>27</v>
      </c>
      <c r="I29" s="76" t="s">
        <v>353</v>
      </c>
    </row>
    <row r="30" spans="2:9" s="2" customFormat="1" ht="119" customHeight="1">
      <c r="B30" s="8" t="s">
        <v>338</v>
      </c>
      <c r="C30" s="9" t="s">
        <v>43</v>
      </c>
      <c r="D30" s="10" t="s">
        <v>18</v>
      </c>
      <c r="E30" s="10" t="s">
        <v>34</v>
      </c>
      <c r="F30" s="9" t="s">
        <v>42</v>
      </c>
      <c r="G30" s="75">
        <v>0.5</v>
      </c>
      <c r="H30" s="9" t="s">
        <v>73</v>
      </c>
      <c r="I30" s="76" t="s">
        <v>364</v>
      </c>
    </row>
    <row r="31" spans="2:9" s="2" customFormat="1" ht="48.5" customHeight="1">
      <c r="B31" s="8" t="s">
        <v>338</v>
      </c>
      <c r="C31" s="9" t="s">
        <v>28</v>
      </c>
      <c r="D31" s="10" t="s">
        <v>31</v>
      </c>
      <c r="E31" s="10" t="s">
        <v>33</v>
      </c>
      <c r="F31" s="9" t="s">
        <v>35</v>
      </c>
      <c r="G31" s="75">
        <v>2</v>
      </c>
      <c r="H31" s="9" t="s">
        <v>31</v>
      </c>
      <c r="I31" s="76" t="s">
        <v>355</v>
      </c>
    </row>
    <row r="32" spans="2:9" s="2" customFormat="1" ht="48" customHeight="1">
      <c r="B32" s="8" t="s">
        <v>338</v>
      </c>
      <c r="C32" s="9" t="s">
        <v>28</v>
      </c>
      <c r="D32" s="10" t="s">
        <v>31</v>
      </c>
      <c r="E32" s="10" t="s">
        <v>33</v>
      </c>
      <c r="F32" s="9" t="s">
        <v>35</v>
      </c>
      <c r="G32" s="75">
        <v>1</v>
      </c>
      <c r="H32" s="9" t="s">
        <v>31</v>
      </c>
      <c r="I32" s="76" t="s">
        <v>354</v>
      </c>
    </row>
    <row r="33" spans="2:9" s="2" customFormat="1" ht="48" customHeight="1">
      <c r="B33" s="8" t="s">
        <v>338</v>
      </c>
      <c r="C33" s="9" t="s">
        <v>28</v>
      </c>
      <c r="D33" s="10" t="s">
        <v>31</v>
      </c>
      <c r="E33" s="10" t="s">
        <v>33</v>
      </c>
      <c r="F33" s="9" t="s">
        <v>35</v>
      </c>
      <c r="G33" s="75">
        <v>1</v>
      </c>
      <c r="H33" s="9" t="s">
        <v>31</v>
      </c>
      <c r="I33" s="76" t="s">
        <v>352</v>
      </c>
    </row>
    <row r="34" spans="2:9" s="2" customFormat="1" ht="44" customHeight="1">
      <c r="B34" s="8" t="s">
        <v>338</v>
      </c>
      <c r="C34" s="9" t="s">
        <v>28</v>
      </c>
      <c r="D34" s="10" t="s">
        <v>18</v>
      </c>
      <c r="E34" s="10" t="s">
        <v>33</v>
      </c>
      <c r="F34" s="9" t="s">
        <v>35</v>
      </c>
      <c r="G34" s="75">
        <v>1.5</v>
      </c>
      <c r="H34" s="9" t="s">
        <v>31</v>
      </c>
      <c r="I34" s="76" t="s">
        <v>347</v>
      </c>
    </row>
    <row r="35" spans="2:9" s="2" customFormat="1" ht="21.5" customHeight="1">
      <c r="B35" s="8" t="s">
        <v>338</v>
      </c>
      <c r="C35" s="9" t="s">
        <v>28</v>
      </c>
      <c r="D35" s="10" t="s">
        <v>31</v>
      </c>
      <c r="E35" s="10" t="s">
        <v>33</v>
      </c>
      <c r="F35" s="9" t="s">
        <v>36</v>
      </c>
      <c r="G35" s="75">
        <v>0.3</v>
      </c>
      <c r="H35" s="9" t="s">
        <v>31</v>
      </c>
      <c r="I35" s="76" t="s">
        <v>356</v>
      </c>
    </row>
    <row r="36" spans="2:9" s="2" customFormat="1" ht="42" customHeight="1">
      <c r="B36" s="8" t="s">
        <v>338</v>
      </c>
      <c r="C36" s="9" t="s">
        <v>28</v>
      </c>
      <c r="D36" s="10" t="s">
        <v>18</v>
      </c>
      <c r="E36" s="10" t="s">
        <v>33</v>
      </c>
      <c r="F36" s="9" t="s">
        <v>39</v>
      </c>
      <c r="G36" s="11">
        <v>12</v>
      </c>
      <c r="H36" s="9" t="s">
        <v>31</v>
      </c>
      <c r="I36" s="76" t="s">
        <v>370</v>
      </c>
    </row>
    <row r="37" spans="2:9" s="2" customFormat="1" ht="13.5">
      <c r="B37" s="8"/>
      <c r="C37" s="9"/>
      <c r="D37" s="10"/>
      <c r="E37" s="10"/>
      <c r="F37" s="9"/>
      <c r="G37" s="11"/>
      <c r="H37" s="9"/>
      <c r="I37" s="16"/>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4.5" customHeight="1">
      <c r="B40" s="81" t="s">
        <v>32</v>
      </c>
      <c r="C40" s="82"/>
      <c r="D40" s="83"/>
      <c r="E40" s="12"/>
      <c r="F40" s="12"/>
      <c r="G40" s="84">
        <f>SUM(G6:G39)</f>
        <v>47</v>
      </c>
      <c r="H40" s="85"/>
      <c r="I40" s="86"/>
    </row>
    <row r="43" spans="2:9">
      <c r="B43" s="17" t="s">
        <v>81</v>
      </c>
      <c r="C43" s="18"/>
    </row>
    <row r="44" spans="2:9">
      <c r="C44" s="18"/>
    </row>
  </sheetData>
  <mergeCells count="4">
    <mergeCell ref="B1:I1"/>
    <mergeCell ref="B2:H2"/>
    <mergeCell ref="B40:D40"/>
    <mergeCell ref="G40:I40"/>
  </mergeCells>
  <phoneticPr fontId="10" type="noConversion"/>
  <dataValidations count="3">
    <dataValidation type="list" errorStyle="warning" allowBlank="1" sqref="C16 C26:C39" xr:uid="{00000000-0002-0000-0000-000005000000}">
      <formula1>项目事项分类项目名称</formula1>
    </dataValidation>
    <dataValidation type="list" allowBlank="1" showInputMessage="1" showErrorMessage="1" sqref="F6:F39" xr:uid="{00000000-0002-0000-0000-000002000000}">
      <formula1>INDIRECT($E6)</formula1>
    </dataValidation>
    <dataValidation type="list" allowBlank="1" showInputMessage="1" showErrorMessage="1" sqref="H6:H39"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D6:D7 D9:D12 D15:D23 D26:D39</xm:sqref>
        </x14:dataValidation>
        <x14:dataValidation type="list" allowBlank="1" showInputMessage="1" showErrorMessage="1" xr:uid="{00000000-0002-0000-0000-000007000000}">
          <x14:formula1>
            <xm:f>Tag!$B$2:$E$2</xm:f>
          </x14:formula1>
          <xm:sqref>E6:E7 E9:E12 E15:E23 E26:E39</xm:sqref>
        </x14:dataValidation>
        <x14:dataValidation type="list" errorStyle="warning" allowBlank="1" xr:uid="{00000000-0002-0000-0000-000003000000}">
          <x14:formula1>
            <xm:f>'Exhibit I - Virtual Group'!$A$1:$A$7</xm:f>
          </x14:formula1>
          <xm:sqref>C6:C7 C9:C12 C15 C17:C23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2025-05-06T08:51:05Z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