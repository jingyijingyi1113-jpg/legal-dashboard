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irisleong\Desktop\DESKTOP\HOUSEKEEPING\Performance Review\WEEKLY TIME SHEETS\2025\2. February 2025\"/>
    </mc:Choice>
  </mc:AlternateContent>
  <xr:revisionPtr revIDLastSave="0" documentId="13_ncr:1_{2E2A915E-FD61-4C30-A8B0-C987DF2EFC2A}"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<sst xmlns="http://schemas.openxmlformats.org/spreadsheetml/2006/main" count="708" uniqueCount="443">
  <si>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</si>
  <si>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</si>
  <si>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</si>
  <si>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</si>
  <si>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</si>
  <si>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</si>
  <si>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</si>
  <si>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</si>
  <si>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</si>
  <si>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</si>
  <si>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</si>
  <si>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</si>
  <si>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</si>
  <si>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</si>
  <si>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</si>
  <si>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</si>
  <si>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</si>
  <si>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</si>
  <si>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</si>
  <si>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</si>
  <si>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</si>
  <si>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</si>
  <si>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</si>
  <si>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</si>
  <si>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</si>
  <si>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</si>
  <si>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</si>
  <si>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</si>
  <si>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</si>
  <si>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</si>
  <si>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</si>
  <si>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</si>
  <si>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</si>
  <si>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</si>
  <si>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</si>
  <si>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</si>
  <si>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</si>
  <si>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</si>
  <si>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</si>
  <si>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</si>
  <si>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</si>
  <si>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</si>
  <si>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</si>
  <si>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</si>
  <si>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</si>
  <si>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</si>
  <si>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</si>
  <si>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</si>
  <si>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</si>
  <si>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</si>
  <si>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</si>
  <si>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</si>
  <si>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</si>
  <si>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</si>
  <si>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</si>
  <si>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</si>
  <si>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</si>
  <si>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</si>
  <si>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</si>
  <si>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</si>
  <si>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</si>
  <si>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</si>
  <si>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</si>
  <si>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</si>
  <si>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</si>
  <si>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</si>
  <si>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</si>
  <si>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</si>
  <si>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</si>
  <si>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</si>
  <si>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</si>
  <si>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</si>
  <si>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</si>
  <si>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</si>
  <si>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</si>
  <si>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</si>
  <si>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</si>
  <si>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</si>
  <si>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</si>
  <si>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</si>
  <si>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</si>
  <si>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</si>
  <si>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</si>
  <si>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</si>
  <si>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</si>
  <si>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</si>
  <si>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</si>
  <si>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</si>
  <si>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</si>
  <si>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</si>
  <si>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</si>
  <si>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</si>
  <si>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</si>
  <si>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</si>
  <si>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</si>
  <si>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</si>
  <si>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</si>
  <si>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</si>
  <si>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</si>
  <si>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</si>
  <si>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</si>
  <si>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</si>
  <si>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</si>
  <si>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</si>
  <si>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</si>
  <si>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</si>
  <si>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</si>
  <si>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</si>
  <si>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</si>
  <si>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</si>
  <si>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</si>
  <si>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</si>
  <si>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</si>
  <si>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</si>
  <si>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</si>
  <si>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</si>
  <si>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</si>
  <si>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</si>
  <si>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</si>
  <si>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</si>
  <si>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</si>
  <si>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</si>
  <si>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</si>
  <si>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</si>
  <si>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</si>
  <si>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</si>
  <si>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</si>
  <si>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</si>
  <si>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</si>
  <si>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</si>
  <si>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</si>
  <si>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</si>
  <si>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</si>
  <si>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</si>
  <si>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</si>
  <si>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</si>
  <si>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</si>
  <si>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</si>
  <si>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</si>
  <si>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</si>
  <si>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</si>
  <si>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</si>
  <si>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</si>
  <si>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</si>
  <si>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</si>
  <si>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</si>
  <si>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</si>
  <si>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</si>
  <si>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</si>
  <si>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</si>
  <si>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</si>
  <si>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</si>
  <si>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</si>
  <si>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</si>
  <si>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</si>
  <si>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</si>
  <si>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</si>
  <si>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</si>
  <si>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</si>
  <si>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</si>
  <si>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</si>
  <si>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</si>
  <si>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</si>
  <si>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</si>
  <si>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</si>
  <si>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</si>
  <si>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</si>
  <si>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</si>
  <si>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</si>
  <si>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</si>
  <si>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</si>
  <si>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</si>
  <si>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</si>
  <si>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</si>
  <si>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</si>
  <si>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</si>
  <si>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</si>
  <si>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</si>
  <si>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</si>
  <si>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</si>
  <si>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</si>
  <si>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</si>
  <si>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</si>
  <si>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</si>
  <si>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</si>
  <si>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</si>
  <si>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</si>
  <si>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</si>
  <si>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</si>
  <si>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</si>
  <si>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</si>
  <si>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</si>
  <si>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</si>
  <si>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</si>
  <si>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</si>
  <si>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</si>
  <si>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</si>
  <si>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</si>
  <si>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</si>
  <si>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</si>
  <si>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</si>
  <si>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</si>
  <si>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</si>
  <si>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</si>
  <si>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</si>
  <si>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</si>
  <si>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</si>
  <si>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</si>
  <si>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</si>
  <si>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</si>
  <si>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</si>
  <si>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</si>
  <si>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</si>
  <si>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</si>
  <si>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</si>
  <si>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</si>
  <si>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</si>
  <si>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</si>
  <si>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</si>
  <si>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</si>
  <si>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</si>
  <si>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</si>
  <si>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</si>
  <si>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</si>
  <si>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</si>
  <si>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</si>
  <si>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</si>
  <si>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</si>
  <si>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</si>
  <si>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</si>
  <si>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</si>
  <si>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</si>
  <si>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</si>
  <si>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</si>
  <si>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</si>
  <si>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</si>
  <si>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</si>
  <si>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</si>
  <si>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</si>
  <si>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</si>
  <si>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</si>
  <si>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</si>
  <si>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</si>
  <si>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</si>
  <si>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</si>
  <si>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</si>
  <si>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</si>
  <si>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</si>
  <si>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</si>
  <si>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</si>
  <si>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</si>
  <si>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</si>
  <si>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</si>
  <si>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</si>
  <si>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</si>
  <si>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</si>
  <si>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</si>
  <si>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</si>
  <si>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</si>
  <si>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</si>
  <si>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</si>
  <si>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</si>
  <si>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</si>
  <si>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</si>
  <si>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</si>
  <si>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</si>
  <si>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</si>
  <si>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</si>
  <si>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</si>
  <si>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</si>
  <si>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</si>
  <si>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</si>
  <si>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</si>
  <si>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</si>
  <si>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</si>
  <si>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</si>
  <si>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</si>
  <si>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</si>
  <si>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</si>
  <si>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</si>
  <si>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</si>
  <si>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</si>
  <si>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</si>
  <si>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</si>
  <si>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</si>
  <si>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</si>
  <si>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</si>
  <si>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</si>
  <si>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</si>
  <si>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</si>
  <si>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</si>
  <si>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</si>
  <si>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</si>
  <si>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</si>
  <si>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</si>
  <si>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</si>
  <si>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</si>
  <si>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</si>
  <si>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</si>
  <si>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</si>
  <si>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</si>
  <si>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</si>
  <si>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</si>
  <si>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</si>
  <si>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</si>
  <si>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</si>
  <si>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</si>
  <si>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</si>
  <si>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</si>
  <si>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</si>
  <si>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</si>
  <si>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</si>
  <si>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</si>
  <si>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</si>
  <si>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</si>
  <si>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</si>
  <si>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</si>
  <si>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</si>
  <si>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</si>
  <si>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</si>
  <si>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</si>
  <si>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</si>
  <si>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</si>
  <si>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</si>
  <si>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</si>
  <si>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</si>
  <si>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</si>
  <si>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</si>
  <si>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</si>
  <si>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</si>
  <si>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</si>
  <si>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</si>
  <si>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</si>
  <si>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</si>
  <si>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</si>
  <si>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</si>
  <si>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</si>
  <si>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</si>
  <si>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</si>
  <si>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</si>
  <si>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</si>
  <si>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</si>
  <si>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</si>
  <si>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</si>
  <si>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</si>
  <si>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</si>
  <si>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</si>
  <si>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</si>
  <si>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</si>
  <si>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</si>
  <si>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</si>
  <si>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</si>
  <si>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</si>
  <si>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</si>
  <si>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</si>
  <si>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</si>
  <si>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</si>
  <si>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</si>
  <si>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</si>
  <si>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</si>
  <si>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</si>
  <si>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</si>
  <si>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</si>
  <si>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</si>
  <si>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</si>
  <si>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</si>
  <si>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</si>
  <si>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</si>
  <si>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</si>
  <si>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</si>
  <si>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</si>
  <si>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</si>
  <si>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</si>
  <si>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</si>
  <si>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</si>
  <si>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</si>
  <si>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</si>
  <si>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</si>
  <si>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</si>
  <si>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</si>
  <si>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</si>
  <si>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</si>
  <si>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</si>
  <si>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</si>
  <si>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</si>
  <si>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</si>
  <si>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</si>
  <si>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</si>
  <si>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</si>
  <si>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</si>
  <si>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</si>
  <si>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</si>
  <si>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</si>
  <si>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</si>
  <si>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</si>
  <si>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</si>
  <si>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</si>
  <si>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</si>
  <si>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</si>
  <si>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</si>
  <si>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</si>
  <si>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</si>
  <si>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</si>
  <si>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</si>
  <si>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</si>
  <si>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</si>
  <si>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</si>
  <si>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</si>
  <si>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</si>
  <si>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</si>
  <si>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</si>
  <si>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</si>
  <si>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</si>
  <si>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</si>
  <si>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</si>
  <si>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irisleong</t>
  </si>
  <si>
    <t>Date: 2025 - 02 - 17 - 2025 - 02 - 23</t>
  </si>
  <si>
    <t>Public Holiday on 2/17</t>
  </si>
  <si>
    <t xml:space="preserve">Attended HR's Employee Assistance Program (EAP) "Supporting Your Well Being" training session on Feb 18. </t>
  </si>
  <si>
    <t>Attended MLK's CLE webinar on "Artificial Intelligence and Ethics" on Feb 19.</t>
  </si>
  <si>
    <t xml:space="preserve">Discussed and reviewed Minyu Sun's workers comp case with HRBP Zoey and C&amp;B team (Wenjie).  Guided Zoey on how to access workers comp link from her computer. </t>
  </si>
  <si>
    <t xml:space="preserve">Reviewed Regional Publishing / New Market Publishing Team's layoff case (Rowland James Cox).  Conducted case analysis and continued to discuss with HRBP Zoey and HR Compliance Mgr Sana. </t>
  </si>
  <si>
    <t xml:space="preserve">Reviewed's C&amp;B request to conduct a "NQTL" analysis based on information provided by our benefits providers Aetna and Kaiser against the 2024 mental health parity final rules.  Reviewed emails to/from external counsel. Discussed issue with Jamin.  </t>
  </si>
  <si>
    <t xml:space="preserve">Attended and co-presented the "US Offboarding Training for HRBP" on Feb 19 with HR compliance Manager Sana and Jamin. </t>
  </si>
  <si>
    <t xml:space="preserve">Followed up on the settlement payment process for the OIT litigation case (Phoebe Steinbock) with external counsel.  Reviewed emails to/from external counsel and ELP insurance rep. </t>
  </si>
  <si>
    <t xml:space="preserve">Discussed with HRBP Zoey re: NA Publishing group layoff affecting one of the employee; she claimed she is super stressed and emotional due to Patrick leaving and she wants to resign too.  Sent EAP poster to HRBP Zoey and discussed other options.  Anthony still wants to keep her on.  </t>
  </si>
  <si>
    <t xml:space="preserve">Discussed with OIT (Sherrie) and HRBP Yoky re: whether it is necessary to ask OIT staff to sign confidential agreement if they have already signed our PIIA. </t>
  </si>
  <si>
    <t>Reviewed and updated "US Offboarding Training for HRBP" PPT.</t>
  </si>
  <si>
    <t xml:space="preserve">Discussed C&amp;B's misc. issues re: employees requesting verification of employment issues. </t>
  </si>
  <si>
    <t>Discussed Patrick Dillon (NA Publishing group layoff)'s severance negotiation with HRBP Zoey, HRD Yinuo and HR Compliance Manager Sana.  Discussed about hiring one of the layoff employees as a temp contractor to cover a female employee on maternity leave.</t>
  </si>
  <si>
    <t xml:space="preserve">Discussed upcoming layoff of a CSIG employee (Richard Yu) with HRBP Jade and HR Compliance Manager Sana. Reviewed layoff case.  Meeting with HRBP Jade. </t>
  </si>
  <si>
    <t>Attended Brent's interview meeting with our external counsel (Seyfarth) and Zhao to discuss about the DY case.</t>
  </si>
  <si>
    <t xml:space="preserve">Meeting with HRD Yinuo to discuss about using our Brazil entity to transfer workers from Manpower to our Brazil entity; review employmemt compliance risks. </t>
  </si>
  <si>
    <t>Reviewed and revised HRD Yinuo's Brazil HR employment compliance risk PPT for Finance to review.  Added in a list of legal compliance risks to the PPT.</t>
  </si>
  <si>
    <t>Discussed upcoming layoff of 2 Media Lab employees (tinglanlin, zafarshahid) with HRBP Jade and HR Compliance Manager Sana. Reviewed layoff cases.</t>
  </si>
  <si>
    <t xml:space="preserve">Reviewed TAMC members' PPT prior to the meeting.  Attended TAMC's February meeting on Feb 20 at the PA office. </t>
  </si>
  <si>
    <t xml:space="preserve">Discussed with HR &amp; BG whether to register Tencent America in Arizona for the 3 EEs working remotely in that state.  Requested an estimated fee and timeline from Paracorp. Reviewed emails and application forms sent by Paracorp. 
</t>
  </si>
  <si>
    <t xml:space="preserve">Received a NOV letter from Dept of Justice in Louisiana re: WeChat.  Discussed case with Litigation (Zhao).  Discussed with Office Manager (Spring) re: how they accepted the certified letter. </t>
  </si>
  <si>
    <t xml:space="preserve">Received and reviewed 4 sets of Service of Process docs served to Tencent Cloud through our registered agent Paracorp, regarding the bankruptcy case (In re: Edgio, Inc.).  Reviewed Paracorp invoices on the bankruptcy case filings and sent to Finance team for processing. </t>
  </si>
  <si>
    <t xml:space="preserve">Prepared Grade 12 PowerPoint presentation in English; and sent to Liz and Richard for their review before submission on Feb 21st. </t>
  </si>
  <si>
    <t xml:space="preserve">Updated weekly timesheet each day; and organized and replied to emails. </t>
  </si>
  <si>
    <t xml:space="preserve">Reviewed DY's personnel file and related docs from Yinuo and Christina.  Continued to send DY's personnel file and related docs to our external counsel. </t>
  </si>
  <si>
    <t xml:space="preserve">Reviewed the updated Certificate of Incumbency doc from Paracorp for Tencent America in Delaware.  Discussed revision issues with Comsec (davichan and pongminglaw).  Pulled the list of all US states that we registered for Tencent America.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</si>
</sst>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165" fontId="37" fillId="6" borderId="1"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0" fillId="0" borderId="1" xfId="0" applyFont="1" applyBorder="1" applyAlignment="1">
      <alignment vertical="center" wrapText="1"/>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30" fillId="0" borderId="21" xfId="0" applyFont="1" applyBorder="1" applyAlignment="1">
      <alignment horizontal="left" vertical="center" wrapText="1"/>
    </xf>
    <xf numFmtId="0" fontId="28" fillId="0" borderId="26" xfId="0" applyFont="1" applyBorder="1" applyAlignment="1">
      <alignment horizontal="left" vertical="center" wrapText="1"/>
    </xf>
    <xf numFmtId="0" fontId="29" fillId="7" borderId="0" xfId="0" applyFont="1" applyFill="1" applyAlignment="1">
      <alignment horizontal="center" vertical="center"/>
    </xf>
    <xf numFmtId="0" fontId="27" fillId="9" borderId="1" xfId="0" applyFont="1" applyFill="1" applyBorder="1" applyAlignment="1">
      <alignment vertical="center" wrapText="1"/>
    </xf>
    <xf numFmtId="0" fontId="30" fillId="0" borderId="29" xfId="0" applyFont="1" applyBorder="1" applyAlignment="1">
      <alignment horizontal="left" vertical="center" wrapText="1"/>
    </xf>
    <xf numFmtId="0" fontId="27" fillId="9" borderId="21" xfId="0" applyFont="1" applyFill="1" applyBorder="1" applyAlignment="1">
      <alignment horizontal="left" vertical="center" wrapText="1"/>
    </xf>
    <xf numFmtId="0" fontId="27" fillId="9" borderId="26" xfId="0" applyFont="1" applyFill="1" applyBorder="1" applyAlignment="1">
      <alignment horizontal="left" vertical="center" wrapText="1"/>
    </xf>
    <xf numFmtId="0" fontId="27" fillId="9" borderId="27" xfId="0" applyFont="1" applyFill="1" applyBorder="1" applyAlignment="1">
      <alignmen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27" fillId="0" borderId="28" xfId="0" applyFont="1" applyBorder="1">
      <alignment vertical="center"/>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4" xfId="0" applyFont="1" applyBorder="1">
      <alignment vertical="center"/>
    </xf>
    <xf numFmtId="0" fontId="27" fillId="0" borderId="23" xfId="0" applyFont="1" applyBorder="1">
      <alignment vertical="center"/>
    </xf>
    <xf numFmtId="0" fontId="27" fillId="0" borderId="26" xfId="0" applyFont="1" applyBorder="1">
      <alignment vertical="center"/>
    </xf>
    <xf numFmtId="0" fontId="28" fillId="8" borderId="27" xfId="0" applyFont="1" applyFill="1" applyBorder="1" applyAlignment="1">
      <alignment horizontal="left" vertical="center" wrapText="1"/>
    </xf>
    <xf numFmtId="0" fontId="28" fillId="8" borderId="1" xfId="0" applyFont="1" applyFill="1" applyBorder="1" applyAlignment="1">
      <alignment horizontal="center"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7" fillId="0" borderId="25" xfId="0" applyFont="1" applyBorder="1">
      <alignment vertical="center"/>
    </xf>
    <xf numFmtId="0" fontId="28" fillId="0" borderId="8" xfId="0" applyFont="1" applyBorder="1" applyAlignment="1">
      <alignment horizontal="left" vertical="center" wrapText="1"/>
    </xf>
    <xf numFmtId="0" fontId="28" fillId="0" borderId="8" xfId="0" applyFont="1" applyBorder="1" applyAlignment="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36" fillId="0" borderId="1" xfId="0" applyFont="1" applyFill="1" applyBorder="1" applyAlignment="1">
      <alignment vertical="center" wrapText="1"/>
    </xf>
    <xf numFmtId="0" fontId="37" fillId="0" borderId="19"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28" zoomScale="83" zoomScaleNormal="95" workbookViewId="0">
      <selection activeCell="I19" sqref="I19"/>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5" t="s">
        <v>0</v>
      </c>
      <c r="C1" s="96"/>
      <c r="D1" s="96"/>
      <c r="E1" s="96"/>
      <c r="F1" s="96"/>
      <c r="G1" s="96"/>
      <c r="H1" s="96"/>
      <c r="I1" s="96"/>
    </row>
    <row r="2" spans="1:9" ht="15.5">
      <c r="B2" s="97"/>
      <c r="C2" s="98"/>
      <c r="D2" s="98"/>
      <c r="E2" s="98"/>
      <c r="F2" s="98"/>
      <c r="G2" s="98"/>
      <c r="H2" s="98"/>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58">
      <c r="B6" s="27" t="s">
        <v>415</v>
      </c>
      <c r="C6" s="28" t="s">
        <v>25</v>
      </c>
      <c r="D6" s="29" t="s">
        <v>26</v>
      </c>
      <c r="E6" s="29" t="s">
        <v>30</v>
      </c>
      <c r="F6" s="28" t="s">
        <v>171</v>
      </c>
      <c r="G6" s="30">
        <v>1.5</v>
      </c>
      <c r="H6" s="28" t="s">
        <v>153</v>
      </c>
      <c r="I6" s="167" t="s">
        <v>441</v>
      </c>
    </row>
    <row r="7" spans="1:9" s="21" customFormat="1" ht="48" customHeight="1">
      <c r="B7" s="27" t="s">
        <v>415</v>
      </c>
      <c r="C7" s="28" t="s">
        <v>25</v>
      </c>
      <c r="D7" s="29" t="s">
        <v>26</v>
      </c>
      <c r="E7" s="29" t="s">
        <v>30</v>
      </c>
      <c r="F7" s="28" t="s">
        <v>171</v>
      </c>
      <c r="G7" s="30">
        <v>2</v>
      </c>
      <c r="H7" s="28" t="s">
        <v>27</v>
      </c>
      <c r="I7" s="167" t="s">
        <v>431</v>
      </c>
    </row>
    <row r="8" spans="1:9" s="21" customFormat="1" ht="66" customHeight="1">
      <c r="B8" s="27" t="s">
        <v>415</v>
      </c>
      <c r="C8" s="28" t="s">
        <v>25</v>
      </c>
      <c r="D8" s="29" t="s">
        <v>26</v>
      </c>
      <c r="E8" s="29" t="s">
        <v>30</v>
      </c>
      <c r="F8" s="28" t="s">
        <v>171</v>
      </c>
      <c r="G8" s="30">
        <v>0.5</v>
      </c>
      <c r="H8" s="28" t="s">
        <v>27</v>
      </c>
      <c r="I8" s="167" t="s">
        <v>424</v>
      </c>
    </row>
    <row r="9" spans="1:9" s="21" customFormat="1" ht="62.5" customHeight="1">
      <c r="B9" s="27" t="s">
        <v>415</v>
      </c>
      <c r="C9" s="28" t="s">
        <v>25</v>
      </c>
      <c r="D9" s="29" t="s">
        <v>26</v>
      </c>
      <c r="E9" s="29" t="s">
        <v>34</v>
      </c>
      <c r="F9" s="28" t="s">
        <v>42</v>
      </c>
      <c r="G9" s="94">
        <v>0.5</v>
      </c>
      <c r="H9" s="28" t="s">
        <v>27</v>
      </c>
      <c r="I9" s="167" t="s">
        <v>432</v>
      </c>
    </row>
    <row r="10" spans="1:9" s="21" customFormat="1" ht="63.5" customHeight="1">
      <c r="B10" s="27" t="s">
        <v>415</v>
      </c>
      <c r="C10" s="28" t="s">
        <v>25</v>
      </c>
      <c r="D10" s="29" t="s">
        <v>26</v>
      </c>
      <c r="E10" s="29" t="s">
        <v>34</v>
      </c>
      <c r="F10" s="28" t="s">
        <v>42</v>
      </c>
      <c r="G10" s="94">
        <v>1</v>
      </c>
      <c r="H10" s="28" t="s">
        <v>153</v>
      </c>
      <c r="I10" s="167" t="s">
        <v>433</v>
      </c>
    </row>
    <row r="11" spans="1:9" s="21" customFormat="1" ht="66.5" customHeight="1">
      <c r="B11" s="27" t="s">
        <v>415</v>
      </c>
      <c r="C11" s="28" t="s">
        <v>25</v>
      </c>
      <c r="D11" s="29" t="s">
        <v>26</v>
      </c>
      <c r="E11" s="29" t="s">
        <v>30</v>
      </c>
      <c r="F11" s="28" t="s">
        <v>171</v>
      </c>
      <c r="G11" s="30">
        <v>0.5</v>
      </c>
      <c r="H11" s="28" t="s">
        <v>27</v>
      </c>
      <c r="I11" s="167" t="s">
        <v>420</v>
      </c>
    </row>
    <row r="12" spans="1:9" s="21" customFormat="1" ht="90" customHeight="1">
      <c r="B12" s="27" t="s">
        <v>415</v>
      </c>
      <c r="C12" s="28" t="s">
        <v>25</v>
      </c>
      <c r="D12" s="29" t="s">
        <v>26</v>
      </c>
      <c r="E12" s="29" t="s">
        <v>30</v>
      </c>
      <c r="F12" s="28" t="s">
        <v>171</v>
      </c>
      <c r="G12" s="30">
        <v>0.7</v>
      </c>
      <c r="H12" s="28" t="s">
        <v>27</v>
      </c>
      <c r="I12" s="167" t="s">
        <v>429</v>
      </c>
    </row>
    <row r="13" spans="1:9" s="21" customFormat="1" ht="103" customHeight="1">
      <c r="B13" s="27" t="s">
        <v>415</v>
      </c>
      <c r="C13" s="28" t="s">
        <v>25</v>
      </c>
      <c r="D13" s="29" t="s">
        <v>26</v>
      </c>
      <c r="E13" s="29" t="s">
        <v>30</v>
      </c>
      <c r="F13" s="28" t="s">
        <v>171</v>
      </c>
      <c r="G13" s="30">
        <v>0.5</v>
      </c>
      <c r="H13" s="28" t="s">
        <v>27</v>
      </c>
      <c r="I13" s="167" t="s">
        <v>425</v>
      </c>
    </row>
    <row r="14" spans="1:9" s="21" customFormat="1" ht="73.5" customHeight="1">
      <c r="B14" s="27" t="s">
        <v>415</v>
      </c>
      <c r="C14" s="28" t="s">
        <v>25</v>
      </c>
      <c r="D14" s="29" t="s">
        <v>26</v>
      </c>
      <c r="E14" s="29" t="s">
        <v>30</v>
      </c>
      <c r="F14" s="28" t="s">
        <v>171</v>
      </c>
      <c r="G14" s="30">
        <v>0.7</v>
      </c>
      <c r="H14" s="28" t="s">
        <v>27</v>
      </c>
      <c r="I14" s="167" t="s">
        <v>421</v>
      </c>
    </row>
    <row r="15" spans="1:9" s="21" customFormat="1" ht="62" customHeight="1">
      <c r="B15" s="27" t="s">
        <v>415</v>
      </c>
      <c r="C15" s="28" t="s">
        <v>25</v>
      </c>
      <c r="D15" s="29" t="s">
        <v>26</v>
      </c>
      <c r="E15" s="29" t="s">
        <v>30</v>
      </c>
      <c r="F15" s="28" t="s">
        <v>171</v>
      </c>
      <c r="G15" s="30">
        <v>1</v>
      </c>
      <c r="H15" s="28" t="s">
        <v>27</v>
      </c>
      <c r="I15" s="167" t="s">
        <v>430</v>
      </c>
    </row>
    <row r="16" spans="1:9" s="21" customFormat="1" ht="62" customHeight="1">
      <c r="B16" s="27" t="s">
        <v>415</v>
      </c>
      <c r="C16" s="28" t="s">
        <v>25</v>
      </c>
      <c r="D16" s="29" t="s">
        <v>26</v>
      </c>
      <c r="E16" s="29" t="s">
        <v>30</v>
      </c>
      <c r="F16" s="28" t="s">
        <v>171</v>
      </c>
      <c r="G16" s="30">
        <v>1</v>
      </c>
      <c r="H16" s="28" t="s">
        <v>27</v>
      </c>
      <c r="I16" s="167" t="s">
        <v>434</v>
      </c>
    </row>
    <row r="17" spans="2:9" s="21" customFormat="1" ht="87">
      <c r="B17" s="27" t="s">
        <v>415</v>
      </c>
      <c r="C17" s="28" t="s">
        <v>25</v>
      </c>
      <c r="D17" s="29" t="s">
        <v>26</v>
      </c>
      <c r="E17" s="29" t="s">
        <v>30</v>
      </c>
      <c r="F17" s="28" t="s">
        <v>171</v>
      </c>
      <c r="G17" s="30">
        <v>0.5</v>
      </c>
      <c r="H17" s="28" t="s">
        <v>153</v>
      </c>
      <c r="I17" s="167" t="s">
        <v>422</v>
      </c>
    </row>
    <row r="18" spans="2:9" s="21" customFormat="1" ht="29">
      <c r="B18" s="27" t="s">
        <v>415</v>
      </c>
      <c r="C18" s="28" t="s">
        <v>25</v>
      </c>
      <c r="D18" s="29" t="s">
        <v>26</v>
      </c>
      <c r="E18" s="29" t="s">
        <v>30</v>
      </c>
      <c r="F18" s="28" t="s">
        <v>171</v>
      </c>
      <c r="G18" s="30">
        <v>0.2</v>
      </c>
      <c r="H18" s="28" t="s">
        <v>27</v>
      </c>
      <c r="I18" s="167" t="s">
        <v>428</v>
      </c>
    </row>
    <row r="19" spans="2:9" s="21" customFormat="1" ht="58">
      <c r="B19" s="27" t="s">
        <v>415</v>
      </c>
      <c r="C19" s="28" t="s">
        <v>28</v>
      </c>
      <c r="D19" s="29" t="s">
        <v>31</v>
      </c>
      <c r="E19" s="29" t="s">
        <v>33</v>
      </c>
      <c r="F19" s="28" t="s">
        <v>33</v>
      </c>
      <c r="G19" s="30">
        <v>0.7</v>
      </c>
      <c r="H19" s="28" t="s">
        <v>27</v>
      </c>
      <c r="I19" s="167" t="s">
        <v>426</v>
      </c>
    </row>
    <row r="20" spans="2:9" s="21" customFormat="1" ht="103" customHeight="1">
      <c r="B20" s="27" t="s">
        <v>415</v>
      </c>
      <c r="C20" s="28" t="s">
        <v>45</v>
      </c>
      <c r="D20" s="29" t="s">
        <v>49</v>
      </c>
      <c r="E20" s="29" t="s">
        <v>30</v>
      </c>
      <c r="F20" s="28" t="s">
        <v>169</v>
      </c>
      <c r="G20" s="30">
        <v>1</v>
      </c>
      <c r="H20" s="28" t="s">
        <v>153</v>
      </c>
      <c r="I20" s="167" t="s">
        <v>442</v>
      </c>
    </row>
    <row r="21" spans="2:9" s="21" customFormat="1" ht="83" customHeight="1">
      <c r="B21" s="27" t="s">
        <v>415</v>
      </c>
      <c r="C21" s="28" t="s">
        <v>45</v>
      </c>
      <c r="D21" s="29" t="s">
        <v>49</v>
      </c>
      <c r="E21" s="29" t="s">
        <v>30</v>
      </c>
      <c r="F21" s="28" t="s">
        <v>169</v>
      </c>
      <c r="G21" s="30">
        <v>1</v>
      </c>
      <c r="H21" s="28" t="s">
        <v>27</v>
      </c>
      <c r="I21" s="167" t="s">
        <v>436</v>
      </c>
    </row>
    <row r="22" spans="2:9" s="21" customFormat="1" ht="50" customHeight="1">
      <c r="B22" s="27" t="s">
        <v>415</v>
      </c>
      <c r="C22" s="28" t="s">
        <v>25</v>
      </c>
      <c r="D22" s="29" t="s">
        <v>26</v>
      </c>
      <c r="E22" s="29" t="s">
        <v>33</v>
      </c>
      <c r="F22" s="28" t="s">
        <v>33</v>
      </c>
      <c r="G22" s="30">
        <v>1</v>
      </c>
      <c r="H22" s="28" t="s">
        <v>158</v>
      </c>
      <c r="I22" s="167" t="s">
        <v>418</v>
      </c>
    </row>
    <row r="23" spans="2:9" s="21" customFormat="1" ht="38.5" customHeight="1">
      <c r="B23" s="27" t="s">
        <v>415</v>
      </c>
      <c r="C23" s="28" t="s">
        <v>25</v>
      </c>
      <c r="D23" s="29" t="s">
        <v>26</v>
      </c>
      <c r="E23" s="29" t="s">
        <v>30</v>
      </c>
      <c r="F23" s="28" t="s">
        <v>171</v>
      </c>
      <c r="G23" s="30">
        <v>0.5</v>
      </c>
      <c r="H23" s="28" t="s">
        <v>153</v>
      </c>
      <c r="I23" s="167" t="s">
        <v>427</v>
      </c>
    </row>
    <row r="24" spans="2:9" s="21" customFormat="1" ht="50" customHeight="1">
      <c r="B24" s="27" t="s">
        <v>415</v>
      </c>
      <c r="C24" s="28" t="s">
        <v>25</v>
      </c>
      <c r="D24" s="29" t="s">
        <v>26</v>
      </c>
      <c r="E24" s="29" t="s">
        <v>30</v>
      </c>
      <c r="F24" s="28" t="s">
        <v>171</v>
      </c>
      <c r="G24" s="30">
        <v>1</v>
      </c>
      <c r="H24" s="28" t="s">
        <v>157</v>
      </c>
      <c r="I24" s="167" t="s">
        <v>423</v>
      </c>
    </row>
    <row r="25" spans="2:9" s="21" customFormat="1" ht="6.5" customHeight="1">
      <c r="B25" s="27"/>
      <c r="C25" s="28"/>
      <c r="D25" s="29"/>
      <c r="E25" s="29"/>
      <c r="F25" s="28"/>
      <c r="G25" s="30"/>
      <c r="H25" s="28"/>
      <c r="I25" s="167"/>
    </row>
    <row r="26" spans="2:9" s="21" customFormat="1" ht="35.5" customHeight="1">
      <c r="B26" s="27" t="s">
        <v>415</v>
      </c>
      <c r="C26" s="28" t="s">
        <v>28</v>
      </c>
      <c r="D26" s="29" t="s">
        <v>31</v>
      </c>
      <c r="E26" s="29" t="s">
        <v>33</v>
      </c>
      <c r="F26" s="28" t="s">
        <v>33</v>
      </c>
      <c r="G26" s="30">
        <v>1</v>
      </c>
      <c r="H26" s="28" t="s">
        <v>158</v>
      </c>
      <c r="I26" s="167" t="s">
        <v>419</v>
      </c>
    </row>
    <row r="27" spans="2:9" s="21" customFormat="1" ht="64" customHeight="1">
      <c r="B27" s="27" t="s">
        <v>415</v>
      </c>
      <c r="C27" s="28" t="s">
        <v>28</v>
      </c>
      <c r="D27" s="29" t="s">
        <v>31</v>
      </c>
      <c r="E27" s="29" t="s">
        <v>33</v>
      </c>
      <c r="F27" s="28" t="s">
        <v>33</v>
      </c>
      <c r="G27" s="30">
        <v>1</v>
      </c>
      <c r="H27" s="28" t="s">
        <v>27</v>
      </c>
      <c r="I27" s="167" t="s">
        <v>437</v>
      </c>
    </row>
    <row r="28" spans="2:9" s="21" customFormat="1" ht="91" customHeight="1">
      <c r="B28" s="27" t="s">
        <v>415</v>
      </c>
      <c r="C28" s="28" t="s">
        <v>28</v>
      </c>
      <c r="D28" s="29" t="s">
        <v>31</v>
      </c>
      <c r="E28" s="29" t="s">
        <v>33</v>
      </c>
      <c r="F28" s="28" t="s">
        <v>33</v>
      </c>
      <c r="G28" s="30">
        <v>0.5</v>
      </c>
      <c r="H28" s="28" t="s">
        <v>153</v>
      </c>
      <c r="I28" s="167" t="s">
        <v>438</v>
      </c>
    </row>
    <row r="29" spans="2:9" s="21" customFormat="1" ht="51" customHeight="1">
      <c r="B29" s="27" t="s">
        <v>415</v>
      </c>
      <c r="C29" s="28" t="s">
        <v>28</v>
      </c>
      <c r="D29" s="29" t="s">
        <v>31</v>
      </c>
      <c r="E29" s="29" t="s">
        <v>34</v>
      </c>
      <c r="F29" s="28" t="s">
        <v>161</v>
      </c>
      <c r="G29" s="30">
        <v>1.5</v>
      </c>
      <c r="H29" s="28" t="s">
        <v>21</v>
      </c>
      <c r="I29" s="167" t="s">
        <v>435</v>
      </c>
    </row>
    <row r="30" spans="2:9" s="21" customFormat="1" ht="46.5" customHeight="1">
      <c r="B30" s="27" t="s">
        <v>415</v>
      </c>
      <c r="C30" s="28" t="s">
        <v>28</v>
      </c>
      <c r="D30" s="29" t="s">
        <v>31</v>
      </c>
      <c r="E30" s="29" t="s">
        <v>33</v>
      </c>
      <c r="F30" s="28" t="s">
        <v>33</v>
      </c>
      <c r="G30" s="94">
        <v>15</v>
      </c>
      <c r="H30" s="28" t="s">
        <v>153</v>
      </c>
      <c r="I30" s="167" t="s">
        <v>439</v>
      </c>
    </row>
    <row r="31" spans="2:9" s="21" customFormat="1" ht="35.5" customHeight="1">
      <c r="B31" s="27" t="s">
        <v>415</v>
      </c>
      <c r="C31" s="28" t="s">
        <v>28</v>
      </c>
      <c r="D31" s="29" t="s">
        <v>31</v>
      </c>
      <c r="E31" s="29" t="s">
        <v>33</v>
      </c>
      <c r="F31" s="28" t="s">
        <v>41</v>
      </c>
      <c r="G31" s="30">
        <v>8</v>
      </c>
      <c r="H31" s="28" t="s">
        <v>153</v>
      </c>
      <c r="I31" s="167" t="s">
        <v>440</v>
      </c>
    </row>
    <row r="32" spans="2:9" s="21" customFormat="1" ht="13">
      <c r="B32" s="27" t="s">
        <v>415</v>
      </c>
      <c r="C32" s="28"/>
      <c r="D32" s="29"/>
      <c r="E32" s="29"/>
      <c r="F32" s="28"/>
      <c r="G32" s="30"/>
      <c r="H32" s="28"/>
      <c r="I32" s="168"/>
    </row>
    <row r="33" spans="2:9" s="21" customFormat="1" ht="13">
      <c r="B33" s="27" t="s">
        <v>415</v>
      </c>
      <c r="C33" s="28"/>
      <c r="D33" s="29"/>
      <c r="E33" s="29"/>
      <c r="F33" s="28"/>
      <c r="G33" s="30"/>
      <c r="H33" s="28"/>
      <c r="I33" s="168"/>
    </row>
    <row r="34" spans="2:9" s="21" customFormat="1" ht="13">
      <c r="B34" s="27" t="s">
        <v>415</v>
      </c>
      <c r="C34" s="28"/>
      <c r="D34" s="29"/>
      <c r="E34" s="29"/>
      <c r="F34" s="28"/>
      <c r="G34" s="30"/>
      <c r="H34" s="28"/>
      <c r="I34" s="35"/>
    </row>
    <row r="35" spans="2:9" s="21" customFormat="1" ht="14.5" customHeight="1">
      <c r="B35" s="99" t="s">
        <v>32</v>
      </c>
      <c r="C35" s="100"/>
      <c r="D35" s="101"/>
      <c r="E35" s="31"/>
      <c r="F35" s="31"/>
      <c r="G35" s="102">
        <f>SUM(G6:G34)</f>
        <v>42.8</v>
      </c>
      <c r="H35" s="103"/>
      <c r="I35" s="104"/>
    </row>
    <row r="38" spans="2:9">
      <c r="B38" s="36" t="s">
        <v>162</v>
      </c>
      <c r="C38" s="37" t="s">
        <v>417</v>
      </c>
    </row>
    <row r="39" spans="2:9">
      <c r="C39" s="37"/>
    </row>
  </sheetData>
  <mergeCells count="4">
    <mergeCell ref="B1:I1"/>
    <mergeCell ref="B2:H2"/>
    <mergeCell ref="B35:D35"/>
    <mergeCell ref="G35:I35"/>
  </mergeCells>
  <phoneticPr fontId="17" type="noConversion"/>
  <dataValidations count="3">
    <dataValidation type="list" errorStyle="warning" allowBlank="1" sqref="C9: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D6:D8 D21:D26 D29:D34 D11:D19</xm:sqref>
        </x14:dataValidation>
        <x14:dataValidation type="list" allowBlank="1" showInputMessage="1" showErrorMessage="1" xr:uid="{00000000-0002-0000-0000-000007000000}">
          <x14:formula1>
            <xm:f>Tag!$B$2:$E$2</xm:f>
          </x14:formula1>
          <xm:sqref>E6:E8 E21:E26 E29:E34 E11:E19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7"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3">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60">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3" workbookViewId="0">
      <selection activeCell="F6" sqref="F6"/>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39" t="s">
        <v>73</v>
      </c>
      <c r="L4" s="39" t="s">
        <v>74</v>
      </c>
      <c r="M4" s="39" t="s">
        <v>75</v>
      </c>
      <c r="N4" s="39" t="s">
        <v>76</v>
      </c>
    </row>
    <row r="5" spans="2:14" ht="93" outlineLevel="1">
      <c r="C5" s="40" t="s">
        <v>192</v>
      </c>
      <c r="D5" s="145" t="s">
        <v>193</v>
      </c>
      <c r="E5" s="138"/>
      <c r="F5" s="41" t="s">
        <v>194</v>
      </c>
      <c r="G5" s="40" t="s">
        <v>195</v>
      </c>
      <c r="H5" s="40" t="s">
        <v>196</v>
      </c>
      <c r="I5" s="40" t="s">
        <v>197</v>
      </c>
      <c r="J5" s="40" t="s">
        <v>198</v>
      </c>
      <c r="K5" s="146" t="s">
        <v>199</v>
      </c>
      <c r="L5" s="146"/>
      <c r="M5" s="146"/>
      <c r="N5" s="146"/>
    </row>
    <row r="6" spans="2:14" s="42" customFormat="1" ht="186" outlineLevel="1">
      <c r="B6" s="129"/>
      <c r="C6" s="131" t="s">
        <v>200</v>
      </c>
      <c r="D6" s="150"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29"/>
      <c r="C7" s="147"/>
      <c r="D7" s="147"/>
      <c r="E7" s="51" t="s">
        <v>208</v>
      </c>
      <c r="F7" s="52" t="s">
        <v>209</v>
      </c>
      <c r="G7" s="46" t="s">
        <v>210</v>
      </c>
      <c r="H7" s="53">
        <v>5</v>
      </c>
      <c r="I7" s="54" t="s">
        <v>211</v>
      </c>
      <c r="J7" s="48" t="s">
        <v>212</v>
      </c>
      <c r="K7" s="55" t="s">
        <v>213</v>
      </c>
      <c r="L7" s="56" t="s">
        <v>207</v>
      </c>
      <c r="M7" s="55" t="s">
        <v>214</v>
      </c>
      <c r="N7" s="57" t="s">
        <v>215</v>
      </c>
    </row>
    <row r="8" spans="2:14" s="42" customFormat="1" ht="248" outlineLevel="1">
      <c r="B8" s="129"/>
      <c r="C8" s="148"/>
      <c r="D8" s="151"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9"/>
      <c r="C9" s="148"/>
      <c r="D9" s="152"/>
      <c r="E9" s="46" t="s">
        <v>223</v>
      </c>
      <c r="F9" s="45" t="s">
        <v>224</v>
      </c>
      <c r="G9" s="58" t="s">
        <v>225</v>
      </c>
      <c r="H9" s="47">
        <v>5</v>
      </c>
      <c r="I9" s="48" t="s">
        <v>220</v>
      </c>
      <c r="J9" s="48" t="s">
        <v>226</v>
      </c>
      <c r="K9" s="58" t="s">
        <v>227</v>
      </c>
      <c r="L9" s="58" t="s">
        <v>228</v>
      </c>
      <c r="M9" s="58" t="s">
        <v>229</v>
      </c>
      <c r="N9" s="57" t="s">
        <v>229</v>
      </c>
    </row>
    <row r="10" spans="2:14" s="42" customFormat="1" ht="77.5" outlineLevel="1">
      <c r="B10" s="129"/>
      <c r="C10" s="147"/>
      <c r="D10" s="153" t="s">
        <v>230</v>
      </c>
      <c r="E10" s="154"/>
      <c r="F10" s="46" t="s">
        <v>231</v>
      </c>
      <c r="G10" s="59" t="s">
        <v>232</v>
      </c>
      <c r="H10" s="54">
        <v>4</v>
      </c>
      <c r="I10" s="48" t="s">
        <v>220</v>
      </c>
      <c r="J10" s="49" t="s">
        <v>233</v>
      </c>
      <c r="K10" s="58" t="s">
        <v>234</v>
      </c>
      <c r="L10" s="58" t="s">
        <v>234</v>
      </c>
      <c r="M10" s="58" t="s">
        <v>234</v>
      </c>
      <c r="N10" s="57" t="s">
        <v>234</v>
      </c>
    </row>
    <row r="11" spans="2:14" s="42" customFormat="1" ht="310" outlineLevel="1">
      <c r="B11" s="129"/>
      <c r="C11" s="147"/>
      <c r="D11" s="150"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29"/>
      <c r="C12" s="148"/>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8"/>
      <c r="D13" s="155"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49"/>
      <c r="D14" s="156"/>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42"/>
      <c r="D15" s="156"/>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29"/>
      <c r="C16" s="123" t="s">
        <v>259</v>
      </c>
      <c r="D16" s="127"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9"/>
      <c r="C17" s="130"/>
      <c r="D17" s="133"/>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29"/>
      <c r="C18" s="130"/>
      <c r="D18" s="135" t="s">
        <v>170</v>
      </c>
      <c r="E18" s="136"/>
      <c r="F18" s="63" t="s">
        <v>271</v>
      </c>
      <c r="G18" s="63" t="s">
        <v>272</v>
      </c>
      <c r="H18" s="61">
        <v>5</v>
      </c>
      <c r="I18" s="48" t="s">
        <v>273</v>
      </c>
      <c r="J18" s="48" t="s">
        <v>26</v>
      </c>
      <c r="K18" s="55" t="s">
        <v>274</v>
      </c>
      <c r="L18" s="55" t="s">
        <v>275</v>
      </c>
      <c r="M18" s="55" t="s">
        <v>275</v>
      </c>
      <c r="N18" s="57" t="s">
        <v>275</v>
      </c>
    </row>
    <row r="19" spans="2:14" s="42" customFormat="1" ht="155" outlineLevel="1">
      <c r="B19" s="129"/>
      <c r="C19" s="130"/>
      <c r="D19" s="137" t="s">
        <v>172</v>
      </c>
      <c r="E19" s="138"/>
      <c r="F19" s="63" t="s">
        <v>276</v>
      </c>
      <c r="G19" s="46" t="s">
        <v>267</v>
      </c>
      <c r="H19" s="61">
        <v>5</v>
      </c>
      <c r="I19" s="48" t="s">
        <v>277</v>
      </c>
      <c r="J19" s="63" t="s">
        <v>278</v>
      </c>
      <c r="K19" s="55" t="s">
        <v>279</v>
      </c>
      <c r="L19" s="55" t="s">
        <v>279</v>
      </c>
      <c r="M19" s="55" t="s">
        <v>279</v>
      </c>
      <c r="N19" s="68" t="s">
        <v>279</v>
      </c>
    </row>
    <row r="20" spans="2:14" s="42" customFormat="1" ht="108.5" outlineLevel="1">
      <c r="B20" s="129"/>
      <c r="C20" s="134"/>
      <c r="D20" s="139" t="s">
        <v>174</v>
      </c>
      <c r="E20" s="140"/>
      <c r="F20" s="69" t="s">
        <v>280</v>
      </c>
      <c r="G20" s="63" t="s">
        <v>101</v>
      </c>
      <c r="H20" s="61">
        <v>5</v>
      </c>
      <c r="I20" s="48" t="s">
        <v>281</v>
      </c>
      <c r="J20" s="48" t="s">
        <v>282</v>
      </c>
      <c r="K20" s="55" t="s">
        <v>283</v>
      </c>
      <c r="L20" s="55" t="s">
        <v>284</v>
      </c>
      <c r="M20" s="55" t="s">
        <v>283</v>
      </c>
      <c r="N20" s="57" t="s">
        <v>283</v>
      </c>
    </row>
    <row r="21" spans="2:14" ht="232.5">
      <c r="B21" s="129"/>
      <c r="C21" s="130"/>
      <c r="D21" s="141"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29"/>
      <c r="C22" s="130"/>
      <c r="D22" s="142"/>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29"/>
      <c r="C23" s="123"/>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55" outlineLevel="1">
      <c r="B24" s="129"/>
      <c r="C24" s="130"/>
      <c r="D24" s="137" t="s">
        <v>306</v>
      </c>
      <c r="E24" s="143"/>
      <c r="F24" s="63" t="s">
        <v>307</v>
      </c>
      <c r="G24" s="63" t="s">
        <v>308</v>
      </c>
      <c r="H24" s="61">
        <v>5</v>
      </c>
      <c r="I24" s="48" t="s">
        <v>220</v>
      </c>
      <c r="J24" s="48" t="s">
        <v>233</v>
      </c>
      <c r="K24" s="48" t="s">
        <v>309</v>
      </c>
      <c r="L24" s="48" t="s">
        <v>310</v>
      </c>
      <c r="M24" s="48" t="s">
        <v>310</v>
      </c>
      <c r="N24" s="48" t="s">
        <v>310</v>
      </c>
    </row>
    <row r="25" spans="2:14" s="42" customFormat="1" ht="341" outlineLevel="1">
      <c r="B25" s="129"/>
      <c r="C25" s="134"/>
      <c r="D25" s="139" t="s">
        <v>311</v>
      </c>
      <c r="E25" s="140"/>
      <c r="F25" s="69" t="s">
        <v>312</v>
      </c>
      <c r="G25" s="63" t="s">
        <v>313</v>
      </c>
      <c r="H25" s="61">
        <v>5</v>
      </c>
      <c r="I25" s="48" t="s">
        <v>220</v>
      </c>
      <c r="J25" s="48" t="s">
        <v>314</v>
      </c>
      <c r="K25" s="48" t="s">
        <v>315</v>
      </c>
      <c r="L25" s="48" t="s">
        <v>316</v>
      </c>
      <c r="M25" s="48" t="s">
        <v>317</v>
      </c>
      <c r="N25" s="48" t="s">
        <v>318</v>
      </c>
    </row>
    <row r="26" spans="2:14" s="42" customFormat="1" ht="409.5" outlineLevel="1">
      <c r="B26" s="129"/>
      <c r="C26" s="130"/>
      <c r="D26" s="127"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9"/>
      <c r="C27" s="130"/>
      <c r="D27" s="144"/>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29"/>
      <c r="C28" s="130"/>
      <c r="D28" s="135" t="s">
        <v>178</v>
      </c>
      <c r="E28" s="136"/>
      <c r="F28" s="63" t="s">
        <v>335</v>
      </c>
      <c r="G28" s="63" t="s">
        <v>336</v>
      </c>
      <c r="H28" s="61">
        <v>5</v>
      </c>
      <c r="I28" s="48" t="s">
        <v>337</v>
      </c>
      <c r="J28" s="74" t="s">
        <v>338</v>
      </c>
      <c r="K28" s="48" t="s">
        <v>339</v>
      </c>
      <c r="L28" s="48" t="s">
        <v>339</v>
      </c>
      <c r="M28" s="48" t="s">
        <v>340</v>
      </c>
      <c r="N28" s="48" t="s">
        <v>340</v>
      </c>
    </row>
    <row r="29" spans="2:14" s="42" customFormat="1" ht="155" outlineLevel="1">
      <c r="B29" s="129"/>
      <c r="C29" s="123" t="s">
        <v>341</v>
      </c>
      <c r="D29" s="125"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29"/>
      <c r="C30" s="124"/>
      <c r="D30" s="126"/>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9"/>
      <c r="C31" s="124"/>
      <c r="D31" s="127" t="s">
        <v>351</v>
      </c>
      <c r="E31" s="46" t="s">
        <v>352</v>
      </c>
      <c r="F31" s="46" t="s">
        <v>353</v>
      </c>
      <c r="G31" s="63" t="s">
        <v>354</v>
      </c>
      <c r="H31" s="61">
        <v>5</v>
      </c>
      <c r="I31" s="48" t="s">
        <v>220</v>
      </c>
      <c r="J31" s="49" t="s">
        <v>355</v>
      </c>
      <c r="K31" s="48" t="s">
        <v>356</v>
      </c>
      <c r="L31" s="48" t="s">
        <v>356</v>
      </c>
      <c r="M31" s="48" t="s">
        <v>356</v>
      </c>
      <c r="N31" s="48" t="s">
        <v>356</v>
      </c>
    </row>
    <row r="32" spans="2:14" s="42" customFormat="1" ht="108.5" outlineLevel="1">
      <c r="B32" s="129"/>
      <c r="C32" s="124"/>
      <c r="D32" s="128"/>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29"/>
      <c r="C33" s="123" t="s">
        <v>362</v>
      </c>
      <c r="D33" s="13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9"/>
      <c r="C34" s="130"/>
      <c r="D34" s="132"/>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9"/>
      <c r="C35" s="130"/>
      <c r="D35" s="133"/>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29"/>
      <c r="C36" s="130"/>
      <c r="D36" s="131" t="s">
        <v>182</v>
      </c>
      <c r="E36" s="63" t="s">
        <v>386</v>
      </c>
      <c r="F36" s="46" t="s">
        <v>387</v>
      </c>
      <c r="G36" s="63" t="s">
        <v>388</v>
      </c>
      <c r="H36" s="54">
        <v>4</v>
      </c>
      <c r="I36" s="48" t="s">
        <v>220</v>
      </c>
      <c r="J36" s="48" t="s">
        <v>28</v>
      </c>
      <c r="K36" s="48" t="s">
        <v>389</v>
      </c>
      <c r="L36" s="48" t="s">
        <v>390</v>
      </c>
      <c r="M36" s="48" t="s">
        <v>390</v>
      </c>
      <c r="N36" s="48" t="s">
        <v>390</v>
      </c>
    </row>
    <row r="37" spans="1:14" s="42" customFormat="1" ht="77.5" outlineLevel="1">
      <c r="B37" s="129"/>
      <c r="C37" s="130"/>
      <c r="D37" s="133"/>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9"/>
      <c r="C38" s="13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2025-02-25T05:39:17Z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