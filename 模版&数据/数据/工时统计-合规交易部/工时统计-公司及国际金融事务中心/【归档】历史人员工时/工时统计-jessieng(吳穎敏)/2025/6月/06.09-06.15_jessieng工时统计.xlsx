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Jessie\"/>
    </mc:Choice>
  </mc:AlternateContent>
  <xr:revisionPtr revIDLastSave="0" documentId="13_ncr:1_{387BFE13-7841-498B-8552-B9215BD7990B}"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 i="1" l="1"/>
</calcChain>
</file>

<file path=xl/sharedStrings.xml><?xml version="1.0" encoding="utf-8"?>
<sst xmlns="http://schemas.openxmlformats.org/spreadsheetml/2006/main" count="500" uniqueCount="342">
  <si>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</si>
  <si>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</si>
  <si>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</si>
  <si>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</si>
  <si>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</si>
  <si>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</si>
  <si>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</si>
  <si>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</si>
  <si>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</si>
  <si>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</si>
  <si>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</si>
  <si>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</si>
  <si>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</si>
  <si>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</si>
  <si>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</si>
  <si>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</si>
  <si>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</si>
  <si>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</si>
  <si>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</si>
  <si>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</si>
  <si>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</si>
  <si>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</si>
  <si>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</si>
  <si>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</si>
  <si>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</si>
  <si>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</si>
  <si>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</si>
  <si>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</si>
  <si>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</si>
  <si>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</si>
  <si>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</si>
  <si>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</si>
  <si>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</si>
  <si>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</si>
  <si>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</si>
  <si>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</si>
  <si>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</si>
  <si>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</si>
  <si>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</si>
  <si>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</si>
  <si>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</si>
  <si>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</si>
  <si>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</si>
  <si>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</si>
  <si>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</si>
  <si>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</si>
  <si>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</si>
  <si>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</si>
  <si>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</si>
  <si>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</si>
  <si>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</si>
  <si>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</si>
  <si>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</si>
  <si>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</si>
  <si>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</si>
  <si>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</si>
  <si>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</si>
  <si>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</si>
  <si>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</si>
  <si>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</si>
  <si>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</si>
  <si>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</si>
  <si>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</si>
  <si>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</si>
  <si>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</si>
  <si>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</si>
  <si>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</si>
  <si>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</si>
  <si>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</si>
  <si>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</si>
  <si>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</si>
  <si>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</si>
  <si>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</si>
  <si>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</si>
  <si>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</si>
  <si>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</si>
  <si>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</si>
  <si>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</si>
  <si>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</si>
  <si>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</si>
  <si>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</si>
  <si>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</si>
  <si>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</si>
  <si>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</si>
  <si>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</si>
  <si>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</si>
  <si>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</si>
  <si>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</si>
  <si>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</si>
  <si>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</si>
  <si>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</si>
  <si>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</si>
  <si>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</si>
  <si>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</si>
  <si>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</si>
  <si>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</si>
  <si>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</si>
  <si>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</si>
  <si>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</si>
  <si>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</si>
  <si>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</si>
  <si>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</si>
  <si>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</si>
  <si>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</si>
  <si>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</si>
  <si>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</si>
  <si>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</si>
  <si>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</si>
  <si>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</si>
  <si>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</si>
  <si>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</si>
  <si>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</si>
  <si>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</si>
  <si>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</si>
  <si>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</si>
  <si>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</si>
  <si>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</si>
  <si>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</si>
  <si>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</si>
  <si>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</si>
  <si>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</si>
  <si>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</si>
  <si>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</si>
  <si>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</si>
  <si>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</si>
  <si>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</si>
  <si>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</si>
  <si>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</si>
  <si>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</si>
  <si>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</si>
  <si>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</si>
  <si>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</si>
  <si>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</si>
  <si>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</si>
  <si>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</si>
  <si>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</si>
  <si>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</si>
  <si>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</si>
  <si>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</si>
  <si>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</si>
  <si>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</si>
  <si>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</si>
  <si>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</si>
  <si>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</si>
  <si>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</si>
  <si>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</si>
  <si>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</si>
  <si>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</si>
  <si>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</si>
  <si>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</si>
  <si>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</si>
  <si>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</si>
  <si>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</si>
  <si>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</si>
  <si>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</si>
  <si>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</si>
  <si>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</si>
  <si>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</si>
  <si>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</si>
  <si>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</si>
  <si>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</si>
  <si>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</si>
  <si>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</si>
  <si>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</si>
  <si>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</si>
  <si>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</si>
  <si>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</si>
  <si>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</si>
  <si>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</si>
  <si>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</si>
  <si>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</si>
  <si>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</si>
  <si>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</si>
  <si>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</si>
  <si>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</si>
  <si>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</si>
  <si>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</si>
  <si>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</si>
  <si>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</si>
  <si>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</si>
  <si>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</si>
  <si>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</si>
  <si>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</si>
  <si>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</si>
  <si>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</si>
  <si>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</si>
  <si>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</si>
  <si>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</si>
  <si>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</si>
  <si>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</si>
  <si>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</si>
  <si>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</si>
  <si>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</si>
  <si>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</si>
  <si>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</si>
  <si>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</si>
  <si>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</si>
  <si>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</si>
  <si>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</si>
  <si>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</si>
  <si>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</si>
  <si>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</si>
  <si>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</si>
  <si>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</si>
  <si>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</si>
  <si>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</si>
  <si>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</si>
  <si>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</si>
  <si>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</si>
  <si>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</si>
  <si>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</si>
  <si>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</si>
  <si>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</si>
  <si>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</si>
  <si>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</si>
  <si>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</si>
  <si>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</si>
  <si>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</si>
  <si>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</si>
  <si>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</si>
  <si>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</si>
  <si>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</si>
  <si>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</si>
  <si>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</si>
  <si>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</si>
  <si>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</si>
  <si>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</si>
  <si>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</si>
  <si>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</si>
  <si>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</si>
  <si>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</si>
  <si>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</si>
  <si>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</si>
  <si>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</si>
  <si>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</si>
  <si>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</si>
  <si>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</si>
  <si>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</si>
  <si>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</si>
  <si>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</si>
  <si>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</si>
  <si>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</si>
  <si>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</si>
  <si>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</si>
  <si>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</si>
  <si>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</si>
  <si>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</si>
  <si>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</si>
  <si>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</si>
  <si>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</si>
  <si>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</si>
  <si>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</si>
  <si>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</si>
  <si>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</si>
  <si>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</si>
  <si>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</si>
  <si>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</si>
  <si>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</si>
  <si>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</si>
  <si>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</si>
  <si>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</si>
  <si>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</si>
  <si>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</si>
  <si>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</si>
  <si>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</si>
  <si>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</si>
  <si>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</si>
  <si>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</si>
  <si>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</si>
  <si>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</si>
  <si>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</si>
  <si>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</si>
  <si>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</si>
  <si>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</si>
  <si>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</si>
  <si>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</si>
  <si>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</si>
  <si>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</si>
  <si>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</si>
  <si>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</si>
  <si>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</si>
  <si>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</si>
  <si>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</si>
  <si>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</si>
  <si>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</si>
  <si>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</si>
  <si>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</si>
  <si>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</si>
  <si>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</si>
  <si>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</si>
  <si>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</si>
  <si>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</si>
  <si>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</si>
  <si>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</si>
  <si>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</si>
  <si>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</si>
  <si>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</si>
  <si>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</si>
  <si>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</si>
  <si>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</si>
  <si>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</si>
  <si>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</si>
  <si>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</si>
  <si>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</si>
  <si>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</si>
  <si>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</si>
  <si>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</si>
  <si>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</si>
  <si>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</si>
  <si>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</si>
  <si>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</si>
  <si>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</si>
  <si>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</si>
  <si>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</si>
  <si>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</si>
  <si>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</si>
  <si>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</si>
  <si>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</si>
  <si>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</si>
  <si>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</si>
  <si>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</si>
  <si>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</si>
  <si>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</si>
  <si>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</si>
  <si>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</si>
  <si>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</si>
  <si>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</si>
  <si>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</si>
  <si>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</si>
  <si>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</si>
  <si>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</si>
  <si>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</si>
  <si>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</si>
  <si>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</si>
  <si>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</si>
  <si>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</si>
  <si>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</si>
  <si>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</si>
  <si>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</si>
  <si>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</si>
  <si>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</si>
  <si>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Jessieng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</si>
</sst>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1"/>
      <charset val="136"/>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2">
    <xf numFmtId="0" fontId="0" fillId="0" borderId="0">
      <alignment vertical="center"/>
    </xf>
    <xf numFmtId="0" fontId="3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2">
    <cellStyle name="Normal" xfId="0" builtinId="0"/>
    <cellStyle name="Normal 2" xfId="1" xr:uid="{A6613462-33E9-47D5-99A9-339182350D3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8"/>
  <sheetViews>
    <sheetView tabSelected="1" topLeftCell="A5" zoomScaleNormal="95" workbookViewId="0">
      <selection activeCell="A15" sqref="A15:XFD16"/>
    </sheetView>
  </sheetViews>
  <sheetFormatPr defaultColWidth="9" defaultRowHeight="14.5"/>
  <cols>
    <col min="2" max="2" width="12.8984375" customWidth="1"/>
    <col min="3" max="3" width="28.3984375" style="1" customWidth="1"/>
    <col min="4" max="4" width="18.3984375" customWidth="1"/>
    <col min="5" max="5" width="17.8984375" customWidth="1"/>
    <col min="6" max="6" width="32.3984375" customWidth="1"/>
    <col min="7" max="7" width="13.09765625" customWidth="1"/>
    <col min="8" max="8" width="41" customWidth="1"/>
    <col min="9" max="9" width="42.69921875" customWidth="1"/>
  </cols>
  <sheetData>
    <row r="1" spans="1:9" ht="17">
      <c r="B1" s="75" t="s">
        <v>0</v>
      </c>
      <c r="C1" s="76"/>
      <c r="D1" s="76"/>
      <c r="E1" s="76"/>
      <c r="F1" s="76"/>
      <c r="G1" s="76"/>
      <c r="H1" s="76"/>
      <c r="I1" s="76"/>
    </row>
    <row r="2" spans="1:9" ht="17">
      <c r="B2" s="77"/>
      <c r="C2" s="78"/>
      <c r="D2" s="78"/>
      <c r="E2" s="78"/>
      <c r="F2" s="78"/>
      <c r="G2" s="78"/>
      <c r="H2" s="78"/>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65" customHeight="1">
      <c r="A5" s="5" t="s">
        <v>9</v>
      </c>
      <c r="B5" s="6" t="s">
        <v>10</v>
      </c>
      <c r="C5" s="7" t="s">
        <v>11</v>
      </c>
      <c r="D5" s="7" t="s">
        <v>12</v>
      </c>
      <c r="E5" s="7" t="s">
        <v>322</v>
      </c>
      <c r="F5" s="7" t="s">
        <v>13</v>
      </c>
      <c r="G5" s="7" t="s">
        <v>14</v>
      </c>
      <c r="H5" s="7" t="s">
        <v>15</v>
      </c>
      <c r="I5" s="15" t="s">
        <v>16</v>
      </c>
    </row>
    <row r="6" spans="1:9" s="2" customFormat="1" ht="40.5">
      <c r="B6" s="8" t="s">
        <v>341</v>
      </c>
      <c r="C6" s="9" t="s">
        <v>22</v>
      </c>
      <c r="D6" s="10" t="s">
        <v>58</v>
      </c>
      <c r="E6" s="10" t="s">
        <v>30</v>
      </c>
      <c r="F6" s="9" t="s">
        <v>337</v>
      </c>
      <c r="G6" s="11">
        <v>6</v>
      </c>
      <c r="H6" s="9" t="s">
        <v>79</v>
      </c>
      <c r="I6" s="16"/>
    </row>
    <row r="7" spans="1:9" s="2" customFormat="1" ht="40.5">
      <c r="B7" s="8" t="s">
        <v>341</v>
      </c>
      <c r="C7" s="9" t="s">
        <v>22</v>
      </c>
      <c r="D7" s="10" t="s">
        <v>58</v>
      </c>
      <c r="E7" s="10" t="s">
        <v>30</v>
      </c>
      <c r="F7" s="9" t="s">
        <v>337</v>
      </c>
      <c r="G7" s="11">
        <v>7.5</v>
      </c>
      <c r="H7" s="9" t="s">
        <v>27</v>
      </c>
      <c r="I7" s="16"/>
    </row>
    <row r="8" spans="1:9" s="2" customFormat="1" ht="40.5">
      <c r="B8" s="8" t="s">
        <v>341</v>
      </c>
      <c r="C8" s="9" t="s">
        <v>22</v>
      </c>
      <c r="D8" s="10" t="s">
        <v>23</v>
      </c>
      <c r="E8" s="10" t="s">
        <v>30</v>
      </c>
      <c r="F8" s="9" t="s">
        <v>337</v>
      </c>
      <c r="G8" s="11">
        <v>2.5</v>
      </c>
      <c r="H8" s="9" t="s">
        <v>79</v>
      </c>
      <c r="I8" s="16"/>
    </row>
    <row r="9" spans="1:9" s="2" customFormat="1" ht="40.5">
      <c r="B9" s="8" t="s">
        <v>341</v>
      </c>
      <c r="C9" s="9" t="s">
        <v>22</v>
      </c>
      <c r="D9" s="10" t="s">
        <v>23</v>
      </c>
      <c r="E9" s="10" t="s">
        <v>30</v>
      </c>
      <c r="F9" s="9" t="s">
        <v>337</v>
      </c>
      <c r="G9" s="11">
        <v>2</v>
      </c>
      <c r="H9" s="9" t="s">
        <v>27</v>
      </c>
      <c r="I9" s="16"/>
    </row>
    <row r="10" spans="1:9" s="2" customFormat="1" ht="81">
      <c r="B10" s="8" t="s">
        <v>341</v>
      </c>
      <c r="C10" s="9" t="s">
        <v>22</v>
      </c>
      <c r="D10" s="10" t="s">
        <v>58</v>
      </c>
      <c r="E10" s="10" t="s">
        <v>30</v>
      </c>
      <c r="F10" s="9" t="s">
        <v>338</v>
      </c>
      <c r="G10" s="11">
        <v>4.5</v>
      </c>
      <c r="H10" s="9" t="s">
        <v>27</v>
      </c>
      <c r="I10" s="16"/>
    </row>
    <row r="11" spans="1:9" s="2" customFormat="1" ht="81">
      <c r="B11" s="8" t="s">
        <v>341</v>
      </c>
      <c r="C11" s="9" t="s">
        <v>22</v>
      </c>
      <c r="D11" s="10" t="s">
        <v>58</v>
      </c>
      <c r="E11" s="10" t="s">
        <v>30</v>
      </c>
      <c r="F11" s="9" t="s">
        <v>338</v>
      </c>
      <c r="G11" s="11">
        <v>5</v>
      </c>
      <c r="H11" s="9" t="s">
        <v>24</v>
      </c>
      <c r="I11" s="16"/>
    </row>
    <row r="12" spans="1:9" s="2" customFormat="1" ht="81">
      <c r="B12" s="8" t="s">
        <v>341</v>
      </c>
      <c r="C12" s="9" t="s">
        <v>22</v>
      </c>
      <c r="D12" s="10" t="s">
        <v>58</v>
      </c>
      <c r="E12" s="10" t="s">
        <v>30</v>
      </c>
      <c r="F12" s="9" t="s">
        <v>338</v>
      </c>
      <c r="G12" s="11">
        <v>7</v>
      </c>
      <c r="H12" s="9" t="s">
        <v>73</v>
      </c>
      <c r="I12" s="16"/>
    </row>
    <row r="13" spans="1:9" s="2" customFormat="1" ht="81">
      <c r="B13" s="8" t="s">
        <v>341</v>
      </c>
      <c r="C13" s="9" t="s">
        <v>22</v>
      </c>
      <c r="D13" s="10" t="s">
        <v>23</v>
      </c>
      <c r="E13" s="10" t="s">
        <v>30</v>
      </c>
      <c r="F13" s="9" t="s">
        <v>338</v>
      </c>
      <c r="G13" s="11">
        <v>3</v>
      </c>
      <c r="H13" s="9" t="s">
        <v>27</v>
      </c>
      <c r="I13" s="16"/>
    </row>
    <row r="14" spans="1:9" s="2" customFormat="1" ht="81">
      <c r="B14" s="8" t="s">
        <v>341</v>
      </c>
      <c r="C14" s="9" t="s">
        <v>22</v>
      </c>
      <c r="D14" s="10" t="s">
        <v>23</v>
      </c>
      <c r="E14" s="10" t="s">
        <v>30</v>
      </c>
      <c r="F14" s="9" t="s">
        <v>338</v>
      </c>
      <c r="G14" s="11">
        <v>3</v>
      </c>
      <c r="H14" s="9" t="s">
        <v>73</v>
      </c>
      <c r="I14" s="16"/>
    </row>
    <row r="15" spans="1:9" s="2" customFormat="1" ht="27">
      <c r="B15" s="8" t="s">
        <v>341</v>
      </c>
      <c r="C15" s="9" t="s">
        <v>28</v>
      </c>
      <c r="D15" s="10" t="s">
        <v>31</v>
      </c>
      <c r="E15" s="10" t="s">
        <v>33</v>
      </c>
      <c r="F15" s="9" t="s">
        <v>39</v>
      </c>
      <c r="G15" s="11">
        <v>0.3</v>
      </c>
      <c r="H15" s="9" t="s">
        <v>73</v>
      </c>
      <c r="I15" s="16"/>
    </row>
    <row r="16" spans="1:9" s="2" customFormat="1" ht="13.5">
      <c r="B16" s="8"/>
      <c r="C16" s="9"/>
      <c r="D16" s="10"/>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4.5" customHeight="1">
      <c r="B34" s="79" t="s">
        <v>32</v>
      </c>
      <c r="C34" s="80"/>
      <c r="D34" s="81"/>
      <c r="E34" s="12"/>
      <c r="F34" s="12"/>
      <c r="G34" s="82">
        <f>SUM(G6:G33)</f>
        <v>40.799999999999997</v>
      </c>
      <c r="H34" s="83"/>
      <c r="I34" s="84"/>
    </row>
    <row r="37" spans="2:9">
      <c r="B37" s="17" t="s">
        <v>81</v>
      </c>
      <c r="C37" s="18" t="s">
        <v>331</v>
      </c>
    </row>
    <row r="38" spans="2:9">
      <c r="C38" s="18" t="s">
        <v>332</v>
      </c>
    </row>
  </sheetData>
  <mergeCells count="4">
    <mergeCell ref="B1:I1"/>
    <mergeCell ref="B2:H2"/>
    <mergeCell ref="B34:D34"/>
    <mergeCell ref="G34:I34"/>
  </mergeCells>
  <phoneticPr fontId="10" type="noConversion"/>
  <dataValidations count="3">
    <dataValidation type="list" errorStyle="warning" allowBlank="1" sqref="C15:C33" xr:uid="{00000000-0002-0000-0000-000005000000}">
      <formula1>项目事项分类项目名称</formula1>
    </dataValidation>
    <dataValidation type="list" allowBlank="1" showInputMessage="1" showErrorMessage="1" sqref="F6:F33" xr:uid="{00000000-0002-0000-0000-000002000000}">
      <formula1>INDIRECT($E6)</formula1>
    </dataValidation>
    <dataValidation type="list" allowBlank="1" showInputMessage="1" showErrorMessage="1" sqref="H6:H33"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D6:D33</xm:sqref>
        </x14:dataValidation>
        <x14:dataValidation type="list" allowBlank="1" showInputMessage="1" showErrorMessage="1" xr:uid="{00000000-0002-0000-0000-000007000000}">
          <x14:formula1>
            <xm:f>Tag!$B$2:$E$2</xm:f>
          </x14:formula1>
          <xm:sqref>E6:E33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984375" defaultRowHeight="14.5"/>
  <cols>
    <col min="2" max="4" width="40.89843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09765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398437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09765625" style="19" customWidth="1"/>
    <col min="3" max="3" width="18.3984375" style="73" customWidth="1"/>
    <col min="4" max="4" width="9.09765625" style="73"/>
    <col min="5" max="5" width="24.69921875" style="73" customWidth="1"/>
    <col min="6" max="6" width="41.8984375" style="73" customWidth="1"/>
    <col min="7" max="7" width="32.09765625" style="73" customWidth="1"/>
    <col min="8" max="8" width="16.8984375" style="73" customWidth="1"/>
    <col min="9" max="9" width="17.3984375" style="74" customWidth="1"/>
    <col min="10" max="10" width="18.8984375" style="73" hidden="1" customWidth="1"/>
    <col min="11" max="11" width="29.09765625" style="73" customWidth="1"/>
    <col min="12" max="12" width="23.69921875" style="73" customWidth="1"/>
    <col min="13" max="13" width="25.8984375" style="73" customWidth="1"/>
    <col min="14" max="14" width="28.8984375" style="19" customWidth="1"/>
    <col min="15" max="15" width="9.09765625" style="19"/>
  </cols>
  <sheetData>
    <row r="1" spans="2:14" ht="17.5">
      <c r="C1" s="119" t="s">
        <v>92</v>
      </c>
      <c r="D1" s="120"/>
      <c r="E1" s="120"/>
      <c r="F1" s="120"/>
      <c r="G1" s="120"/>
      <c r="H1" s="120"/>
      <c r="I1" s="120"/>
      <c r="J1" s="120"/>
      <c r="K1" s="120"/>
      <c r="L1" s="120"/>
      <c r="M1" s="120"/>
      <c r="N1" s="120"/>
    </row>
    <row r="2" spans="2:14">
      <c r="C2" s="121" t="s">
        <v>93</v>
      </c>
      <c r="D2" s="121"/>
      <c r="E2" s="121"/>
      <c r="F2" s="121"/>
      <c r="G2" s="121"/>
      <c r="H2" s="121"/>
      <c r="I2" s="121"/>
      <c r="J2" s="121"/>
      <c r="K2" s="121"/>
      <c r="L2" s="121"/>
      <c r="M2" s="121"/>
      <c r="N2" s="121"/>
    </row>
    <row r="3" spans="2:14">
      <c r="C3" s="122" t="s">
        <v>94</v>
      </c>
      <c r="D3" s="124" t="s">
        <v>95</v>
      </c>
      <c r="E3" s="105"/>
      <c r="F3" s="122" t="s">
        <v>96</v>
      </c>
      <c r="G3" s="122" t="s">
        <v>97</v>
      </c>
      <c r="H3" s="122" t="s">
        <v>98</v>
      </c>
      <c r="I3" s="125" t="s">
        <v>99</v>
      </c>
      <c r="J3" s="122" t="s">
        <v>63</v>
      </c>
      <c r="K3" s="126" t="s">
        <v>62</v>
      </c>
      <c r="L3" s="127"/>
      <c r="M3" s="127"/>
      <c r="N3" s="128"/>
    </row>
    <row r="4" spans="2:14">
      <c r="C4" s="123"/>
      <c r="D4" s="104"/>
      <c r="E4" s="116"/>
      <c r="F4" s="123"/>
      <c r="G4" s="123"/>
      <c r="H4" s="123"/>
      <c r="I4" s="123"/>
      <c r="J4" s="123"/>
      <c r="K4" s="20" t="s">
        <v>64</v>
      </c>
      <c r="L4" s="20" t="s">
        <v>65</v>
      </c>
      <c r="M4" s="20" t="s">
        <v>66</v>
      </c>
      <c r="N4" s="20" t="s">
        <v>67</v>
      </c>
    </row>
    <row r="5" spans="2:14" ht="108.5" outlineLevel="1">
      <c r="C5" s="21" t="s">
        <v>100</v>
      </c>
      <c r="D5" s="107" t="s">
        <v>101</v>
      </c>
      <c r="E5" s="100"/>
      <c r="F5" s="22" t="s">
        <v>102</v>
      </c>
      <c r="G5" s="21" t="s">
        <v>103</v>
      </c>
      <c r="H5" s="21" t="s">
        <v>104</v>
      </c>
      <c r="I5" s="21" t="s">
        <v>105</v>
      </c>
      <c r="J5" s="21" t="s">
        <v>106</v>
      </c>
      <c r="K5" s="108" t="s">
        <v>107</v>
      </c>
      <c r="L5" s="108"/>
      <c r="M5" s="108"/>
      <c r="N5" s="108"/>
    </row>
    <row r="6" spans="2:14" s="23" customFormat="1" ht="201.5" outlineLevel="1">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1"/>
      <c r="C7" s="109"/>
      <c r="D7" s="109"/>
      <c r="E7" s="32" t="s">
        <v>116</v>
      </c>
      <c r="F7" s="33" t="s">
        <v>117</v>
      </c>
      <c r="G7" s="27" t="s">
        <v>118</v>
      </c>
      <c r="H7" s="34">
        <v>5</v>
      </c>
      <c r="I7" s="35" t="s">
        <v>119</v>
      </c>
      <c r="J7" s="29" t="s">
        <v>120</v>
      </c>
      <c r="K7" s="36" t="s">
        <v>121</v>
      </c>
      <c r="L7" s="37" t="s">
        <v>115</v>
      </c>
      <c r="M7" s="36" t="s">
        <v>122</v>
      </c>
      <c r="N7" s="38" t="s">
        <v>123</v>
      </c>
    </row>
    <row r="8" spans="2:14" s="23" customFormat="1" ht="217" outlineLevel="1">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1"/>
      <c r="C9" s="110"/>
      <c r="D9" s="114"/>
      <c r="E9" s="27" t="s">
        <v>131</v>
      </c>
      <c r="F9" s="26" t="s">
        <v>132</v>
      </c>
      <c r="G9" s="39" t="s">
        <v>133</v>
      </c>
      <c r="H9" s="28">
        <v>5</v>
      </c>
      <c r="I9" s="29" t="s">
        <v>128</v>
      </c>
      <c r="J9" s="29" t="s">
        <v>134</v>
      </c>
      <c r="K9" s="39" t="s">
        <v>135</v>
      </c>
      <c r="L9" s="39" t="s">
        <v>136</v>
      </c>
      <c r="M9" s="39" t="s">
        <v>137</v>
      </c>
      <c r="N9" s="38" t="s">
        <v>137</v>
      </c>
    </row>
    <row r="10" spans="2:14" s="23" customFormat="1" ht="77.5" outlineLevel="1">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263.5" outlineLevel="1">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55" outlineLevel="1">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93" outlineLevel="1">
      <c r="B20" s="91"/>
      <c r="C20" s="96"/>
      <c r="D20" s="101" t="s">
        <v>87</v>
      </c>
      <c r="E20" s="102"/>
      <c r="F20" s="50" t="s">
        <v>188</v>
      </c>
      <c r="G20" s="44" t="s">
        <v>70</v>
      </c>
      <c r="H20" s="42">
        <v>5</v>
      </c>
      <c r="I20" s="29" t="s">
        <v>189</v>
      </c>
      <c r="J20" s="29" t="s">
        <v>190</v>
      </c>
      <c r="K20" s="36" t="s">
        <v>191</v>
      </c>
      <c r="L20" s="36" t="s">
        <v>192</v>
      </c>
      <c r="M20" s="36" t="s">
        <v>191</v>
      </c>
      <c r="N20" s="38" t="s">
        <v>191</v>
      </c>
    </row>
    <row r="21" spans="2:14" ht="170.5">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310" outlineLevel="1">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5" outlineLevel="1">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39.5" outlineLevel="1">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398437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2025-07-02T03:44:56Z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