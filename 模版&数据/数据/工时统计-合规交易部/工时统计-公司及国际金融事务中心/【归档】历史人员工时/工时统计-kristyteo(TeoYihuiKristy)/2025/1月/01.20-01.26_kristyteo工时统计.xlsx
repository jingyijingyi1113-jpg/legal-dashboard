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1CEB77E0-B9B8-C14B-9165-066B6C7AB7A7}" xr6:coauthVersionLast="47" xr6:coauthVersionMax="47" xr10:uidLastSave="{00000000-0000-0000-0000-000000000000}"/>
  <bookViews>
    <workbookView xWindow="-25440" yWindow="-21100" windowWidth="34240" windowHeight="194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<sst xmlns="http://schemas.openxmlformats.org/spreadsheetml/2006/main" count="275" uniqueCount="194">
  <si>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</si>
  <si>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</si>
  <si>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</si>
  <si>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</si>
  <si>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</si>
  <si>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</si>
  <si>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</si>
  <si>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</si>
  <si>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</si>
  <si>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</si>
  <si>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</si>
  <si>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</si>
  <si>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</si>
  <si>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</si>
  <si>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</si>
  <si>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</si>
  <si>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</si>
  <si>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</si>
  <si>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</si>
  <si>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</si>
  <si>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</si>
  <si>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</si>
  <si>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</si>
  <si>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</si>
  <si>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</si>
  <si>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</si>
  <si>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</si>
  <si>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</si>
  <si>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</si>
  <si>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</si>
  <si>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</si>
  <si>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</si>
  <si>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</si>
  <si>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</si>
  <si>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</si>
  <si>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</si>
  <si>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</si>
  <si>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</si>
  <si>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</si>
  <si>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</si>
  <si>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</si>
  <si>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</si>
  <si>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</si>
  <si>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</si>
  <si>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</si>
  <si>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</si>
  <si>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</si>
  <si>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</si>
  <si>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</si>
  <si>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</si>
  <si>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</si>
  <si>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</si>
  <si>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</si>
  <si>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</si>
  <si>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</si>
  <si>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</si>
  <si>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</si>
  <si>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</si>
  <si>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</si>
  <si>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</si>
  <si>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</si>
  <si>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</si>
  <si>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</si>
  <si>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</si>
  <si>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</si>
  <si>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</si>
  <si>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</si>
  <si>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</si>
  <si>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</si>
  <si>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</si>
  <si>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</si>
  <si>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</si>
  <si>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</si>
  <si>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</si>
  <si>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</si>
  <si>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</si>
  <si>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</si>
  <si>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</si>
  <si>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</si>
  <si>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</si>
  <si>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</si>
  <si>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</si>
  <si>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</si>
  <si>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</si>
  <si>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</si>
  <si>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</si>
  <si>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</si>
  <si>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</si>
  <si>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</si>
  <si>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</si>
  <si>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</si>
  <si>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</si>
  <si>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</si>
  <si>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</si>
  <si>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</si>
  <si>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</si>
  <si>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</si>
  <si>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</si>
  <si>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</si>
  <si>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</si>
  <si>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</si>
  <si>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</si>
  <si>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</si>
  <si>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</si>
  <si>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</si>
  <si>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</si>
  <si>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</si>
  <si>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</si>
  <si>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</si>
  <si>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</si>
  <si>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</si>
  <si>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</si>
  <si>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</si>
  <si>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</si>
  <si>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</si>
  <si>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</si>
  <si>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</si>
  <si>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</si>
  <si>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</si>
  <si>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</si>
  <si>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</si>
  <si>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</si>
  <si>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</si>
  <si>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</si>
  <si>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</si>
  <si>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</si>
  <si>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</si>
  <si>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</si>
  <si>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</si>
  <si>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</si>
  <si>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</si>
  <si>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</si>
  <si>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</si>
  <si>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</si>
  <si>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</si>
  <si>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</si>
  <si>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</si>
  <si>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</si>
  <si>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</si>
  <si>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</si>
  <si>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</si>
  <si>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</si>
  <si>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</si>
  <si>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</si>
  <si>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</si>
  <si>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</si>
  <si>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</si>
  <si>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</si>
  <si>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</si>
  <si>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</si>
  <si>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</si>
  <si>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</si>
  <si>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</si>
  <si>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</si>
  <si>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</si>
  <si>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</si>
  <si>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</si>
  <si>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</si>
  <si>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</si>
  <si>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</si>
  <si>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</si>
  <si>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</si>
  <si>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</si>
  <si>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</si>
  <si>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</si>
  <si>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</si>
  <si>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</si>
  <si>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</si>
  <si>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</si>
  <si>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</si>
  <si>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</si>
  <si>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</si>
  <si>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</si>
  <si>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</si>
  <si>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</si>
  <si>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</si>
  <si>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</si>
  <si>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</si>
  <si>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kristyteo</t>
  </si>
  <si>
    <t xml:space="preserve">国际业务监管应对 International regulatory response </t>
  </si>
  <si>
    <t>PUBGM Bangladesh Matter</t>
  </si>
  <si>
    <t xml:space="preserve">绩效统计（工时和项目数据）Timesheet and matters recording </t>
  </si>
  <si>
    <t>PUBGM Russia matter</t>
  </si>
  <si>
    <t>EU DSA</t>
  </si>
  <si>
    <t>Timesheet and matters recording, billing matters</t>
  </si>
  <si>
    <t>Vietnam Decree 147</t>
  </si>
  <si>
    <t xml:space="preserve">Remarks: </t>
  </si>
  <si>
    <t>WeTV Vietnam decree 53</t>
  </si>
  <si>
    <t>Indoneisa ESP matter</t>
  </si>
  <si>
    <t>Singapore IMDA Infocomm Media Manpower surveys</t>
  </si>
  <si>
    <t>UK OSA</t>
  </si>
  <si>
    <r>
      <t>Date: 2025</t>
    </r>
    <r>
      <rPr>
        <b/>
        <sz val="10"/>
        <color theme="0"/>
        <rFont val="等线"/>
        <family val="4"/>
        <charset val="134"/>
      </rPr>
      <t xml:space="preserve"> - 01 - 20 </t>
    </r>
    <r>
      <rPr>
        <b/>
        <sz val="10"/>
        <color theme="0"/>
        <rFont val="Calibri"/>
        <family val="2"/>
        <scheme val="minor"/>
      </rPr>
      <t>~ 2025 - 01 - 26</t>
    </r>
  </si>
  <si>
    <t>CTD meeting</t>
  </si>
  <si>
    <t>EU CSDDD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</si>
</sst>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0">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0"/>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7" borderId="13" xfId="0" applyFont="1" applyFill="1" applyBorder="1">
      <alignment vertical="center"/>
    </xf>
    <xf numFmtId="0" fontId="13" fillId="7" borderId="1" xfId="0" applyFont="1" applyFill="1" applyBorder="1" applyAlignment="1">
      <alignment vertical="center" wrapText="1"/>
    </xf>
    <xf numFmtId="0" fontId="13" fillId="7" borderId="1" xfId="0" applyFont="1" applyFill="1" applyBorder="1">
      <alignment vertical="center"/>
    </xf>
    <xf numFmtId="165" fontId="13" fillId="7" borderId="1" xfId="0" applyNumberFormat="1" applyFont="1" applyFill="1" applyBorder="1" applyAlignment="1">
      <alignment horizontal="center" vertical="center"/>
    </xf>
    <xf numFmtId="0" fontId="13" fillId="7" borderId="19" xfId="0" applyFont="1" applyFill="1" applyBorder="1" applyAlignment="1">
      <alignment vertical="center" wrapText="1"/>
    </xf>
    <xf numFmtId="0" fontId="19" fillId="0" borderId="0" xfId="0"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C4" zoomScale="120" zoomScaleNormal="120" workbookViewId="0">
      <selection activeCell="G6" sqref="G6"/>
    </sheetView>
  </sheetViews>
  <sheetFormatPr baseColWidth="10" defaultColWidth="9" defaultRowHeight="15"/>
  <cols>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42" t="s">
        <v>0</v>
      </c>
      <c r="C1" s="43"/>
      <c r="D1" s="43"/>
      <c r="E1" s="43"/>
      <c r="F1" s="43"/>
      <c r="G1" s="43"/>
      <c r="H1" s="43"/>
      <c r="I1" s="43"/>
    </row>
    <row r="2" spans="1:9" ht="16">
      <c r="B2" s="44"/>
      <c r="C2" s="45"/>
      <c r="D2" s="45"/>
      <c r="E2" s="45"/>
      <c r="F2" s="45"/>
      <c r="G2" s="45"/>
      <c r="H2" s="45"/>
      <c r="I2" s="32" t="s">
        <v>191</v>
      </c>
    </row>
    <row r="3" spans="1:9">
      <c r="B3" s="22" t="s">
        <v>1</v>
      </c>
      <c r="C3" s="23" t="s">
        <v>2</v>
      </c>
      <c r="D3" s="23" t="s">
        <v>3</v>
      </c>
      <c r="E3" s="23" t="s">
        <v>4</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30" customHeight="1">
      <c r="B5" s="36" t="s">
        <v>178</v>
      </c>
      <c r="C5" s="37" t="s">
        <v>63</v>
      </c>
      <c r="D5" s="38" t="s">
        <v>71</v>
      </c>
      <c r="E5" s="38" t="s">
        <v>25</v>
      </c>
      <c r="F5" s="37" t="s">
        <v>179</v>
      </c>
      <c r="G5" s="39">
        <v>1.5</v>
      </c>
      <c r="H5" s="37" t="s">
        <v>30</v>
      </c>
      <c r="I5" s="40" t="s">
        <v>180</v>
      </c>
    </row>
    <row r="6" spans="1:9" s="21" customFormat="1" ht="30" customHeight="1">
      <c r="B6" s="36" t="s">
        <v>178</v>
      </c>
      <c r="C6" s="37" t="s">
        <v>63</v>
      </c>
      <c r="D6" s="38" t="s">
        <v>71</v>
      </c>
      <c r="E6" s="38" t="s">
        <v>25</v>
      </c>
      <c r="F6" s="37" t="s">
        <v>179</v>
      </c>
      <c r="G6" s="39">
        <v>0.5</v>
      </c>
      <c r="H6" s="37" t="s">
        <v>169</v>
      </c>
      <c r="I6" s="40" t="s">
        <v>180</v>
      </c>
    </row>
    <row r="7" spans="1:9" s="21" customFormat="1" ht="30">
      <c r="B7" s="36" t="s">
        <v>178</v>
      </c>
      <c r="C7" s="37" t="s">
        <v>63</v>
      </c>
      <c r="D7" s="38" t="s">
        <v>35</v>
      </c>
      <c r="E7" s="38" t="s">
        <v>37</v>
      </c>
      <c r="F7" s="37" t="s">
        <v>181</v>
      </c>
      <c r="G7" s="39">
        <v>2</v>
      </c>
      <c r="H7" s="37" t="s">
        <v>35</v>
      </c>
      <c r="I7" s="40" t="s">
        <v>184</v>
      </c>
    </row>
    <row r="8" spans="1:9" s="21" customFormat="1" ht="30">
      <c r="B8" s="27" t="s">
        <v>178</v>
      </c>
      <c r="C8" s="28" t="s">
        <v>63</v>
      </c>
      <c r="D8" s="29" t="s">
        <v>71</v>
      </c>
      <c r="E8" s="29" t="s">
        <v>25</v>
      </c>
      <c r="F8" s="28" t="s">
        <v>56</v>
      </c>
      <c r="G8" s="30">
        <v>1</v>
      </c>
      <c r="H8" s="28" t="s">
        <v>30</v>
      </c>
      <c r="I8" s="35" t="s">
        <v>182</v>
      </c>
    </row>
    <row r="9" spans="1:9" s="21" customFormat="1" ht="30">
      <c r="B9" s="36" t="s">
        <v>178</v>
      </c>
      <c r="C9" s="28" t="s">
        <v>63</v>
      </c>
      <c r="D9" s="29" t="s">
        <v>19</v>
      </c>
      <c r="E9" s="29" t="s">
        <v>25</v>
      </c>
      <c r="F9" s="28" t="s">
        <v>56</v>
      </c>
      <c r="G9" s="30">
        <v>5</v>
      </c>
      <c r="H9" s="28" t="s">
        <v>169</v>
      </c>
      <c r="I9" s="35" t="s">
        <v>183</v>
      </c>
    </row>
    <row r="10" spans="1:9" s="21" customFormat="1" ht="30">
      <c r="B10" s="27" t="s">
        <v>178</v>
      </c>
      <c r="C10" s="28" t="s">
        <v>63</v>
      </c>
      <c r="D10" s="29" t="s">
        <v>19</v>
      </c>
      <c r="E10" s="29" t="s">
        <v>25</v>
      </c>
      <c r="F10" s="28" t="s">
        <v>56</v>
      </c>
      <c r="G10" s="30">
        <v>6.5</v>
      </c>
      <c r="H10" s="28" t="s">
        <v>30</v>
      </c>
      <c r="I10" s="35" t="s">
        <v>183</v>
      </c>
    </row>
    <row r="11" spans="1:9" s="21" customFormat="1" ht="30">
      <c r="B11" s="27" t="s">
        <v>178</v>
      </c>
      <c r="C11" s="28" t="s">
        <v>63</v>
      </c>
      <c r="D11" s="29" t="s">
        <v>19</v>
      </c>
      <c r="E11" s="29" t="s">
        <v>25</v>
      </c>
      <c r="F11" s="28" t="s">
        <v>56</v>
      </c>
      <c r="G11" s="30">
        <v>4.5</v>
      </c>
      <c r="H11" s="28" t="s">
        <v>30</v>
      </c>
      <c r="I11" s="35" t="s">
        <v>193</v>
      </c>
    </row>
    <row r="12" spans="1:9" s="21" customFormat="1" ht="30">
      <c r="B12" s="27" t="s">
        <v>178</v>
      </c>
      <c r="C12" s="28" t="s">
        <v>63</v>
      </c>
      <c r="D12" s="29" t="s">
        <v>19</v>
      </c>
      <c r="E12" s="29" t="s">
        <v>25</v>
      </c>
      <c r="F12" s="28" t="s">
        <v>56</v>
      </c>
      <c r="G12" s="30">
        <v>2</v>
      </c>
      <c r="H12" s="28" t="s">
        <v>30</v>
      </c>
      <c r="I12" s="35" t="s">
        <v>188</v>
      </c>
    </row>
    <row r="13" spans="1:9" s="21" customFormat="1" ht="30">
      <c r="B13" s="27" t="s">
        <v>178</v>
      </c>
      <c r="C13" s="28" t="s">
        <v>63</v>
      </c>
      <c r="D13" s="29" t="s">
        <v>35</v>
      </c>
      <c r="E13" s="29" t="s">
        <v>25</v>
      </c>
      <c r="F13" s="28" t="s">
        <v>56</v>
      </c>
      <c r="G13" s="30">
        <v>1</v>
      </c>
      <c r="H13" s="28" t="s">
        <v>30</v>
      </c>
      <c r="I13" s="35" t="s">
        <v>187</v>
      </c>
    </row>
    <row r="14" spans="1:9" s="21" customFormat="1" ht="30">
      <c r="B14" s="27" t="s">
        <v>178</v>
      </c>
      <c r="C14" s="28" t="s">
        <v>63</v>
      </c>
      <c r="D14" s="29" t="s">
        <v>35</v>
      </c>
      <c r="E14" s="29" t="s">
        <v>25</v>
      </c>
      <c r="F14" s="28" t="s">
        <v>56</v>
      </c>
      <c r="G14" s="30">
        <v>3</v>
      </c>
      <c r="H14" s="28" t="s">
        <v>30</v>
      </c>
      <c r="I14" s="35" t="s">
        <v>185</v>
      </c>
    </row>
    <row r="15" spans="1:9" s="21" customFormat="1" ht="30">
      <c r="B15" s="27" t="s">
        <v>178</v>
      </c>
      <c r="C15" s="28" t="s">
        <v>63</v>
      </c>
      <c r="D15" s="29" t="s">
        <v>70</v>
      </c>
      <c r="E15" s="29" t="s">
        <v>37</v>
      </c>
      <c r="F15" s="28" t="s">
        <v>56</v>
      </c>
      <c r="G15" s="30">
        <v>4.5</v>
      </c>
      <c r="H15" s="28" t="s">
        <v>30</v>
      </c>
      <c r="I15" s="35" t="s">
        <v>190</v>
      </c>
    </row>
    <row r="16" spans="1:9" s="21" customFormat="1" ht="30">
      <c r="B16" s="36" t="s">
        <v>178</v>
      </c>
      <c r="C16" s="37" t="s">
        <v>63</v>
      </c>
      <c r="D16" s="38" t="s">
        <v>35</v>
      </c>
      <c r="E16" s="38" t="s">
        <v>37</v>
      </c>
      <c r="F16" s="37" t="s">
        <v>41</v>
      </c>
      <c r="G16" s="39">
        <v>4</v>
      </c>
      <c r="H16" s="37" t="s">
        <v>175</v>
      </c>
      <c r="I16" s="40" t="s">
        <v>192</v>
      </c>
    </row>
    <row r="17" spans="2:9" s="21" customFormat="1" ht="30">
      <c r="B17" s="27" t="s">
        <v>178</v>
      </c>
      <c r="C17" s="28" t="s">
        <v>63</v>
      </c>
      <c r="D17" s="29" t="s">
        <v>19</v>
      </c>
      <c r="E17" s="29" t="s">
        <v>25</v>
      </c>
      <c r="F17" s="28" t="s">
        <v>56</v>
      </c>
      <c r="G17" s="30">
        <v>3.5</v>
      </c>
      <c r="H17" s="28" t="s">
        <v>30</v>
      </c>
      <c r="I17" s="35" t="s">
        <v>189</v>
      </c>
    </row>
    <row r="18" spans="2:9" s="21" customFormat="1" thickBot="1">
      <c r="B18" s="46" t="s">
        <v>36</v>
      </c>
      <c r="C18" s="47"/>
      <c r="D18" s="48"/>
      <c r="E18" s="31"/>
      <c r="F18" s="31"/>
      <c r="G18" s="49">
        <f>SUM(G5:G17)</f>
        <v>39</v>
      </c>
      <c r="H18" s="50"/>
      <c r="I18" s="51"/>
    </row>
    <row r="19" spans="2:9" s="21" customFormat="1" thickTop="1"/>
    <row r="20" spans="2:9" s="21" customFormat="1" ht="14.5" customHeight="1">
      <c r="B20" s="41" t="s">
        <v>186</v>
      </c>
    </row>
  </sheetData>
  <mergeCells count="4">
    <mergeCell ref="B1:I1"/>
    <mergeCell ref="B2:H2"/>
    <mergeCell ref="B18:D18"/>
    <mergeCell ref="G18:I18"/>
  </mergeCells>
  <phoneticPr fontId="18" type="noConversion"/>
  <dataValidations count="3">
    <dataValidation type="list" errorStyle="warning" allowBlank="1" sqref="C5:C17" xr:uid="{00000000-0002-0000-0000-000005000000}">
      <formula1>项目事项分类项目名称</formula1>
    </dataValidation>
    <dataValidation type="list" allowBlank="1" showInputMessage="1" showErrorMessage="1" sqref="H5:H17" xr:uid="{00000000-0002-0000-0000-000006000000}">
      <formula1>事项分类指定内容</formula1>
    </dataValidation>
    <dataValidation type="list" allowBlank="1" showInputMessage="1" showErrorMessage="1" sqref="F5:F17"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Tag!$B$2:$F$2</xm:f>
          </x14:formula1>
          <xm:sqref>E17 E8:E15</xm:sqref>
        </x14:dataValidation>
        <x14:dataValidation type="list" allowBlank="1" showInputMessage="1" showErrorMessage="1" promptTitle="Internal Client" xr:uid="{00000000-0002-0000-0000-000004000000}">
          <x14:formula1>
            <xm:f>'Exhibit II - Internal Client'!$A$1:$A$20</xm:f>
          </x14:formula1>
          <xm:sqref>D17 D8:D15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61" t="s">
        <v>80</v>
      </c>
      <c r="B1" s="64" t="s">
        <v>81</v>
      </c>
      <c r="C1" s="54" t="s">
        <v>82</v>
      </c>
      <c r="D1" s="54" t="s">
        <v>83</v>
      </c>
      <c r="E1" s="54" t="s">
        <v>84</v>
      </c>
      <c r="F1" s="54" t="s">
        <v>85</v>
      </c>
      <c r="G1" s="58" t="s">
        <v>86</v>
      </c>
      <c r="H1" s="59"/>
      <c r="I1" s="59"/>
      <c r="J1" s="60"/>
      <c r="K1" s="52" t="s">
        <v>87</v>
      </c>
      <c r="L1" s="54" t="s">
        <v>88</v>
      </c>
      <c r="M1" s="14"/>
      <c r="N1" s="14"/>
      <c r="O1" s="14"/>
      <c r="P1" s="14"/>
    </row>
    <row r="2" spans="1:16">
      <c r="A2" s="61"/>
      <c r="B2" s="65"/>
      <c r="C2" s="55"/>
      <c r="D2" s="55"/>
      <c r="E2" s="55"/>
      <c r="F2" s="55"/>
      <c r="G2" s="2" t="s">
        <v>89</v>
      </c>
      <c r="H2" s="2" t="s">
        <v>90</v>
      </c>
      <c r="I2" s="2" t="s">
        <v>91</v>
      </c>
      <c r="J2" s="2" t="s">
        <v>92</v>
      </c>
      <c r="K2" s="53"/>
      <c r="L2" s="55"/>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62"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62"/>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62"/>
      <c r="B6" s="66" t="s">
        <v>123</v>
      </c>
      <c r="C6" s="9" t="s">
        <v>124</v>
      </c>
      <c r="D6" s="5" t="s">
        <v>125</v>
      </c>
      <c r="E6" s="68" t="s">
        <v>126</v>
      </c>
      <c r="F6" s="4" t="s">
        <v>127</v>
      </c>
      <c r="G6" s="4" t="s">
        <v>128</v>
      </c>
      <c r="H6" s="4" t="s">
        <v>129</v>
      </c>
      <c r="I6" s="4" t="s">
        <v>130</v>
      </c>
      <c r="J6" s="4" t="s">
        <v>131</v>
      </c>
      <c r="K6" s="13">
        <v>4</v>
      </c>
      <c r="L6" s="4" t="s">
        <v>132</v>
      </c>
      <c r="M6" s="15"/>
      <c r="N6" s="14"/>
      <c r="O6" s="14"/>
      <c r="P6" s="14"/>
    </row>
    <row r="7" spans="1:16" ht="165">
      <c r="A7" s="62"/>
      <c r="B7" s="67"/>
      <c r="C7" s="9" t="s">
        <v>133</v>
      </c>
      <c r="D7" s="5" t="s">
        <v>134</v>
      </c>
      <c r="E7" s="69"/>
      <c r="F7" s="4" t="s">
        <v>135</v>
      </c>
      <c r="G7" s="4" t="s">
        <v>136</v>
      </c>
      <c r="H7" s="4" t="s">
        <v>137</v>
      </c>
      <c r="I7" s="4" t="s">
        <v>137</v>
      </c>
      <c r="J7" s="4" t="s">
        <v>138</v>
      </c>
      <c r="K7" s="13">
        <v>4</v>
      </c>
      <c r="L7" s="4" t="s">
        <v>139</v>
      </c>
      <c r="M7" s="14"/>
      <c r="N7" s="14"/>
      <c r="O7" s="14"/>
      <c r="P7" s="14"/>
    </row>
    <row r="8" spans="1:16" ht="409.6">
      <c r="A8" s="63" t="s">
        <v>140</v>
      </c>
      <c r="B8" s="66" t="s">
        <v>141</v>
      </c>
      <c r="C8" s="4" t="s">
        <v>142</v>
      </c>
      <c r="D8" s="5" t="s">
        <v>143</v>
      </c>
      <c r="E8" s="68" t="s">
        <v>144</v>
      </c>
      <c r="F8" s="4" t="s">
        <v>145</v>
      </c>
      <c r="G8" s="4" t="s">
        <v>146</v>
      </c>
      <c r="H8" s="4" t="s">
        <v>147</v>
      </c>
      <c r="I8" s="4" t="s">
        <v>148</v>
      </c>
      <c r="J8" s="4" t="s">
        <v>149</v>
      </c>
      <c r="K8" s="13">
        <v>5</v>
      </c>
      <c r="L8" s="13" t="s">
        <v>150</v>
      </c>
      <c r="M8" s="14"/>
      <c r="N8" s="14"/>
      <c r="O8" s="14"/>
      <c r="P8" s="14"/>
    </row>
    <row r="9" spans="1:16" ht="270">
      <c r="A9" s="63"/>
      <c r="B9" s="67"/>
      <c r="C9" s="10" t="s">
        <v>151</v>
      </c>
      <c r="D9" s="5" t="s">
        <v>152</v>
      </c>
      <c r="E9" s="69"/>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6" t="s">
        <v>163</v>
      </c>
      <c r="F10" s="56" t="s">
        <v>164</v>
      </c>
      <c r="G10" s="56" t="s">
        <v>165</v>
      </c>
      <c r="H10" s="56" t="s">
        <v>166</v>
      </c>
      <c r="I10" s="8" t="s">
        <v>167</v>
      </c>
      <c r="J10" s="8" t="s">
        <v>168</v>
      </c>
      <c r="K10" s="13"/>
      <c r="L10" s="16"/>
      <c r="M10" s="14"/>
      <c r="N10" s="14"/>
      <c r="O10" s="14"/>
      <c r="P10" s="14"/>
    </row>
    <row r="11" spans="1:16">
      <c r="B11" s="14"/>
      <c r="C11" s="14"/>
      <c r="D11" s="14"/>
      <c r="E11" s="57"/>
      <c r="F11" s="57"/>
      <c r="G11" s="57"/>
      <c r="H11" s="57"/>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2025-01-27T03:10:55Z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