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2C24330D-35DE-F044-A843-4E14D50E7594}" xr6:coauthVersionLast="47" xr6:coauthVersionMax="47" xr10:uidLastSave="{00000000-0000-0000-0000-000000000000}"/>
  <bookViews>
    <workbookView xWindow="0" yWindow="760" windowWidth="30240" windowHeight="173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<sst xmlns="http://schemas.openxmlformats.org/spreadsheetml/2006/main" count="522" uniqueCount="348">
  <si>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</si>
  <si>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</si>
  <si>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</si>
  <si>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</si>
  <si>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</si>
  <si>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</si>
  <si>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</si>
  <si>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</si>
  <si>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</si>
  <si>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</si>
  <si>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</si>
  <si>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</si>
  <si>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</si>
  <si>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</si>
  <si>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</si>
  <si>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</si>
  <si>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</si>
  <si>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</si>
  <si>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</si>
  <si>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</si>
  <si>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</si>
  <si>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</si>
  <si>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</si>
  <si>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</si>
  <si>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</si>
  <si>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</si>
  <si>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</si>
  <si>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</si>
  <si>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</si>
  <si>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</si>
  <si>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</si>
  <si>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</si>
  <si>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</si>
  <si>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</si>
  <si>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</si>
  <si>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</si>
  <si>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</si>
  <si>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</si>
  <si>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</si>
  <si>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</si>
  <si>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</si>
  <si>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</si>
  <si>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</si>
  <si>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</si>
  <si>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</si>
  <si>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</si>
  <si>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</si>
  <si>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</si>
  <si>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</si>
  <si>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</si>
  <si>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</si>
  <si>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</si>
  <si>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</si>
  <si>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</si>
  <si>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</si>
  <si>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</si>
  <si>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</si>
  <si>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</si>
  <si>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</si>
  <si>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</si>
  <si>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</si>
  <si>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</si>
  <si>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</si>
  <si>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</si>
  <si>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</si>
  <si>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</si>
  <si>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</si>
  <si>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</si>
  <si>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</si>
  <si>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</si>
  <si>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</si>
  <si>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</si>
  <si>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</si>
  <si>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</si>
  <si>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</si>
  <si>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</si>
  <si>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</si>
  <si>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</si>
  <si>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</si>
  <si>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</si>
  <si>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</si>
  <si>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</si>
  <si>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</si>
  <si>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</si>
  <si>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</si>
  <si>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</si>
  <si>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</si>
  <si>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</si>
  <si>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</si>
  <si>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</si>
  <si>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</si>
  <si>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</si>
  <si>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</si>
  <si>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</si>
  <si>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</si>
  <si>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</si>
  <si>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</si>
  <si>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</si>
  <si>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</si>
  <si>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</si>
  <si>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</si>
  <si>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</si>
  <si>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</si>
  <si>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</si>
  <si>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</si>
  <si>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</si>
  <si>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</si>
  <si>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</si>
  <si>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</si>
  <si>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</si>
  <si>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</si>
  <si>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</si>
  <si>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</si>
  <si>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</si>
  <si>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</si>
  <si>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</si>
  <si>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</si>
  <si>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</si>
  <si>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</si>
  <si>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</si>
  <si>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</si>
  <si>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</si>
  <si>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</si>
  <si>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</si>
  <si>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</si>
  <si>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</si>
  <si>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</si>
  <si>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</si>
  <si>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</si>
  <si>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</si>
  <si>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</si>
  <si>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</si>
  <si>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</si>
  <si>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</si>
  <si>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</si>
  <si>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</si>
  <si>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</si>
  <si>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</si>
  <si>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</si>
  <si>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</si>
  <si>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</si>
  <si>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</si>
  <si>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</si>
  <si>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</si>
  <si>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</si>
  <si>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</si>
  <si>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</si>
  <si>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</si>
  <si>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</si>
  <si>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</si>
  <si>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</si>
  <si>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</si>
  <si>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</si>
  <si>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</si>
  <si>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</si>
  <si>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</si>
  <si>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</si>
  <si>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</si>
  <si>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</si>
  <si>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</si>
  <si>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</si>
  <si>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</si>
  <si>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</si>
  <si>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</si>
  <si>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</si>
  <si>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</si>
  <si>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</si>
  <si>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</si>
  <si>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</si>
  <si>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</si>
  <si>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</si>
  <si>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</si>
  <si>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</si>
  <si>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</si>
  <si>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</si>
  <si>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</si>
  <si>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</si>
  <si>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</si>
  <si>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</si>
  <si>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</si>
  <si>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</si>
  <si>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</si>
  <si>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</si>
  <si>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</si>
  <si>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</si>
  <si>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</si>
  <si>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</si>
  <si>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</si>
  <si>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</si>
  <si>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</si>
  <si>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</si>
  <si>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</si>
  <si>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</si>
  <si>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</si>
  <si>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</si>
  <si>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</si>
  <si>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</si>
  <si>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</si>
  <si>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</si>
  <si>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</si>
  <si>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</si>
  <si>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</si>
  <si>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</si>
  <si>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</si>
  <si>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</si>
  <si>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</si>
  <si>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</si>
  <si>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</si>
  <si>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</si>
  <si>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</si>
  <si>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</si>
  <si>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</si>
  <si>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</si>
  <si>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</si>
  <si>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</si>
  <si>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</si>
  <si>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</si>
  <si>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</si>
  <si>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</si>
  <si>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</si>
  <si>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</si>
  <si>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</si>
  <si>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</si>
  <si>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</si>
  <si>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</si>
  <si>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</si>
  <si>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</si>
  <si>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</si>
  <si>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</si>
  <si>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</si>
  <si>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</si>
  <si>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</si>
  <si>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</si>
  <si>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</si>
  <si>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</si>
  <si>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</si>
  <si>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</si>
  <si>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</si>
  <si>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</si>
  <si>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</si>
  <si>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</si>
  <si>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</si>
  <si>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</si>
  <si>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</si>
  <si>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</si>
  <si>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</si>
  <si>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</si>
  <si>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</si>
  <si>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</si>
  <si>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</si>
  <si>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</si>
  <si>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</si>
  <si>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</si>
  <si>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</si>
  <si>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</si>
  <si>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</si>
  <si>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</si>
  <si>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</si>
  <si>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</si>
  <si>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</si>
  <si>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</si>
  <si>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</si>
  <si>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</si>
  <si>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</si>
  <si>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</si>
  <si>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</si>
  <si>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</si>
  <si>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</si>
  <si>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</si>
  <si>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</si>
  <si>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</si>
  <si>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</si>
  <si>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</si>
  <si>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</si>
  <si>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</si>
  <si>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</si>
  <si>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</si>
  <si>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</si>
  <si>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</si>
  <si>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</si>
  <si>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</si>
  <si>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</si>
  <si>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</si>
  <si>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</si>
  <si>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</si>
  <si>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</si>
  <si>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</si>
  <si>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</si>
  <si>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</si>
  <si>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</si>
  <si>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</si>
  <si>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</si>
  <si>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</si>
  <si>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</si>
  <si>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</si>
  <si>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</si>
  <si>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</si>
  <si>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</si>
  <si>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</si>
  <si>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</si>
  <si>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</si>
  <si>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</si>
  <si>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</si>
  <si>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</si>
  <si>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</si>
  <si>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</si>
  <si>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</si>
  <si>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</si>
  <si>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</si>
  <si>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</si>
  <si>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</si>
  <si>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</si>
  <si>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</si>
  <si>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</si>
  <si>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</si>
  <si>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</si>
  <si>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</si>
  <si>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</si>
  <si>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</si>
  <si>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</si>
  <si>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</si>
  <si>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</si>
  <si>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</si>
  <si>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</si>
  <si>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</si>
  <si>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</si>
  <si>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</si>
  <si>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</si>
  <si>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</si>
  <si>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</si>
  <si>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</si>
  <si>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</si>
  <si>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</si>
  <si>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</si>
  <si>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</si>
  <si>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</si>
  <si>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</si>
  <si>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</si>
  <si>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</si>
  <si>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</si>
  <si>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</si>
  <si>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</si>
  <si>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</si>
  <si>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</si>
  <si>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</si>
  <si>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</si>
  <si>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t>International Regulatory Legal and Compliance+B14:D36</t>
  </si>
  <si>
    <r>
      <t>Date: 2025</t>
    </r>
    <r>
      <rPr>
        <b/>
        <sz val="10"/>
        <color theme="0"/>
        <rFont val="等线"/>
        <family val="4"/>
        <charset val="134"/>
      </rPr>
      <t xml:space="preserve">-05-19 </t>
    </r>
    <r>
      <rPr>
        <b/>
        <sz val="10"/>
        <color theme="0"/>
        <rFont val="新細明體"/>
        <family val="1"/>
        <charset val="136"/>
      </rPr>
      <t xml:space="preserve">- </t>
    </r>
    <r>
      <rPr>
        <b/>
        <sz val="10"/>
        <color theme="0"/>
        <rFont val="Calibri"/>
        <family val="2"/>
        <scheme val="minor"/>
      </rPr>
      <t>2025-05-25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</si>
</sst>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110" zoomScaleNormal="110" workbookViewId="0">
      <selection activeCell="H16" sqref="H1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5.5</v>
      </c>
      <c r="H6" s="9" t="s">
        <v>73</v>
      </c>
      <c r="I6" s="16" t="s">
        <v>339</v>
      </c>
    </row>
    <row r="7" spans="1:9" s="2" customFormat="1" ht="30">
      <c r="B7" s="8" t="s">
        <v>338</v>
      </c>
      <c r="C7" s="9" t="s">
        <v>45</v>
      </c>
      <c r="D7" s="10" t="s">
        <v>53</v>
      </c>
      <c r="E7" s="10" t="s">
        <v>30</v>
      </c>
      <c r="F7" s="9" t="s">
        <v>337</v>
      </c>
      <c r="G7" s="11">
        <v>4.5</v>
      </c>
      <c r="H7" s="9" t="s">
        <v>27</v>
      </c>
      <c r="I7" s="16" t="s">
        <v>339</v>
      </c>
    </row>
    <row r="8" spans="1:9" s="2" customFormat="1" ht="30">
      <c r="B8" s="8" t="s">
        <v>338</v>
      </c>
      <c r="C8" s="9" t="s">
        <v>45</v>
      </c>
      <c r="D8" s="10" t="s">
        <v>53</v>
      </c>
      <c r="E8" s="10" t="s">
        <v>30</v>
      </c>
      <c r="F8" s="9" t="s">
        <v>337</v>
      </c>
      <c r="G8" s="11">
        <v>2</v>
      </c>
      <c r="H8" s="9" t="s">
        <v>27</v>
      </c>
      <c r="I8" s="16" t="s">
        <v>342</v>
      </c>
    </row>
    <row r="9" spans="1:9" s="2" customFormat="1" ht="30">
      <c r="B9" s="8" t="s">
        <v>338</v>
      </c>
      <c r="C9" s="9" t="s">
        <v>45</v>
      </c>
      <c r="D9" s="10" t="s">
        <v>53</v>
      </c>
      <c r="E9" s="10" t="s">
        <v>30</v>
      </c>
      <c r="F9" s="9" t="s">
        <v>337</v>
      </c>
      <c r="G9" s="11">
        <v>1</v>
      </c>
      <c r="H9" s="9" t="s">
        <v>73</v>
      </c>
      <c r="I9" s="16" t="s">
        <v>342</v>
      </c>
    </row>
    <row r="10" spans="1:9" s="2" customFormat="1" ht="30">
      <c r="B10" s="8" t="s">
        <v>338</v>
      </c>
      <c r="C10" s="9" t="s">
        <v>45</v>
      </c>
      <c r="D10" s="10" t="s">
        <v>18</v>
      </c>
      <c r="E10" s="10" t="s">
        <v>30</v>
      </c>
      <c r="F10" s="9" t="s">
        <v>337</v>
      </c>
      <c r="G10" s="11">
        <v>2</v>
      </c>
      <c r="H10" s="9" t="s">
        <v>27</v>
      </c>
      <c r="I10" s="16" t="s">
        <v>345</v>
      </c>
    </row>
    <row r="11" spans="1:9" s="2" customFormat="1" ht="30">
      <c r="B11" s="8" t="s">
        <v>338</v>
      </c>
      <c r="C11" s="9" t="s">
        <v>45</v>
      </c>
      <c r="D11" s="10" t="s">
        <v>18</v>
      </c>
      <c r="E11" s="10" t="s">
        <v>30</v>
      </c>
      <c r="F11" s="9" t="s">
        <v>337</v>
      </c>
      <c r="G11" s="11">
        <v>1</v>
      </c>
      <c r="H11" s="9" t="s">
        <v>73</v>
      </c>
      <c r="I11" s="16" t="s">
        <v>345</v>
      </c>
    </row>
    <row r="12" spans="1:9" s="2" customFormat="1" ht="30">
      <c r="B12" s="8" t="s">
        <v>338</v>
      </c>
      <c r="C12" s="9" t="s">
        <v>45</v>
      </c>
      <c r="D12" s="10" t="s">
        <v>18</v>
      </c>
      <c r="E12" s="10" t="s">
        <v>30</v>
      </c>
      <c r="F12" s="9" t="s">
        <v>337</v>
      </c>
      <c r="G12" s="11">
        <v>2</v>
      </c>
      <c r="H12" s="9" t="s">
        <v>27</v>
      </c>
      <c r="I12" s="16" t="s">
        <v>340</v>
      </c>
    </row>
    <row r="13" spans="1:9" s="2" customFormat="1" ht="30">
      <c r="B13" s="8" t="s">
        <v>338</v>
      </c>
      <c r="C13" s="9" t="s">
        <v>45</v>
      </c>
      <c r="D13" s="10" t="s">
        <v>18</v>
      </c>
      <c r="E13" s="10" t="s">
        <v>30</v>
      </c>
      <c r="F13" s="9" t="s">
        <v>337</v>
      </c>
      <c r="G13" s="11">
        <v>1.5</v>
      </c>
      <c r="H13" s="9" t="s">
        <v>73</v>
      </c>
      <c r="I13" s="16" t="s">
        <v>340</v>
      </c>
    </row>
    <row r="14" spans="1:9" s="2" customFormat="1" ht="30">
      <c r="B14" s="8" t="s">
        <v>338</v>
      </c>
      <c r="C14" s="9" t="s">
        <v>346</v>
      </c>
      <c r="D14" s="10" t="s">
        <v>18</v>
      </c>
      <c r="E14" s="10" t="s">
        <v>30</v>
      </c>
      <c r="F14" s="9" t="s">
        <v>337</v>
      </c>
      <c r="G14" s="11">
        <v>4</v>
      </c>
      <c r="H14" s="9" t="s">
        <v>27</v>
      </c>
      <c r="I14" s="75" t="s">
        <v>341</v>
      </c>
    </row>
    <row r="15" spans="1:9" s="2" customFormat="1" ht="30">
      <c r="B15" s="8" t="s">
        <v>338</v>
      </c>
      <c r="C15" s="9" t="s">
        <v>45</v>
      </c>
      <c r="D15" s="10" t="s">
        <v>18</v>
      </c>
      <c r="E15" s="10" t="s">
        <v>30</v>
      </c>
      <c r="F15" s="9" t="s">
        <v>337</v>
      </c>
      <c r="G15" s="11">
        <v>12</v>
      </c>
      <c r="H15" s="9" t="s">
        <v>27</v>
      </c>
      <c r="I15" s="75" t="s">
        <v>343</v>
      </c>
    </row>
    <row r="16" spans="1:9" s="2" customFormat="1" ht="30">
      <c r="B16" s="8" t="s">
        <v>338</v>
      </c>
      <c r="C16" s="9" t="s">
        <v>45</v>
      </c>
      <c r="D16" s="10" t="s">
        <v>18</v>
      </c>
      <c r="E16" s="10" t="s">
        <v>30</v>
      </c>
      <c r="F16" s="9" t="s">
        <v>337</v>
      </c>
      <c r="G16" s="11">
        <v>5</v>
      </c>
      <c r="H16" s="9" t="s">
        <v>73</v>
      </c>
      <c r="I16" s="75" t="s">
        <v>343</v>
      </c>
    </row>
    <row r="17" spans="2:9" s="2" customFormat="1" ht="30">
      <c r="B17" s="8" t="s">
        <v>338</v>
      </c>
      <c r="C17" s="9" t="s">
        <v>28</v>
      </c>
      <c r="D17" s="10" t="s">
        <v>31</v>
      </c>
      <c r="E17" s="10" t="s">
        <v>33</v>
      </c>
      <c r="F17" s="9" t="s">
        <v>39</v>
      </c>
      <c r="G17" s="11">
        <v>1</v>
      </c>
      <c r="H17" s="9" t="s">
        <v>31</v>
      </c>
      <c r="I17" s="16" t="s">
        <v>344</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5" customHeight="1">
      <c r="B32" s="80" t="s">
        <v>32</v>
      </c>
      <c r="C32" s="81"/>
      <c r="D32" s="82"/>
      <c r="E32" s="12"/>
      <c r="F32" s="12"/>
      <c r="G32" s="83">
        <f>SUM(G6:G31)</f>
        <v>41.5</v>
      </c>
      <c r="H32" s="84"/>
      <c r="I32" s="85"/>
    </row>
    <row r="35" spans="2:3">
      <c r="B35" s="17" t="s">
        <v>81</v>
      </c>
      <c r="C35" s="18"/>
    </row>
    <row r="36" spans="2:3">
      <c r="C36" s="18"/>
    </row>
  </sheetData>
  <mergeCells count="4">
    <mergeCell ref="B1:I1"/>
    <mergeCell ref="B2:H2"/>
    <mergeCell ref="B32:D32"/>
    <mergeCell ref="G32:I32"/>
  </mergeCells>
  <phoneticPr fontId="10" type="noConversion"/>
  <dataValidations count="3">
    <dataValidation type="list" errorStyle="warning" allowBlank="1" sqref="C17: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2025-05-23T11:07:27Z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