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50A8EF95-559C-4DD0-96EE-EAB5FDFF12CE}"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 l="1"/>
</calcChain>
</file>

<file path=xl/sharedStrings.xml><?xml version="1.0" encoding="utf-8"?>
<sst xmlns="http://schemas.openxmlformats.org/spreadsheetml/2006/main" count="706" uniqueCount="382">
  <si>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</si>
  <si>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</si>
  <si>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</si>
  <si>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</si>
  <si>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</si>
  <si>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</si>
  <si>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</si>
  <si>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</si>
  <si>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</si>
  <si>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</si>
  <si>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</si>
  <si>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</si>
  <si>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</si>
  <si>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</si>
  <si>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</si>
  <si>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</si>
  <si>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</si>
  <si>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</si>
  <si>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</si>
  <si>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</si>
  <si>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</si>
  <si>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</si>
  <si>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</si>
  <si>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</si>
  <si>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</si>
  <si>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</si>
  <si>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</si>
  <si>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</si>
  <si>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</si>
  <si>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</si>
  <si>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</si>
  <si>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</si>
  <si>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</si>
  <si>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</si>
  <si>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</si>
  <si>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</si>
  <si>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</si>
  <si>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</si>
  <si>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</si>
  <si>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</si>
  <si>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</si>
  <si>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</si>
  <si>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</si>
  <si>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</si>
  <si>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</si>
  <si>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</si>
  <si>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</si>
  <si>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</si>
  <si>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</si>
  <si>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</si>
  <si>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</si>
  <si>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</si>
  <si>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</si>
  <si>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</si>
  <si>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</si>
  <si>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</si>
  <si>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</si>
  <si>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</si>
  <si>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</si>
  <si>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</si>
  <si>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</si>
  <si>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</si>
  <si>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</si>
  <si>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</si>
  <si>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</si>
  <si>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</si>
  <si>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</si>
  <si>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</si>
  <si>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</si>
  <si>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</si>
  <si>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</si>
  <si>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</si>
  <si>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</si>
  <si>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</si>
  <si>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</si>
  <si>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</si>
  <si>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</si>
  <si>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</si>
  <si>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</si>
  <si>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</si>
  <si>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</si>
  <si>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</si>
  <si>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</si>
  <si>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</si>
  <si>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</si>
  <si>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</si>
  <si>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</si>
  <si>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</si>
  <si>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</si>
  <si>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</si>
  <si>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</si>
  <si>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</si>
  <si>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</si>
  <si>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</si>
  <si>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</si>
  <si>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</si>
  <si>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</si>
  <si>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</si>
  <si>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</si>
  <si>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</si>
  <si>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</si>
  <si>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</si>
  <si>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</si>
  <si>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</si>
  <si>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</si>
  <si>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</si>
  <si>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</si>
  <si>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</si>
  <si>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</si>
  <si>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</si>
  <si>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</si>
  <si>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</si>
  <si>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</si>
  <si>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</si>
  <si>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</si>
  <si>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</si>
  <si>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</si>
  <si>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</si>
  <si>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</si>
  <si>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</si>
  <si>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</si>
  <si>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</si>
  <si>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</si>
  <si>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</si>
  <si>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</si>
  <si>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</si>
  <si>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</si>
  <si>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</si>
  <si>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</si>
  <si>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</si>
  <si>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</si>
  <si>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</si>
  <si>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</si>
  <si>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</si>
  <si>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</si>
  <si>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</si>
  <si>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</si>
  <si>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</si>
  <si>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</si>
  <si>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</si>
  <si>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</si>
  <si>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</si>
  <si>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</si>
  <si>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</si>
  <si>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</si>
  <si>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</si>
  <si>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</si>
  <si>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</si>
  <si>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</si>
  <si>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</si>
  <si>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</si>
  <si>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</si>
  <si>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</si>
  <si>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</si>
  <si>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</si>
  <si>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</si>
  <si>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</si>
  <si>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</si>
  <si>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</si>
  <si>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</si>
  <si>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</si>
  <si>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</si>
  <si>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</si>
  <si>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</si>
  <si>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</si>
  <si>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</si>
  <si>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</si>
  <si>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</si>
  <si>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</si>
  <si>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</si>
  <si>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</si>
  <si>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</si>
  <si>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</si>
  <si>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</si>
  <si>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</si>
  <si>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</si>
  <si>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</si>
  <si>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</si>
  <si>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</si>
  <si>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</si>
  <si>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</si>
  <si>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</si>
  <si>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</si>
  <si>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</si>
  <si>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</si>
  <si>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</si>
  <si>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</si>
  <si>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</si>
  <si>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</si>
  <si>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</si>
  <si>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</si>
  <si>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</si>
  <si>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</si>
  <si>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</si>
  <si>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</si>
  <si>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</si>
  <si>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</si>
  <si>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</si>
  <si>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</si>
  <si>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</si>
  <si>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</si>
  <si>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</si>
  <si>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</si>
  <si>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</si>
  <si>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</si>
  <si>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</si>
  <si>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</si>
  <si>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</si>
  <si>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</si>
  <si>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</si>
  <si>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</si>
  <si>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</si>
  <si>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</si>
  <si>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</si>
  <si>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</si>
  <si>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</si>
  <si>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</si>
  <si>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</si>
  <si>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</si>
  <si>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</si>
  <si>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</si>
  <si>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</si>
  <si>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</si>
  <si>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</si>
  <si>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</si>
  <si>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</si>
  <si>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</si>
  <si>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</si>
  <si>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</si>
  <si>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</si>
  <si>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</si>
  <si>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</si>
  <si>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</si>
  <si>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</si>
  <si>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</si>
  <si>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</si>
  <si>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</si>
  <si>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</si>
  <si>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</si>
  <si>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</si>
  <si>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</si>
  <si>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</si>
  <si>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</si>
  <si>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</si>
  <si>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</si>
  <si>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</si>
  <si>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</si>
  <si>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</si>
  <si>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</si>
  <si>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</si>
  <si>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</si>
  <si>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</si>
  <si>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</si>
  <si>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</si>
  <si>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</si>
  <si>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</si>
  <si>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</si>
  <si>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</si>
  <si>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</si>
  <si>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</si>
  <si>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</si>
  <si>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</si>
  <si>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</si>
  <si>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</si>
  <si>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</si>
  <si>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</si>
  <si>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</si>
  <si>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</si>
  <si>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</si>
  <si>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</si>
  <si>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</si>
  <si>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</si>
  <si>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</si>
  <si>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</si>
  <si>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</si>
  <si>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</si>
  <si>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</si>
  <si>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</si>
  <si>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</si>
  <si>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</si>
  <si>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</si>
  <si>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</si>
  <si>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</si>
  <si>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</si>
  <si>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</si>
  <si>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</si>
  <si>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</si>
  <si>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</si>
  <si>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</si>
  <si>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</si>
  <si>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</si>
  <si>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</si>
  <si>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</si>
  <si>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</si>
  <si>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</si>
  <si>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</si>
  <si>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</si>
  <si>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</si>
  <si>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</si>
  <si>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</si>
  <si>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</si>
  <si>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</si>
  <si>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</si>
  <si>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</si>
  <si>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</si>
  <si>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</si>
  <si>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</si>
  <si>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</si>
  <si>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</si>
  <si>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</si>
  <si>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</si>
  <si>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</si>
  <si>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</si>
  <si>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</si>
  <si>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</si>
  <si>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</si>
  <si>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</si>
  <si>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</si>
  <si>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</si>
  <si>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</si>
  <si>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</si>
  <si>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</si>
  <si>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</si>
  <si>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</si>
  <si>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</si>
  <si>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</si>
  <si>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</si>
  <si>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</si>
  <si>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</si>
  <si>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</si>
  <si>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</si>
  <si>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</si>
  <si>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</si>
  <si>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</si>
  <si>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</si>
  <si>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</si>
  <si>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</si>
  <si>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</si>
  <si>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</si>
  <si>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</si>
  <si>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</si>
  <si>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</si>
  <si>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</si>
  <si>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国际人力资源合规管理 Overseas HR support</t>
  </si>
  <si>
    <t>Review Job descriptions for Compliance</t>
  </si>
  <si>
    <t>Wendy Campbell Case</t>
  </si>
  <si>
    <t>Talk to Riot  Counsel re: Potential Case</t>
  </si>
  <si>
    <t>Tencent America Giving Analysis</t>
  </si>
  <si>
    <t>国际业务合规管理 Overseas businesses/products compliance</t>
  </si>
  <si>
    <t>Carson CA Business License Filing</t>
  </si>
  <si>
    <t>Nicholas Zavala SOWs</t>
  </si>
  <si>
    <t>CNESST Filings</t>
  </si>
  <si>
    <t>Production Insurance</t>
  </si>
  <si>
    <t>Jun Hu Complaint Review</t>
  </si>
  <si>
    <t>Advise on Bonus Review</t>
  </si>
  <si>
    <t>Dan Evans March SOW</t>
  </si>
  <si>
    <t>New Zealand Employee Transfer Issues</t>
  </si>
  <si>
    <t>Atlassian SOW</t>
  </si>
  <si>
    <t>DocuSign Troubleshooting with OIT</t>
  </si>
  <si>
    <t>Amazon Canada Name Change Issue</t>
  </si>
  <si>
    <t>Draft response to Dan Wang Complaints</t>
  </si>
  <si>
    <t>Review Dan Wang Case Complaints</t>
  </si>
  <si>
    <t>Campus Ambassador Program</t>
  </si>
  <si>
    <t>Dominique insurance issue</t>
  </si>
  <si>
    <t>Review SAG Agreement Issues</t>
  </si>
  <si>
    <t>Review Sublease for Playa from CBRE</t>
  </si>
  <si>
    <t>Patent Bonus Issues</t>
  </si>
  <si>
    <t xml:space="preserve">Discuss NQTL Requirements </t>
  </si>
  <si>
    <t>Wendy Campbell Severance Update</t>
  </si>
  <si>
    <t>Finance Issues</t>
  </si>
  <si>
    <t>TiMi global restructuring</t>
  </si>
  <si>
    <t>Special Bonus</t>
  </si>
  <si>
    <t>Review QC rules on Mass Layoffs</t>
  </si>
  <si>
    <t>Ken Ochiai Supplemental Agreement</t>
  </si>
  <si>
    <t>C&amp;B Worker's Comp Issues</t>
  </si>
  <si>
    <t>Payment of Patent Bonuses for Terminated Employees</t>
  </si>
  <si>
    <t>Signage Issues for Quebec</t>
  </si>
  <si>
    <t>Discuss PIP or Severance Options</t>
  </si>
  <si>
    <t>Ryan Stevenson Temporary Employee Agreement</t>
  </si>
  <si>
    <t xml:space="preserve">Doordash Agreement </t>
  </si>
  <si>
    <t>Review Canada PIIAs</t>
  </si>
  <si>
    <t>Mercury Consulting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</si>
</sst>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0" fillId="10" borderId="0" xfId="0" applyFont="1" applyFill="1" applyAlignment="1">
      <alignment vertical="center" wrapText="1"/>
    </xf>
    <xf numFmtId="165" fontId="30" fillId="10"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A37" zoomScaleNormal="95" workbookViewId="0">
      <selection activeCell="D7" sqref="D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129" t="s">
        <v>341</v>
      </c>
      <c r="C6" s="130" t="s">
        <v>28</v>
      </c>
      <c r="D6" s="131" t="s">
        <v>49</v>
      </c>
      <c r="E6" s="10" t="s">
        <v>34</v>
      </c>
      <c r="F6" s="9" t="s">
        <v>41</v>
      </c>
      <c r="G6" s="11">
        <v>4.4000000000000004</v>
      </c>
      <c r="H6" s="9" t="s">
        <v>73</v>
      </c>
      <c r="I6" s="132" t="s">
        <v>342</v>
      </c>
    </row>
    <row r="7" spans="1:9" s="2" customFormat="1" ht="26">
      <c r="B7" s="129" t="s">
        <v>341</v>
      </c>
      <c r="C7" s="130" t="s">
        <v>25</v>
      </c>
      <c r="D7" s="131" t="s">
        <v>26</v>
      </c>
      <c r="E7" s="10" t="s">
        <v>30</v>
      </c>
      <c r="F7" s="9" t="s">
        <v>343</v>
      </c>
      <c r="G7" s="133">
        <v>1.5</v>
      </c>
      <c r="H7" s="130" t="s">
        <v>73</v>
      </c>
      <c r="I7" s="132" t="s">
        <v>344</v>
      </c>
    </row>
    <row r="8" spans="1:9" s="2" customFormat="1" ht="26">
      <c r="B8" s="129" t="s">
        <v>341</v>
      </c>
      <c r="C8" s="130" t="s">
        <v>25</v>
      </c>
      <c r="D8" s="131" t="s">
        <v>26</v>
      </c>
      <c r="E8" s="10" t="s">
        <v>30</v>
      </c>
      <c r="F8" s="9" t="s">
        <v>343</v>
      </c>
      <c r="G8" s="133">
        <v>0.8</v>
      </c>
      <c r="H8" s="130" t="s">
        <v>27</v>
      </c>
      <c r="I8" s="134" t="s">
        <v>345</v>
      </c>
    </row>
    <row r="9" spans="1:9" s="2" customFormat="1" ht="26">
      <c r="B9" s="129" t="s">
        <v>341</v>
      </c>
      <c r="C9" s="130" t="s">
        <v>25</v>
      </c>
      <c r="D9" s="131" t="s">
        <v>26</v>
      </c>
      <c r="E9" s="10" t="s">
        <v>30</v>
      </c>
      <c r="F9" s="9" t="s">
        <v>343</v>
      </c>
      <c r="G9" s="133">
        <v>0.7</v>
      </c>
      <c r="H9" s="130" t="s">
        <v>27</v>
      </c>
      <c r="I9" s="132" t="s">
        <v>346</v>
      </c>
    </row>
    <row r="10" spans="1:9" s="2" customFormat="1" ht="26">
      <c r="B10" s="129" t="s">
        <v>341</v>
      </c>
      <c r="C10" s="130" t="s">
        <v>25</v>
      </c>
      <c r="D10" s="131" t="s">
        <v>26</v>
      </c>
      <c r="E10" s="10" t="s">
        <v>30</v>
      </c>
      <c r="F10" s="9" t="s">
        <v>343</v>
      </c>
      <c r="G10" s="133">
        <v>1.3</v>
      </c>
      <c r="H10" s="130" t="s">
        <v>73</v>
      </c>
      <c r="I10" s="132" t="s">
        <v>347</v>
      </c>
    </row>
    <row r="11" spans="1:9" s="2" customFormat="1" ht="26">
      <c r="B11" s="129" t="s">
        <v>341</v>
      </c>
      <c r="C11" s="130" t="s">
        <v>45</v>
      </c>
      <c r="D11" s="131" t="s">
        <v>49</v>
      </c>
      <c r="E11" s="10" t="s">
        <v>34</v>
      </c>
      <c r="F11" s="9" t="s">
        <v>348</v>
      </c>
      <c r="G11" s="133">
        <v>1.2</v>
      </c>
      <c r="H11" s="130" t="s">
        <v>73</v>
      </c>
      <c r="I11" s="132" t="s">
        <v>349</v>
      </c>
    </row>
    <row r="12" spans="1:9" s="2" customFormat="1" ht="26">
      <c r="B12" s="129" t="s">
        <v>341</v>
      </c>
      <c r="C12" s="130" t="s">
        <v>25</v>
      </c>
      <c r="D12" s="131" t="s">
        <v>26</v>
      </c>
      <c r="E12" s="10" t="s">
        <v>30</v>
      </c>
      <c r="F12" s="9" t="s">
        <v>343</v>
      </c>
      <c r="G12" s="133">
        <v>1.4</v>
      </c>
      <c r="H12" s="130" t="s">
        <v>73</v>
      </c>
      <c r="I12" s="132" t="s">
        <v>350</v>
      </c>
    </row>
    <row r="13" spans="1:9" s="2" customFormat="1" ht="26">
      <c r="B13" s="129" t="s">
        <v>341</v>
      </c>
      <c r="C13" s="130" t="s">
        <v>25</v>
      </c>
      <c r="D13" s="131" t="s">
        <v>26</v>
      </c>
      <c r="E13" s="10" t="s">
        <v>30</v>
      </c>
      <c r="F13" s="9" t="s">
        <v>343</v>
      </c>
      <c r="G13" s="133">
        <v>0.4</v>
      </c>
      <c r="H13" s="130" t="s">
        <v>73</v>
      </c>
      <c r="I13" s="132" t="s">
        <v>351</v>
      </c>
    </row>
    <row r="14" spans="1:9" s="2" customFormat="1" ht="26">
      <c r="B14" s="129" t="s">
        <v>341</v>
      </c>
      <c r="C14" s="130" t="s">
        <v>45</v>
      </c>
      <c r="D14" s="131" t="s">
        <v>49</v>
      </c>
      <c r="E14" s="10" t="s">
        <v>34</v>
      </c>
      <c r="F14" s="9" t="s">
        <v>348</v>
      </c>
      <c r="G14" s="135">
        <v>1.4</v>
      </c>
      <c r="H14" s="130" t="s">
        <v>73</v>
      </c>
      <c r="I14" s="134" t="s">
        <v>352</v>
      </c>
    </row>
    <row r="15" spans="1:9" s="2" customFormat="1" ht="26">
      <c r="B15" s="129" t="s">
        <v>341</v>
      </c>
      <c r="C15" s="130" t="s">
        <v>25</v>
      </c>
      <c r="D15" s="131" t="s">
        <v>26</v>
      </c>
      <c r="E15" s="10" t="s">
        <v>30</v>
      </c>
      <c r="F15" s="9" t="s">
        <v>343</v>
      </c>
      <c r="G15" s="135">
        <v>1.8</v>
      </c>
      <c r="H15" s="130" t="s">
        <v>73</v>
      </c>
      <c r="I15" s="134" t="s">
        <v>353</v>
      </c>
    </row>
    <row r="16" spans="1:9" s="2" customFormat="1" ht="26">
      <c r="B16" s="129" t="s">
        <v>341</v>
      </c>
      <c r="C16" s="130" t="s">
        <v>25</v>
      </c>
      <c r="D16" s="131" t="s">
        <v>26</v>
      </c>
      <c r="E16" s="10" t="s">
        <v>30</v>
      </c>
      <c r="F16" s="9" t="s">
        <v>343</v>
      </c>
      <c r="G16" s="133">
        <v>1.2</v>
      </c>
      <c r="H16" s="130" t="s">
        <v>27</v>
      </c>
      <c r="I16" s="132" t="s">
        <v>354</v>
      </c>
    </row>
    <row r="17" spans="2:9" s="2" customFormat="1" ht="26">
      <c r="B17" s="129" t="s">
        <v>341</v>
      </c>
      <c r="C17" s="130" t="s">
        <v>25</v>
      </c>
      <c r="D17" s="131" t="s">
        <v>26</v>
      </c>
      <c r="E17" s="10" t="s">
        <v>30</v>
      </c>
      <c r="F17" s="9" t="s">
        <v>343</v>
      </c>
      <c r="G17" s="133">
        <v>0.9</v>
      </c>
      <c r="H17" s="130" t="s">
        <v>73</v>
      </c>
      <c r="I17" s="132" t="s">
        <v>355</v>
      </c>
    </row>
    <row r="18" spans="2:9" s="2" customFormat="1" ht="26">
      <c r="B18" s="129" t="s">
        <v>341</v>
      </c>
      <c r="C18" s="130" t="s">
        <v>25</v>
      </c>
      <c r="D18" s="131" t="s">
        <v>26</v>
      </c>
      <c r="E18" s="10" t="s">
        <v>30</v>
      </c>
      <c r="F18" s="9" t="s">
        <v>343</v>
      </c>
      <c r="G18" s="133">
        <v>1.3</v>
      </c>
      <c r="H18" s="130" t="s">
        <v>73</v>
      </c>
      <c r="I18" s="132" t="s">
        <v>356</v>
      </c>
    </row>
    <row r="19" spans="2:9" s="2" customFormat="1" ht="26">
      <c r="B19" s="129" t="s">
        <v>341</v>
      </c>
      <c r="C19" s="130" t="s">
        <v>45</v>
      </c>
      <c r="D19" s="131" t="s">
        <v>49</v>
      </c>
      <c r="E19" s="10" t="s">
        <v>34</v>
      </c>
      <c r="F19" s="9" t="s">
        <v>348</v>
      </c>
      <c r="G19" s="133">
        <v>1.2</v>
      </c>
      <c r="H19" s="130" t="s">
        <v>73</v>
      </c>
      <c r="I19" s="132" t="s">
        <v>357</v>
      </c>
    </row>
    <row r="20" spans="2:9" s="2" customFormat="1" ht="26">
      <c r="B20" s="129" t="s">
        <v>341</v>
      </c>
      <c r="C20" s="130" t="s">
        <v>28</v>
      </c>
      <c r="D20" s="131" t="s">
        <v>49</v>
      </c>
      <c r="E20" s="10" t="s">
        <v>34</v>
      </c>
      <c r="F20" s="9" t="s">
        <v>34</v>
      </c>
      <c r="G20" s="133">
        <v>1.3</v>
      </c>
      <c r="H20" s="130" t="s">
        <v>27</v>
      </c>
      <c r="I20" s="132" t="s">
        <v>358</v>
      </c>
    </row>
    <row r="21" spans="2:9" s="2" customFormat="1" ht="26">
      <c r="B21" s="129" t="s">
        <v>341</v>
      </c>
      <c r="C21" s="130" t="s">
        <v>22</v>
      </c>
      <c r="D21" s="131" t="s">
        <v>49</v>
      </c>
      <c r="E21" s="10" t="s">
        <v>34</v>
      </c>
      <c r="F21" s="9" t="s">
        <v>34</v>
      </c>
      <c r="G21" s="133">
        <v>0.7</v>
      </c>
      <c r="H21" s="130" t="s">
        <v>27</v>
      </c>
      <c r="I21" s="132" t="s">
        <v>359</v>
      </c>
    </row>
    <row r="22" spans="2:9" s="2" customFormat="1" ht="26">
      <c r="B22" s="129" t="s">
        <v>341</v>
      </c>
      <c r="C22" s="130" t="s">
        <v>25</v>
      </c>
      <c r="D22" s="131" t="s">
        <v>26</v>
      </c>
      <c r="E22" s="10" t="s">
        <v>30</v>
      </c>
      <c r="F22" s="9" t="s">
        <v>343</v>
      </c>
      <c r="G22" s="133">
        <v>1.4</v>
      </c>
      <c r="H22" s="130" t="s">
        <v>73</v>
      </c>
      <c r="I22" s="132" t="s">
        <v>360</v>
      </c>
    </row>
    <row r="23" spans="2:9" s="2" customFormat="1" ht="26">
      <c r="B23" s="129" t="s">
        <v>341</v>
      </c>
      <c r="C23" s="130" t="s">
        <v>25</v>
      </c>
      <c r="D23" s="131" t="s">
        <v>26</v>
      </c>
      <c r="E23" s="10" t="s">
        <v>30</v>
      </c>
      <c r="F23" s="9" t="s">
        <v>343</v>
      </c>
      <c r="G23" s="133">
        <v>1.6</v>
      </c>
      <c r="H23" s="130" t="s">
        <v>73</v>
      </c>
      <c r="I23" s="132" t="s">
        <v>361</v>
      </c>
    </row>
    <row r="24" spans="2:9" s="2" customFormat="1" ht="26">
      <c r="B24" s="129" t="s">
        <v>341</v>
      </c>
      <c r="C24" s="130" t="s">
        <v>25</v>
      </c>
      <c r="D24" s="131" t="s">
        <v>26</v>
      </c>
      <c r="E24" s="10" t="s">
        <v>30</v>
      </c>
      <c r="F24" s="9" t="s">
        <v>343</v>
      </c>
      <c r="G24" s="133">
        <v>1.2</v>
      </c>
      <c r="H24" s="130" t="s">
        <v>27</v>
      </c>
      <c r="I24" s="132" t="s">
        <v>362</v>
      </c>
    </row>
    <row r="25" spans="2:9" s="2" customFormat="1" ht="26">
      <c r="B25" s="129" t="s">
        <v>341</v>
      </c>
      <c r="C25" s="130" t="s">
        <v>25</v>
      </c>
      <c r="D25" s="131" t="s">
        <v>26</v>
      </c>
      <c r="E25" s="10" t="s">
        <v>30</v>
      </c>
      <c r="F25" s="9" t="s">
        <v>343</v>
      </c>
      <c r="G25" s="133">
        <v>0.6</v>
      </c>
      <c r="H25" s="130" t="s">
        <v>27</v>
      </c>
      <c r="I25" s="134" t="s">
        <v>363</v>
      </c>
    </row>
    <row r="26" spans="2:9" s="2" customFormat="1" ht="26">
      <c r="B26" s="129" t="s">
        <v>341</v>
      </c>
      <c r="C26" s="130" t="s">
        <v>25</v>
      </c>
      <c r="D26" s="131" t="s">
        <v>26</v>
      </c>
      <c r="E26" s="10" t="s">
        <v>30</v>
      </c>
      <c r="F26" s="9" t="s">
        <v>343</v>
      </c>
      <c r="G26" s="133">
        <v>0.6</v>
      </c>
      <c r="H26" s="130" t="s">
        <v>73</v>
      </c>
      <c r="I26" s="134" t="s">
        <v>364</v>
      </c>
    </row>
    <row r="27" spans="2:9" s="2" customFormat="1" ht="26">
      <c r="B27" s="129" t="s">
        <v>341</v>
      </c>
      <c r="C27" s="130" t="s">
        <v>25</v>
      </c>
      <c r="D27" s="131" t="s">
        <v>26</v>
      </c>
      <c r="E27" s="10" t="s">
        <v>30</v>
      </c>
      <c r="F27" s="9" t="s">
        <v>343</v>
      </c>
      <c r="G27" s="133">
        <v>2.1</v>
      </c>
      <c r="H27" s="130" t="s">
        <v>73</v>
      </c>
      <c r="I27" s="134" t="s">
        <v>365</v>
      </c>
    </row>
    <row r="28" spans="2:9" s="2" customFormat="1" ht="26">
      <c r="B28" s="129" t="s">
        <v>341</v>
      </c>
      <c r="C28" s="130" t="s">
        <v>25</v>
      </c>
      <c r="D28" s="131" t="s">
        <v>26</v>
      </c>
      <c r="E28" s="10" t="s">
        <v>30</v>
      </c>
      <c r="F28" s="9" t="s">
        <v>343</v>
      </c>
      <c r="G28" s="135">
        <v>0.8</v>
      </c>
      <c r="H28" s="130" t="s">
        <v>27</v>
      </c>
      <c r="I28" s="134" t="s">
        <v>366</v>
      </c>
    </row>
    <row r="29" spans="2:9" s="2" customFormat="1" ht="26">
      <c r="B29" s="129" t="s">
        <v>341</v>
      </c>
      <c r="C29" s="130" t="s">
        <v>25</v>
      </c>
      <c r="D29" s="131" t="s">
        <v>26</v>
      </c>
      <c r="E29" s="10" t="s">
        <v>30</v>
      </c>
      <c r="F29" s="9" t="s">
        <v>343</v>
      </c>
      <c r="G29" s="135">
        <v>0.5</v>
      </c>
      <c r="H29" s="130" t="s">
        <v>27</v>
      </c>
      <c r="I29" s="134" t="s">
        <v>367</v>
      </c>
    </row>
    <row r="30" spans="2:9" s="2" customFormat="1" ht="26">
      <c r="B30" s="129" t="s">
        <v>341</v>
      </c>
      <c r="C30" s="130" t="s">
        <v>25</v>
      </c>
      <c r="D30" s="131" t="s">
        <v>26</v>
      </c>
      <c r="E30" s="10" t="s">
        <v>30</v>
      </c>
      <c r="F30" s="9" t="s">
        <v>343</v>
      </c>
      <c r="G30" s="135">
        <v>1.1000000000000001</v>
      </c>
      <c r="H30" s="130" t="s">
        <v>27</v>
      </c>
      <c r="I30" s="134" t="s">
        <v>368</v>
      </c>
    </row>
    <row r="31" spans="2:9" s="2" customFormat="1" ht="26">
      <c r="B31" s="129" t="s">
        <v>341</v>
      </c>
      <c r="C31" s="130" t="s">
        <v>22</v>
      </c>
      <c r="D31" s="131" t="s">
        <v>49</v>
      </c>
      <c r="E31" s="10" t="s">
        <v>34</v>
      </c>
      <c r="F31" s="9" t="s">
        <v>34</v>
      </c>
      <c r="G31" s="135">
        <v>0.8</v>
      </c>
      <c r="H31" s="130" t="s">
        <v>27</v>
      </c>
      <c r="I31" s="134" t="s">
        <v>369</v>
      </c>
    </row>
    <row r="32" spans="2:9" s="2" customFormat="1" ht="26">
      <c r="B32" s="129" t="s">
        <v>341</v>
      </c>
      <c r="C32" s="130" t="s">
        <v>25</v>
      </c>
      <c r="D32" s="131" t="s">
        <v>26</v>
      </c>
      <c r="E32" s="10" t="s">
        <v>30</v>
      </c>
      <c r="F32" s="9" t="s">
        <v>343</v>
      </c>
      <c r="G32" s="135">
        <v>0.8</v>
      </c>
      <c r="H32" s="130" t="s">
        <v>27</v>
      </c>
      <c r="I32" s="134" t="s">
        <v>370</v>
      </c>
    </row>
    <row r="33" spans="2:9" s="2" customFormat="1" ht="26">
      <c r="B33" s="129" t="s">
        <v>341</v>
      </c>
      <c r="C33" s="130" t="s">
        <v>25</v>
      </c>
      <c r="D33" s="131" t="s">
        <v>26</v>
      </c>
      <c r="E33" s="10" t="s">
        <v>30</v>
      </c>
      <c r="F33" s="9" t="s">
        <v>343</v>
      </c>
      <c r="G33" s="135">
        <v>0.7</v>
      </c>
      <c r="H33" s="130" t="s">
        <v>27</v>
      </c>
      <c r="I33" s="134" t="s">
        <v>371</v>
      </c>
    </row>
    <row r="34" spans="2:9" s="2" customFormat="1" ht="26">
      <c r="B34" s="129" t="s">
        <v>341</v>
      </c>
      <c r="C34" s="130" t="s">
        <v>25</v>
      </c>
      <c r="D34" s="131" t="s">
        <v>26</v>
      </c>
      <c r="E34" s="10" t="s">
        <v>30</v>
      </c>
      <c r="F34" s="9" t="s">
        <v>343</v>
      </c>
      <c r="G34" s="135">
        <v>1.5</v>
      </c>
      <c r="H34" s="130" t="s">
        <v>24</v>
      </c>
      <c r="I34" s="134" t="s">
        <v>372</v>
      </c>
    </row>
    <row r="35" spans="2:9" s="2" customFormat="1" ht="26">
      <c r="B35" s="129" t="s">
        <v>341</v>
      </c>
      <c r="C35" s="130" t="s">
        <v>25</v>
      </c>
      <c r="D35" s="131" t="s">
        <v>26</v>
      </c>
      <c r="E35" s="10" t="s">
        <v>30</v>
      </c>
      <c r="F35" s="9" t="s">
        <v>343</v>
      </c>
      <c r="G35" s="135">
        <v>0.8</v>
      </c>
      <c r="H35" s="130" t="s">
        <v>73</v>
      </c>
      <c r="I35" s="134" t="s">
        <v>373</v>
      </c>
    </row>
    <row r="36" spans="2:9" s="2" customFormat="1" ht="26">
      <c r="B36" s="129" t="s">
        <v>341</v>
      </c>
      <c r="C36" s="130" t="s">
        <v>25</v>
      </c>
      <c r="D36" s="131" t="s">
        <v>26</v>
      </c>
      <c r="E36" s="10" t="s">
        <v>30</v>
      </c>
      <c r="F36" s="9" t="s">
        <v>343</v>
      </c>
      <c r="G36" s="135">
        <v>1.4</v>
      </c>
      <c r="H36" s="130" t="s">
        <v>73</v>
      </c>
      <c r="I36" s="134" t="s">
        <v>374</v>
      </c>
    </row>
    <row r="37" spans="2:9" s="2" customFormat="1" ht="26">
      <c r="B37" s="129" t="s">
        <v>341</v>
      </c>
      <c r="C37" s="130" t="s">
        <v>25</v>
      </c>
      <c r="D37" s="131" t="s">
        <v>26</v>
      </c>
      <c r="E37" s="10" t="s">
        <v>30</v>
      </c>
      <c r="F37" s="9" t="s">
        <v>343</v>
      </c>
      <c r="G37" s="135">
        <v>1.6</v>
      </c>
      <c r="H37" s="130" t="s">
        <v>73</v>
      </c>
      <c r="I37" s="134" t="s">
        <v>375</v>
      </c>
    </row>
    <row r="38" spans="2:9" s="2" customFormat="1" ht="26">
      <c r="B38" s="129" t="s">
        <v>341</v>
      </c>
      <c r="C38" s="130" t="s">
        <v>22</v>
      </c>
      <c r="D38" s="131" t="s">
        <v>49</v>
      </c>
      <c r="E38" s="10" t="s">
        <v>34</v>
      </c>
      <c r="F38" s="9" t="s">
        <v>34</v>
      </c>
      <c r="G38" s="135">
        <v>1.3</v>
      </c>
      <c r="H38" s="130" t="s">
        <v>27</v>
      </c>
      <c r="I38" s="134" t="s">
        <v>376</v>
      </c>
    </row>
    <row r="39" spans="2:9" s="2" customFormat="1" ht="26">
      <c r="B39" s="129" t="s">
        <v>341</v>
      </c>
      <c r="C39" s="130" t="s">
        <v>25</v>
      </c>
      <c r="D39" s="131" t="s">
        <v>26</v>
      </c>
      <c r="E39" s="10" t="s">
        <v>30</v>
      </c>
      <c r="F39" s="9" t="s">
        <v>343</v>
      </c>
      <c r="G39" s="135">
        <v>1.5</v>
      </c>
      <c r="H39" s="130" t="s">
        <v>27</v>
      </c>
      <c r="I39" s="134" t="s">
        <v>377</v>
      </c>
    </row>
    <row r="40" spans="2:9" s="2" customFormat="1" ht="26">
      <c r="B40" s="129" t="s">
        <v>341</v>
      </c>
      <c r="C40" s="130" t="s">
        <v>25</v>
      </c>
      <c r="D40" s="131" t="s">
        <v>26</v>
      </c>
      <c r="E40" s="10" t="s">
        <v>30</v>
      </c>
      <c r="F40" s="9" t="s">
        <v>343</v>
      </c>
      <c r="G40" s="135">
        <v>1.1000000000000001</v>
      </c>
      <c r="H40" s="130" t="s">
        <v>73</v>
      </c>
      <c r="I40" s="134" t="s">
        <v>378</v>
      </c>
    </row>
    <row r="41" spans="2:9" s="2" customFormat="1" ht="13">
      <c r="B41" s="129" t="s">
        <v>341</v>
      </c>
      <c r="C41" s="130" t="s">
        <v>22</v>
      </c>
      <c r="D41" s="131" t="s">
        <v>49</v>
      </c>
      <c r="E41" s="10" t="s">
        <v>34</v>
      </c>
      <c r="F41" s="9" t="s">
        <v>34</v>
      </c>
      <c r="G41" s="135">
        <v>2.1</v>
      </c>
      <c r="H41" s="130" t="s">
        <v>73</v>
      </c>
      <c r="I41" s="134" t="s">
        <v>379</v>
      </c>
    </row>
    <row r="42" spans="2:9" s="2" customFormat="1" ht="26">
      <c r="B42" s="129" t="s">
        <v>341</v>
      </c>
      <c r="C42" s="130" t="s">
        <v>25</v>
      </c>
      <c r="D42" s="131" t="s">
        <v>26</v>
      </c>
      <c r="E42" s="10" t="s">
        <v>30</v>
      </c>
      <c r="F42" s="9" t="s">
        <v>343</v>
      </c>
      <c r="G42" s="135">
        <v>2.4</v>
      </c>
      <c r="H42" s="130" t="s">
        <v>73</v>
      </c>
      <c r="I42" s="134" t="s">
        <v>380</v>
      </c>
    </row>
    <row r="43" spans="2:9" s="2" customFormat="1" ht="26">
      <c r="B43" s="129" t="s">
        <v>341</v>
      </c>
      <c r="C43" s="130" t="s">
        <v>45</v>
      </c>
      <c r="D43" s="131" t="s">
        <v>49</v>
      </c>
      <c r="E43" s="10" t="s">
        <v>34</v>
      </c>
      <c r="F43" s="9" t="s">
        <v>34</v>
      </c>
      <c r="G43" s="135">
        <v>1.7</v>
      </c>
      <c r="H43" s="130" t="s">
        <v>73</v>
      </c>
      <c r="I43" s="134" t="s">
        <v>381</v>
      </c>
    </row>
    <row r="44" spans="2:9" s="2" customFormat="1" ht="13">
      <c r="B44" s="8"/>
      <c r="C44" s="9"/>
      <c r="D44" s="10"/>
      <c r="E44" s="10"/>
      <c r="F44" s="9"/>
      <c r="G44" s="11"/>
      <c r="H44" s="9"/>
      <c r="I44" s="16"/>
    </row>
    <row r="45" spans="2:9" s="2" customFormat="1" ht="13">
      <c r="B45" s="8"/>
      <c r="C45" s="9"/>
      <c r="D45" s="10"/>
      <c r="E45" s="10"/>
      <c r="F45" s="9"/>
      <c r="G45" s="11"/>
      <c r="H45" s="9"/>
      <c r="I45" s="16"/>
    </row>
    <row r="46" spans="2:9" s="2" customFormat="1" ht="13">
      <c r="B46" s="8"/>
      <c r="C46" s="9"/>
      <c r="D46" s="10"/>
      <c r="E46" s="10"/>
      <c r="F46" s="9"/>
      <c r="G46" s="11"/>
      <c r="H46" s="9"/>
      <c r="I46" s="16"/>
    </row>
    <row r="47" spans="2:9" s="2" customFormat="1" ht="13">
      <c r="B47" s="8"/>
      <c r="C47" s="9"/>
      <c r="D47" s="10"/>
      <c r="E47" s="10"/>
      <c r="F47" s="9"/>
      <c r="G47" s="11"/>
      <c r="H47" s="9"/>
      <c r="I47" s="16"/>
    </row>
    <row r="48" spans="2:9" s="2" customFormat="1" ht="13">
      <c r="B48" s="8"/>
      <c r="C48" s="9"/>
      <c r="D48" s="10"/>
      <c r="E48" s="10"/>
      <c r="F48" s="9"/>
      <c r="G48" s="11"/>
      <c r="H48" s="9"/>
      <c r="I48" s="16"/>
    </row>
    <row r="49" spans="2:9" s="2" customFormat="1" ht="14.5" customHeight="1" thickBot="1">
      <c r="B49" s="79" t="s">
        <v>32</v>
      </c>
      <c r="C49" s="80"/>
      <c r="D49" s="81"/>
      <c r="E49" s="12"/>
      <c r="F49" s="12"/>
      <c r="G49" s="82">
        <f>SUM(G6:G48)</f>
        <v>49.1</v>
      </c>
      <c r="H49" s="83"/>
      <c r="I49" s="84"/>
    </row>
    <row r="52" spans="2:9">
      <c r="B52" s="17" t="s">
        <v>81</v>
      </c>
      <c r="C52" s="18" t="s">
        <v>331</v>
      </c>
    </row>
    <row r="53" spans="2:9">
      <c r="C53" s="18" t="s">
        <v>332</v>
      </c>
    </row>
  </sheetData>
  <mergeCells count="4">
    <mergeCell ref="B1:I1"/>
    <mergeCell ref="B2:H2"/>
    <mergeCell ref="B49:D49"/>
    <mergeCell ref="G49:I49"/>
  </mergeCells>
  <phoneticPr fontId="10" type="noConversion"/>
  <dataValidations count="7">
    <dataValidation type="list" errorStyle="warning" allowBlank="1" sqref="C44:C48" xr:uid="{00000000-0002-0000-0000-000005000000}">
      <formula1>项目事项分类项目名称</formula1>
    </dataValidation>
    <dataValidation type="list" allowBlank="1" showInputMessage="1" showErrorMessage="1" sqref="F43:F48 F12:F13 F20:F21 F31 F38 F41 F6:F10" xr:uid="{00000000-0002-0000-0000-000002000000}">
      <formula1>INDIRECT($E6)</formula1>
    </dataValidation>
    <dataValidation type="list" allowBlank="1" showInputMessage="1" showErrorMessage="1" sqref="H44:H48 H6" xr:uid="{00000000-0002-0000-0000-000006000000}">
      <formula1>事项分类指定内容</formula1>
    </dataValidation>
    <dataValidation type="list" allowBlank="1" showErrorMessage="1" sqref="H7:H43" xr:uid="{80C3C702-1E52-4F3E-A1C4-D3CE94F1913D}">
      <formula1>事项分类指定内容</formula1>
    </dataValidation>
    <dataValidation type="list" allowBlank="1" sqref="C6:C43" xr:uid="{0E9B0DFF-C1E2-4089-9432-CB86B7D018FF}">
      <formula1>项目事项分类项目名称</formula1>
    </dataValidation>
    <dataValidation type="list" allowBlank="1" showInputMessage="1" showErrorMessage="1" sqref="F27:F28" xr:uid="{C3919D7D-2D53-47F8-8421-DB397087D9A9}">
      <formula1>INDIRECT($E26)</formula1>
    </dataValidation>
    <dataValidation type="list" allowBlank="1" showInputMessage="1" showErrorMessage="1" sqref="F11 F14:F19 F29:F30 F22:F26 F32:F37 F39:F40 F42" xr:uid="{3D38FEF0-2190-4445-8471-F79A01CBBD92}">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D44:D48</xm:sqref>
        </x14:dataValidation>
        <x14:dataValidation type="list" allowBlank="1" showInputMessage="1" showErrorMessage="1" xr:uid="{00000000-0002-0000-0000-000007000000}">
          <x14:formula1>
            <xm:f>Tag!$B$2:$E$2</xm:f>
          </x14:formula1>
          <xm:sqref>E44:E48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2025-03-03T20:49:31Z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