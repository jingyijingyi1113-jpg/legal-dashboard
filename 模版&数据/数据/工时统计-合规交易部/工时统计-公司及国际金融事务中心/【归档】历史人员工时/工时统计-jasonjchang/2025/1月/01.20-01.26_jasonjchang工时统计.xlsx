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son\"/>
    </mc:Choice>
  </mc:AlternateContent>
  <xr:revisionPtr revIDLastSave="0" documentId="13_ncr:1_{3CF5381B-9429-4576-9375-347DAC42A9D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<sst xmlns="http://schemas.openxmlformats.org/spreadsheetml/2006/main" count="606" uniqueCount="426">
  <si>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</si>
  <si>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</si>
  <si>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</si>
  <si>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</si>
  <si>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</si>
  <si>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</si>
  <si>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</si>
  <si>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</si>
  <si>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</si>
  <si>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</si>
  <si>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</si>
  <si>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</si>
  <si>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</si>
  <si>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</si>
  <si>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</si>
  <si>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</si>
  <si>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</si>
  <si>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</si>
  <si>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</si>
  <si>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</si>
  <si>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</si>
  <si>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</si>
  <si>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</si>
  <si>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</si>
  <si>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</si>
  <si>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</si>
  <si>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</si>
  <si>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</si>
  <si>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</si>
  <si>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</si>
  <si>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</si>
  <si>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</si>
  <si>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</si>
  <si>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</si>
  <si>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</si>
  <si>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</si>
  <si>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</si>
  <si>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</si>
  <si>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</si>
  <si>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</si>
  <si>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</si>
  <si>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</si>
  <si>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</si>
  <si>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</si>
  <si>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</si>
  <si>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</si>
  <si>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</si>
  <si>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</si>
  <si>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</si>
  <si>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</si>
  <si>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</si>
  <si>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</si>
  <si>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</si>
  <si>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</si>
  <si>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</si>
  <si>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</si>
  <si>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</si>
  <si>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</si>
  <si>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</si>
  <si>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</si>
  <si>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</si>
  <si>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</si>
  <si>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</si>
  <si>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</si>
  <si>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</si>
  <si>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</si>
  <si>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</si>
  <si>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</si>
  <si>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</si>
  <si>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</si>
  <si>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</si>
  <si>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</si>
  <si>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</si>
  <si>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</si>
  <si>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</si>
  <si>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</si>
  <si>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</si>
  <si>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</si>
  <si>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</si>
  <si>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</si>
  <si>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</si>
  <si>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</si>
  <si>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</si>
  <si>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</si>
  <si>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</si>
  <si>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</si>
  <si>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</si>
  <si>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</si>
  <si>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</si>
  <si>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</si>
  <si>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</si>
  <si>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</si>
  <si>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</si>
  <si>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</si>
  <si>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</si>
  <si>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</si>
  <si>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</si>
  <si>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</si>
  <si>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</si>
  <si>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</si>
  <si>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</si>
  <si>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</si>
  <si>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</si>
  <si>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</si>
  <si>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</si>
  <si>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</si>
  <si>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</si>
  <si>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</si>
  <si>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</si>
  <si>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</si>
  <si>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</si>
  <si>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</si>
  <si>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</si>
  <si>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</si>
  <si>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</si>
  <si>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</si>
  <si>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</si>
  <si>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</si>
  <si>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</si>
  <si>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</si>
  <si>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</si>
  <si>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</si>
  <si>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</si>
  <si>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</si>
  <si>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</si>
  <si>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</si>
  <si>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</si>
  <si>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</si>
  <si>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</si>
  <si>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</si>
  <si>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</si>
  <si>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</si>
  <si>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</si>
  <si>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</si>
  <si>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</si>
  <si>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</si>
  <si>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</si>
  <si>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</si>
  <si>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</si>
  <si>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</si>
  <si>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</si>
  <si>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</si>
  <si>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</si>
  <si>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</si>
  <si>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</si>
  <si>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</si>
  <si>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</si>
  <si>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</si>
  <si>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</si>
  <si>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</si>
  <si>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</si>
  <si>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</si>
  <si>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</si>
  <si>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</si>
  <si>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</si>
  <si>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</si>
  <si>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</si>
  <si>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</si>
  <si>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</si>
  <si>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</si>
  <si>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</si>
  <si>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</si>
  <si>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</si>
  <si>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</si>
  <si>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</si>
  <si>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</si>
  <si>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</si>
  <si>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</si>
  <si>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</si>
  <si>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</si>
  <si>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</si>
  <si>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</si>
  <si>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</si>
  <si>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</si>
  <si>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</si>
  <si>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</si>
  <si>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</si>
  <si>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</si>
  <si>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</si>
  <si>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</si>
  <si>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</si>
  <si>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</si>
  <si>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</si>
  <si>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</si>
  <si>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</si>
  <si>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</si>
  <si>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</si>
  <si>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</si>
  <si>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</si>
  <si>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</si>
  <si>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</si>
  <si>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</si>
  <si>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</si>
  <si>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</si>
  <si>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</si>
  <si>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</si>
  <si>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</si>
  <si>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</si>
  <si>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</si>
  <si>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</si>
  <si>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</si>
  <si>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</si>
  <si>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</si>
  <si>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</si>
  <si>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</si>
  <si>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</si>
  <si>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</si>
  <si>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</si>
  <si>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</si>
  <si>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</si>
  <si>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</si>
  <si>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</si>
  <si>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</si>
  <si>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</si>
  <si>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</si>
  <si>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</si>
  <si>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</si>
  <si>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</si>
  <si>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</si>
  <si>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</si>
  <si>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</si>
  <si>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</si>
  <si>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</si>
  <si>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</si>
  <si>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</si>
  <si>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</si>
  <si>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</si>
  <si>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</si>
  <si>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</si>
  <si>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</si>
  <si>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</si>
  <si>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</si>
  <si>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</si>
  <si>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</si>
  <si>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</si>
  <si>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</si>
  <si>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</si>
  <si>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</si>
  <si>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</si>
  <si>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</si>
  <si>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</si>
  <si>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</si>
  <si>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</si>
  <si>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</si>
  <si>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</si>
  <si>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</si>
  <si>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</si>
  <si>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</si>
  <si>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</si>
  <si>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</si>
  <si>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</si>
  <si>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</si>
  <si>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</si>
  <si>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</si>
  <si>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</si>
  <si>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</si>
  <si>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</si>
  <si>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</si>
  <si>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</si>
  <si>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</si>
  <si>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</si>
  <si>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</si>
  <si>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</si>
  <si>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</si>
  <si>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</si>
  <si>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</si>
  <si>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</si>
  <si>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</si>
  <si>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</si>
  <si>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</si>
  <si>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</si>
  <si>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</si>
  <si>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</si>
  <si>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</si>
  <si>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</si>
  <si>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</si>
  <si>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</si>
  <si>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</si>
  <si>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</si>
  <si>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</si>
  <si>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</si>
  <si>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</si>
  <si>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</si>
  <si>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</si>
  <si>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</si>
  <si>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</si>
  <si>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</si>
  <si>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</si>
  <si>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</si>
  <si>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</si>
  <si>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</si>
  <si>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</si>
  <si>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</si>
  <si>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</si>
  <si>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</si>
  <si>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</si>
  <si>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</si>
  <si>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</si>
  <si>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</si>
  <si>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</si>
  <si>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</si>
  <si>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</si>
  <si>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</si>
  <si>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</si>
  <si>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</si>
  <si>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</si>
  <si>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</si>
  <si>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</si>
  <si>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</si>
  <si>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</si>
  <si>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</si>
  <si>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</si>
  <si>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</si>
  <si>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</si>
  <si>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</si>
  <si>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</si>
  <si>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</si>
  <si>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</si>
  <si>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</si>
  <si>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</si>
  <si>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</si>
  <si>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</si>
  <si>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</si>
  <si>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</si>
  <si>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</si>
  <si>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</si>
  <si>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</si>
  <si>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</si>
  <si>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</si>
  <si>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</si>
  <si>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</si>
  <si>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</si>
  <si>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</si>
  <si>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</si>
  <si>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</si>
  <si>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</si>
  <si>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</si>
  <si>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</si>
  <si>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</si>
  <si>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</si>
  <si>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</si>
  <si>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</si>
  <si>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</si>
  <si>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</si>
  <si>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</si>
  <si>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</si>
  <si>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</si>
  <si>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</si>
  <si>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</si>
  <si>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</si>
  <si>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</si>
  <si>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</si>
  <si>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</si>
  <si>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</si>
  <si>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</si>
  <si>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</si>
  <si>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</si>
  <si>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</si>
  <si>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</si>
  <si>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</si>
  <si>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</si>
  <si>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</si>
  <si>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</si>
  <si>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</si>
  <si>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</si>
  <si>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</si>
  <si>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</si>
  <si>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</si>
  <si>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</si>
  <si>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</si>
  <si>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</si>
  <si>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</si>
  <si>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</si>
  <si>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</si>
  <si>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</si>
  <si>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</si>
  <si>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</si>
  <si>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</si>
  <si>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</si>
  <si>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</si>
  <si>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</si>
  <si>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</si>
  <si>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</si>
  <si>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</si>
  <si>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</si>
  <si>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</si>
  <si>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</si>
  <si>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</si>
  <si>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</si>
  <si>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</si>
  <si>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</si>
  <si>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</si>
  <si>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</si>
  <si>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</si>
  <si>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</si>
  <si>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</si>
  <si>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</si>
  <si>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</si>
  <si>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</si>
  <si>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</si>
  <si>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</si>
  <si>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</si>
  <si>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</si>
  <si>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</si>
  <si>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</si>
  <si>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</si>
  <si>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</si>
  <si>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</si>
  <si>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</si>
  <si>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</si>
  <si>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</si>
  <si>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</si>
  <si>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</si>
  <si>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</si>
  <si>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</si>
  <si>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</si>
  <si>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MA model rep re sanctions; comment reciprocity</t>
  </si>
  <si>
    <t>ABC checklist and DDQ</t>
  </si>
  <si>
    <t>CDG: Investor relations respond to inquiries</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</si>
  <si>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19 - </t>
    </r>
    <r>
      <rPr>
        <b/>
        <sz val="10"/>
        <color theme="0"/>
        <rFont val="新細明體"/>
        <family val="2"/>
        <scheme val="minor"/>
      </rPr>
      <t>2025 - 01 - 25</t>
    </r>
  </si>
  <si>
    <t>Paper publication compliance review</t>
  </si>
  <si>
    <t>EZ Pin; IP blocking; status updates on sanctions enforcements</t>
  </si>
  <si>
    <t>AML training program review; sanctions 10 year record keeping; sanctions strategy deck; sanctions policies</t>
  </si>
  <si>
    <t>Review sanctions request for restricted markets access; decathlon matter</t>
  </si>
  <si>
    <t xml:space="preserve">Tencent Group Sanctions Policy review; sanctions strategy deck; 10 year record keeping requirement for OFAC; white list reports from Oleg; </t>
  </si>
  <si>
    <t>Executive orders, tarriffs, technology bans, China legislation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</si>
</sst>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76"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A15" zoomScale="140" zoomScaleNormal="140" workbookViewId="0">
      <selection activeCell="D34" sqref="D34"/>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419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4.5">
      <c r="B6" s="27" t="s">
        <v>415</v>
      </c>
      <c r="C6" s="28" t="s">
        <v>47</v>
      </c>
      <c r="D6" s="29" t="s">
        <v>54</v>
      </c>
      <c r="E6" s="29" t="s">
        <v>30</v>
      </c>
      <c r="F6" s="28" t="s">
        <v>166</v>
      </c>
      <c r="G6" s="30">
        <v>1.8</v>
      </c>
      <c r="H6" s="28" t="s">
        <v>153</v>
      </c>
      <c r="I6" s="35" t="s">
        <v>423</v>
      </c>
    </row>
    <row r="7" spans="1:9" s="21" customFormat="1" ht="94.5">
      <c r="B7" s="27" t="s">
        <v>415</v>
      </c>
      <c r="C7" s="28" t="s">
        <v>47</v>
      </c>
      <c r="D7" s="29" t="s">
        <v>54</v>
      </c>
      <c r="E7" s="29" t="s">
        <v>30</v>
      </c>
      <c r="F7" s="28" t="s">
        <v>166</v>
      </c>
      <c r="G7" s="30">
        <v>2.4</v>
      </c>
      <c r="H7" s="28" t="s">
        <v>27</v>
      </c>
      <c r="I7" s="35" t="s">
        <v>423</v>
      </c>
    </row>
    <row r="8" spans="1:9" s="21" customFormat="1" ht="94.5">
      <c r="B8" s="27" t="s">
        <v>415</v>
      </c>
      <c r="C8" s="28" t="s">
        <v>47</v>
      </c>
      <c r="D8" s="29" t="s">
        <v>18</v>
      </c>
      <c r="E8" s="29" t="s">
        <v>30</v>
      </c>
      <c r="F8" s="28" t="s">
        <v>166</v>
      </c>
      <c r="G8" s="30">
        <v>2</v>
      </c>
      <c r="H8" s="28" t="s">
        <v>24</v>
      </c>
      <c r="I8" s="35" t="s">
        <v>420</v>
      </c>
    </row>
    <row r="9" spans="1:9" s="21" customFormat="1" ht="94.5">
      <c r="B9" s="27" t="s">
        <v>415</v>
      </c>
      <c r="C9" s="28" t="s">
        <v>47</v>
      </c>
      <c r="D9" s="29" t="s">
        <v>18</v>
      </c>
      <c r="E9" s="29" t="s">
        <v>30</v>
      </c>
      <c r="F9" s="28" t="s">
        <v>166</v>
      </c>
      <c r="G9" s="30">
        <v>2</v>
      </c>
      <c r="H9" s="28" t="s">
        <v>27</v>
      </c>
      <c r="I9" s="35" t="s">
        <v>420</v>
      </c>
    </row>
    <row r="10" spans="1:9" s="21" customFormat="1" ht="94.5">
      <c r="B10" s="27" t="s">
        <v>415</v>
      </c>
      <c r="C10" s="28" t="s">
        <v>47</v>
      </c>
      <c r="D10" s="29" t="s">
        <v>48</v>
      </c>
      <c r="E10" s="29" t="s">
        <v>30</v>
      </c>
      <c r="F10" s="28" t="s">
        <v>166</v>
      </c>
      <c r="G10" s="30">
        <v>3</v>
      </c>
      <c r="H10" s="28" t="s">
        <v>27</v>
      </c>
      <c r="I10" s="35" t="s">
        <v>417</v>
      </c>
    </row>
    <row r="11" spans="1:9" s="21" customFormat="1" ht="94.5">
      <c r="B11" s="27" t="s">
        <v>415</v>
      </c>
      <c r="C11" s="28" t="s">
        <v>47</v>
      </c>
      <c r="D11" s="29" t="s">
        <v>18</v>
      </c>
      <c r="E11" s="29" t="s">
        <v>30</v>
      </c>
      <c r="F11" s="28" t="s">
        <v>166</v>
      </c>
      <c r="G11" s="30">
        <v>5</v>
      </c>
      <c r="H11" s="28" t="s">
        <v>27</v>
      </c>
      <c r="I11" s="35" t="s">
        <v>422</v>
      </c>
    </row>
    <row r="12" spans="1:9" s="21" customFormat="1" ht="94.5">
      <c r="B12" s="27" t="s">
        <v>415</v>
      </c>
      <c r="C12" s="28" t="s">
        <v>47</v>
      </c>
      <c r="D12" s="29" t="s">
        <v>18</v>
      </c>
      <c r="E12" s="29" t="s">
        <v>30</v>
      </c>
      <c r="F12" s="28" t="s">
        <v>166</v>
      </c>
      <c r="G12" s="30">
        <v>10</v>
      </c>
      <c r="H12" s="28" t="s">
        <v>153</v>
      </c>
      <c r="I12" s="35" t="s">
        <v>424</v>
      </c>
    </row>
    <row r="13" spans="1:9" s="21" customFormat="1" ht="94.5">
      <c r="B13" s="27" t="s">
        <v>415</v>
      </c>
      <c r="C13" s="28" t="s">
        <v>47</v>
      </c>
      <c r="D13" s="29" t="s">
        <v>48</v>
      </c>
      <c r="E13" s="29" t="s">
        <v>30</v>
      </c>
      <c r="F13" s="28" t="s">
        <v>166</v>
      </c>
      <c r="G13" s="30">
        <v>0.3</v>
      </c>
      <c r="H13" s="28" t="s">
        <v>153</v>
      </c>
      <c r="I13" s="35" t="s">
        <v>416</v>
      </c>
    </row>
    <row r="14" spans="1:9" s="21" customFormat="1" ht="94.5">
      <c r="B14" s="27" t="s">
        <v>415</v>
      </c>
      <c r="C14" s="28" t="s">
        <v>47</v>
      </c>
      <c r="D14" s="29" t="s">
        <v>55</v>
      </c>
      <c r="E14" s="29" t="s">
        <v>30</v>
      </c>
      <c r="F14" s="28" t="s">
        <v>166</v>
      </c>
      <c r="G14" s="30">
        <v>2</v>
      </c>
      <c r="H14" s="28" t="s">
        <v>27</v>
      </c>
      <c r="I14" s="35" t="s">
        <v>421</v>
      </c>
    </row>
    <row r="15" spans="1:9" s="21" customFormat="1" ht="94.5">
      <c r="B15" s="27" t="s">
        <v>415</v>
      </c>
      <c r="C15" s="28" t="s">
        <v>47</v>
      </c>
      <c r="D15" s="29" t="s">
        <v>31</v>
      </c>
      <c r="E15" s="29" t="s">
        <v>30</v>
      </c>
      <c r="F15" s="28" t="s">
        <v>166</v>
      </c>
      <c r="G15" s="30">
        <v>0.3</v>
      </c>
      <c r="H15" s="28" t="s">
        <v>27</v>
      </c>
      <c r="I15" s="35" t="s">
        <v>418</v>
      </c>
    </row>
    <row r="16" spans="1:9" s="21" customFormat="1" ht="94.5">
      <c r="B16" s="27" t="s">
        <v>415</v>
      </c>
      <c r="C16" s="28" t="s">
        <v>47</v>
      </c>
      <c r="D16" s="29" t="s">
        <v>18</v>
      </c>
      <c r="E16" s="29" t="s">
        <v>30</v>
      </c>
      <c r="F16" s="28" t="s">
        <v>167</v>
      </c>
      <c r="G16" s="30">
        <v>13</v>
      </c>
      <c r="H16" s="28" t="s">
        <v>24</v>
      </c>
      <c r="I16" s="35" t="s">
        <v>425</v>
      </c>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4.5" customHeight="1">
      <c r="B20" s="100" t="s">
        <v>32</v>
      </c>
      <c r="C20" s="101"/>
      <c r="D20" s="102"/>
      <c r="E20" s="31"/>
      <c r="F20" s="31"/>
      <c r="G20" s="103">
        <f>SUM(G6:G19)</f>
        <v>41.8</v>
      </c>
      <c r="H20" s="104"/>
      <c r="I20" s="105"/>
    </row>
    <row r="23" spans="2:9">
      <c r="B23" s="36" t="s">
        <v>162</v>
      </c>
      <c r="C23" s="37"/>
    </row>
    <row r="24" spans="2:9">
      <c r="C24" s="37"/>
    </row>
  </sheetData>
  <mergeCells count="4">
    <mergeCell ref="B1:I1"/>
    <mergeCell ref="B2:H2"/>
    <mergeCell ref="B20:D20"/>
    <mergeCell ref="G20:I20"/>
  </mergeCells>
  <phoneticPr fontId="18" type="noConversion"/>
  <dataValidations count="3">
    <dataValidation type="list" errorStyle="warning" allowBlank="1" sqref="C16:C19" xr:uid="{00000000-0002-0000-0000-000005000000}">
      <formula1>项目事项分类项目名称</formula1>
    </dataValidation>
    <dataValidation type="list" allowBlank="1" showInputMessage="1" showErrorMessage="1" sqref="F6:F19" xr:uid="{00000000-0002-0000-0000-000002000000}">
      <formula1>INDIRECT($E6)</formula1>
    </dataValidation>
    <dataValidation type="list" allowBlank="1" showInputMessage="1" showErrorMessage="1" sqref="H6:H1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D6:D19</xm:sqref>
        </x14:dataValidation>
        <x14:dataValidation type="list" errorStyle="warning" allowBlank="1" xr:uid="{00000000-0002-0000-0000-000003000000}">
          <x14:formula1>
            <xm:f>'Exhibit I - Virtual Group'!$A$1:$A$7</xm:f>
          </x14:formula1>
          <xm:sqref>C6:C15</xm:sqref>
        </x14:dataValidation>
        <x14:dataValidation type="list" allowBlank="1" showInputMessage="1" showErrorMessage="1" xr:uid="{00000000-0002-0000-0000-000007000000}">
          <x14:formula1>
            <xm:f>Tag!$B$2:$E$2</xm:f>
          </x14:formula1>
          <xm:sqref>E6:E19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48.5">
      <c r="A7" s="111"/>
      <c r="B7" s="116"/>
      <c r="C7" s="9" t="s">
        <v>117</v>
      </c>
      <c r="D7" s="5" t="s">
        <v>118</v>
      </c>
      <c r="E7" s="109"/>
      <c r="F7" s="4" t="s">
        <v>119</v>
      </c>
      <c r="G7" s="4" t="s">
        <v>120</v>
      </c>
      <c r="H7" s="4" t="s">
        <v>121</v>
      </c>
      <c r="I7" s="4" t="s">
        <v>121</v>
      </c>
      <c r="J7" s="4" t="s">
        <v>122</v>
      </c>
      <c r="K7" s="13">
        <v>4</v>
      </c>
      <c r="L7" s="4" t="s">
        <v>123</v>
      </c>
      <c r="M7" s="14"/>
      <c r="N7" s="14"/>
      <c r="O7" s="14"/>
      <c r="P7" s="14"/>
    </row>
    <row r="8" spans="1:16" ht="409.5">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02.5">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defaultColWidth="8.796875" defaultRowHeight="16" outlineLevelRow="1"/>
  <cols>
    <col min="1" max="1" width="2" style="38" customWidth="1"/>
    <col min="2" max="2" width="3.19921875" style="38"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8" customWidth="1"/>
    <col min="15" max="15" width="9.19921875" style="38"/>
  </cols>
  <sheetData>
    <row r="1" spans="2:14" ht="17.5">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c r="C4" s="128"/>
      <c r="D4" s="131"/>
      <c r="E4" s="132"/>
      <c r="F4" s="128"/>
      <c r="G4" s="128"/>
      <c r="H4" s="128"/>
      <c r="I4" s="128"/>
      <c r="J4" s="128"/>
      <c r="K4" s="39" t="s">
        <v>73</v>
      </c>
      <c r="L4" s="39" t="s">
        <v>74</v>
      </c>
      <c r="M4" s="39" t="s">
        <v>75</v>
      </c>
      <c r="N4" s="39" t="s">
        <v>76</v>
      </c>
    </row>
    <row r="5" spans="2:14" ht="108.5" outlineLevel="1">
      <c r="C5" s="40" t="s">
        <v>192</v>
      </c>
      <c r="D5" s="137" t="s">
        <v>193</v>
      </c>
      <c r="E5" s="138"/>
      <c r="F5" s="41" t="s">
        <v>194</v>
      </c>
      <c r="G5" s="40" t="s">
        <v>195</v>
      </c>
      <c r="H5" s="40" t="s">
        <v>196</v>
      </c>
      <c r="I5" s="40" t="s">
        <v>197</v>
      </c>
      <c r="J5" s="40" t="s">
        <v>198</v>
      </c>
      <c r="K5" s="139" t="s">
        <v>199</v>
      </c>
      <c r="L5" s="139"/>
      <c r="M5" s="139"/>
      <c r="N5" s="139"/>
    </row>
    <row r="6" spans="2:14" s="42" customFormat="1" ht="201.5" outlineLevel="1">
      <c r="B6" s="140"/>
      <c r="C6" s="141" t="s">
        <v>200</v>
      </c>
      <c r="D6" s="145"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40"/>
      <c r="C7" s="142"/>
      <c r="D7" s="142"/>
      <c r="E7" s="51" t="s">
        <v>208</v>
      </c>
      <c r="F7" s="52" t="s">
        <v>209</v>
      </c>
      <c r="G7" s="46" t="s">
        <v>210</v>
      </c>
      <c r="H7" s="53">
        <v>5</v>
      </c>
      <c r="I7" s="54" t="s">
        <v>211</v>
      </c>
      <c r="J7" s="48" t="s">
        <v>212</v>
      </c>
      <c r="K7" s="55" t="s">
        <v>213</v>
      </c>
      <c r="L7" s="56" t="s">
        <v>207</v>
      </c>
      <c r="M7" s="55" t="s">
        <v>214</v>
      </c>
      <c r="N7" s="57" t="s">
        <v>215</v>
      </c>
    </row>
    <row r="8" spans="2:14" s="42" customFormat="1" ht="217" outlineLevel="1">
      <c r="B8" s="140"/>
      <c r="C8" s="143"/>
      <c r="D8" s="146"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40"/>
      <c r="C9" s="143"/>
      <c r="D9" s="147"/>
      <c r="E9" s="46" t="s">
        <v>223</v>
      </c>
      <c r="F9" s="45" t="s">
        <v>224</v>
      </c>
      <c r="G9" s="58" t="s">
        <v>225</v>
      </c>
      <c r="H9" s="47">
        <v>5</v>
      </c>
      <c r="I9" s="48" t="s">
        <v>220</v>
      </c>
      <c r="J9" s="48" t="s">
        <v>226</v>
      </c>
      <c r="K9" s="58" t="s">
        <v>227</v>
      </c>
      <c r="L9" s="58" t="s">
        <v>228</v>
      </c>
      <c r="M9" s="58" t="s">
        <v>229</v>
      </c>
      <c r="N9" s="57" t="s">
        <v>229</v>
      </c>
    </row>
    <row r="10" spans="2:14" s="42" customFormat="1" ht="77.5" outlineLevel="1">
      <c r="B10" s="140"/>
      <c r="C10" s="142"/>
      <c r="D10" s="148" t="s">
        <v>230</v>
      </c>
      <c r="E10" s="132"/>
      <c r="F10" s="46" t="s">
        <v>231</v>
      </c>
      <c r="G10" s="59" t="s">
        <v>232</v>
      </c>
      <c r="H10" s="54">
        <v>4</v>
      </c>
      <c r="I10" s="48" t="s">
        <v>220</v>
      </c>
      <c r="J10" s="49" t="s">
        <v>233</v>
      </c>
      <c r="K10" s="58" t="s">
        <v>234</v>
      </c>
      <c r="L10" s="58" t="s">
        <v>234</v>
      </c>
      <c r="M10" s="58" t="s">
        <v>234</v>
      </c>
      <c r="N10" s="57" t="s">
        <v>234</v>
      </c>
    </row>
    <row r="11" spans="2:14" s="42" customFormat="1" ht="263.5" outlineLevel="1">
      <c r="B11" s="140"/>
      <c r="C11" s="142"/>
      <c r="D11" s="145"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40"/>
      <c r="C12" s="143"/>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3"/>
      <c r="D13" s="149"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4"/>
      <c r="D14" s="150"/>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31"/>
      <c r="D15" s="150"/>
      <c r="E15" s="94" t="s">
        <v>254</v>
      </c>
      <c r="F15" s="66" t="s">
        <v>255</v>
      </c>
      <c r="G15" s="63" t="s">
        <v>256</v>
      </c>
      <c r="H15" s="61">
        <v>5</v>
      </c>
      <c r="I15" s="93" t="s">
        <v>136</v>
      </c>
      <c r="J15" s="63" t="s">
        <v>257</v>
      </c>
      <c r="K15" s="67" t="s">
        <v>258</v>
      </c>
      <c r="L15" s="67" t="s">
        <v>258</v>
      </c>
      <c r="M15" s="67" t="s">
        <v>258</v>
      </c>
      <c r="N15" s="67" t="s">
        <v>258</v>
      </c>
    </row>
    <row r="16" spans="2:14" s="42" customFormat="1" ht="217" outlineLevel="1">
      <c r="B16" s="140"/>
      <c r="C16" s="151"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40"/>
      <c r="C17" s="152"/>
      <c r="D17" s="155"/>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40"/>
      <c r="C18" s="152"/>
      <c r="D18" s="156" t="s">
        <v>170</v>
      </c>
      <c r="E18" s="157"/>
      <c r="F18" s="63" t="s">
        <v>271</v>
      </c>
      <c r="G18" s="63" t="s">
        <v>272</v>
      </c>
      <c r="H18" s="61">
        <v>5</v>
      </c>
      <c r="I18" s="48" t="s">
        <v>273</v>
      </c>
      <c r="J18" s="48" t="s">
        <v>26</v>
      </c>
      <c r="K18" s="55" t="s">
        <v>274</v>
      </c>
      <c r="L18" s="55" t="s">
        <v>275</v>
      </c>
      <c r="M18" s="55" t="s">
        <v>275</v>
      </c>
      <c r="N18" s="57" t="s">
        <v>275</v>
      </c>
    </row>
    <row r="19" spans="2:14" s="42" customFormat="1" ht="155" outlineLevel="1">
      <c r="B19" s="140"/>
      <c r="C19" s="152"/>
      <c r="D19" s="158" t="s">
        <v>172</v>
      </c>
      <c r="E19" s="138"/>
      <c r="F19" s="63" t="s">
        <v>276</v>
      </c>
      <c r="G19" s="46" t="s">
        <v>267</v>
      </c>
      <c r="H19" s="61">
        <v>5</v>
      </c>
      <c r="I19" s="48" t="s">
        <v>277</v>
      </c>
      <c r="J19" s="63" t="s">
        <v>278</v>
      </c>
      <c r="K19" s="55" t="s">
        <v>279</v>
      </c>
      <c r="L19" s="55" t="s">
        <v>279</v>
      </c>
      <c r="M19" s="55" t="s">
        <v>279</v>
      </c>
      <c r="N19" s="68" t="s">
        <v>279</v>
      </c>
    </row>
    <row r="20" spans="2:14" s="42" customFormat="1" ht="93" outlineLevel="1">
      <c r="B20" s="140"/>
      <c r="C20" s="153"/>
      <c r="D20" s="159" t="s">
        <v>174</v>
      </c>
      <c r="E20" s="160"/>
      <c r="F20" s="69" t="s">
        <v>280</v>
      </c>
      <c r="G20" s="63" t="s">
        <v>101</v>
      </c>
      <c r="H20" s="61">
        <v>5</v>
      </c>
      <c r="I20" s="48" t="s">
        <v>281</v>
      </c>
      <c r="J20" s="48" t="s">
        <v>282</v>
      </c>
      <c r="K20" s="55" t="s">
        <v>283</v>
      </c>
      <c r="L20" s="55" t="s">
        <v>284</v>
      </c>
      <c r="M20" s="55" t="s">
        <v>283</v>
      </c>
      <c r="N20" s="57" t="s">
        <v>283</v>
      </c>
    </row>
    <row r="21" spans="2:14" ht="170.5">
      <c r="B21" s="140"/>
      <c r="C21" s="152"/>
      <c r="D21" s="161" t="s">
        <v>285</v>
      </c>
      <c r="E21" s="95" t="s">
        <v>286</v>
      </c>
      <c r="F21" s="69" t="s">
        <v>287</v>
      </c>
      <c r="G21" s="63" t="s">
        <v>256</v>
      </c>
      <c r="H21" s="61">
        <v>5</v>
      </c>
      <c r="I21" s="93" t="s">
        <v>288</v>
      </c>
      <c r="J21" s="63" t="s">
        <v>257</v>
      </c>
      <c r="K21" s="55" t="s">
        <v>289</v>
      </c>
      <c r="L21" s="55" t="s">
        <v>289</v>
      </c>
      <c r="M21" s="55" t="s">
        <v>289</v>
      </c>
      <c r="N21" s="68" t="s">
        <v>289</v>
      </c>
    </row>
    <row r="22" spans="2:14" s="42" customFormat="1" ht="217" outlineLevel="1">
      <c r="B22" s="140"/>
      <c r="C22" s="152"/>
      <c r="D22" s="131"/>
      <c r="E22" s="58" t="s">
        <v>290</v>
      </c>
      <c r="F22" s="69" t="s">
        <v>291</v>
      </c>
      <c r="G22" s="63" t="s">
        <v>292</v>
      </c>
      <c r="H22" s="61">
        <v>5</v>
      </c>
      <c r="I22" s="48" t="s">
        <v>293</v>
      </c>
      <c r="J22" s="48" t="s">
        <v>294</v>
      </c>
      <c r="K22" s="70" t="s">
        <v>295</v>
      </c>
      <c r="L22" s="70" t="s">
        <v>296</v>
      </c>
      <c r="M22" s="70" t="s">
        <v>297</v>
      </c>
      <c r="N22" s="71" t="s">
        <v>298</v>
      </c>
    </row>
    <row r="23" spans="2:14" s="42" customFormat="1" ht="232.5" outlineLevel="1">
      <c r="B23" s="140"/>
      <c r="C23" s="151"/>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40"/>
      <c r="C24" s="152"/>
      <c r="D24" s="158" t="s">
        <v>306</v>
      </c>
      <c r="E24" s="130"/>
      <c r="F24" s="63" t="s">
        <v>307</v>
      </c>
      <c r="G24" s="63" t="s">
        <v>308</v>
      </c>
      <c r="H24" s="61">
        <v>5</v>
      </c>
      <c r="I24" s="48" t="s">
        <v>220</v>
      </c>
      <c r="J24" s="48" t="s">
        <v>233</v>
      </c>
      <c r="K24" s="48" t="s">
        <v>309</v>
      </c>
      <c r="L24" s="48" t="s">
        <v>310</v>
      </c>
      <c r="M24" s="48" t="s">
        <v>310</v>
      </c>
      <c r="N24" s="48" t="s">
        <v>310</v>
      </c>
    </row>
    <row r="25" spans="2:14" s="42" customFormat="1" ht="310" outlineLevel="1">
      <c r="B25" s="140"/>
      <c r="C25" s="153"/>
      <c r="D25" s="159" t="s">
        <v>311</v>
      </c>
      <c r="E25" s="160"/>
      <c r="F25" s="69" t="s">
        <v>312</v>
      </c>
      <c r="G25" s="63" t="s">
        <v>313</v>
      </c>
      <c r="H25" s="61">
        <v>5</v>
      </c>
      <c r="I25" s="48" t="s">
        <v>220</v>
      </c>
      <c r="J25" s="48" t="s">
        <v>314</v>
      </c>
      <c r="K25" s="48" t="s">
        <v>315</v>
      </c>
      <c r="L25" s="48" t="s">
        <v>316</v>
      </c>
      <c r="M25" s="48" t="s">
        <v>317</v>
      </c>
      <c r="N25" s="48" t="s">
        <v>318</v>
      </c>
    </row>
    <row r="26" spans="2:14" s="42" customFormat="1" ht="409.5" outlineLevel="1">
      <c r="B26" s="140"/>
      <c r="C26" s="152"/>
      <c r="D26" s="154" t="s">
        <v>176</v>
      </c>
      <c r="E26" s="72" t="s">
        <v>319</v>
      </c>
      <c r="F26" s="63" t="s">
        <v>320</v>
      </c>
      <c r="G26" s="63" t="s">
        <v>110</v>
      </c>
      <c r="H26" s="61">
        <v>5</v>
      </c>
      <c r="I26" s="63" t="s">
        <v>321</v>
      </c>
      <c r="J26" s="48" t="s">
        <v>322</v>
      </c>
      <c r="K26" s="55" t="s">
        <v>323</v>
      </c>
      <c r="L26" s="55" t="s">
        <v>324</v>
      </c>
      <c r="M26" s="55" t="s">
        <v>325</v>
      </c>
      <c r="N26" s="57" t="s">
        <v>326</v>
      </c>
    </row>
    <row r="27" spans="2:14" s="42" customFormat="1" ht="155" outlineLevel="1">
      <c r="B27" s="140"/>
      <c r="C27" s="152"/>
      <c r="D27" s="162"/>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40"/>
      <c r="C28" s="152"/>
      <c r="D28" s="156" t="s">
        <v>178</v>
      </c>
      <c r="E28" s="157"/>
      <c r="F28" s="63" t="s">
        <v>335</v>
      </c>
      <c r="G28" s="63" t="s">
        <v>336</v>
      </c>
      <c r="H28" s="61">
        <v>5</v>
      </c>
      <c r="I28" s="48" t="s">
        <v>337</v>
      </c>
      <c r="J28" s="73" t="s">
        <v>338</v>
      </c>
      <c r="K28" s="48" t="s">
        <v>339</v>
      </c>
      <c r="L28" s="48" t="s">
        <v>339</v>
      </c>
      <c r="M28" s="48" t="s">
        <v>340</v>
      </c>
      <c r="N28" s="48" t="s">
        <v>340</v>
      </c>
    </row>
    <row r="29" spans="2:14" s="42" customFormat="1" ht="139.5" outlineLevel="1">
      <c r="B29" s="140"/>
      <c r="C29" s="151"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40"/>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40"/>
      <c r="C31" s="163"/>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40"/>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40"/>
      <c r="C33" s="151" t="s">
        <v>362</v>
      </c>
      <c r="D33" s="14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40"/>
      <c r="C34" s="152"/>
      <c r="D34" s="167"/>
      <c r="E34" s="63" t="s">
        <v>371</v>
      </c>
      <c r="F34" s="74" t="s">
        <v>372</v>
      </c>
      <c r="G34" s="63" t="s">
        <v>373</v>
      </c>
      <c r="H34" s="54">
        <v>4</v>
      </c>
      <c r="I34" s="48" t="s">
        <v>374</v>
      </c>
      <c r="J34" s="48" t="s">
        <v>367</v>
      </c>
      <c r="K34" s="48" t="s">
        <v>375</v>
      </c>
      <c r="L34" s="48" t="s">
        <v>376</v>
      </c>
      <c r="M34" s="48" t="s">
        <v>377</v>
      </c>
      <c r="N34" s="48" t="s">
        <v>377</v>
      </c>
    </row>
    <row r="35" spans="1:14" s="42" customFormat="1" ht="93" outlineLevel="1">
      <c r="B35" s="140"/>
      <c r="C35" s="152"/>
      <c r="D35" s="155"/>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40"/>
      <c r="C36" s="152"/>
      <c r="D36" s="141"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40"/>
      <c r="C37" s="152"/>
      <c r="D37" s="155"/>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40"/>
      <c r="C38" s="152"/>
      <c r="D38" s="63" t="s">
        <v>395</v>
      </c>
      <c r="E38" s="63" t="s">
        <v>396</v>
      </c>
      <c r="F38" s="46" t="s">
        <v>397</v>
      </c>
      <c r="G38" s="63" t="s">
        <v>398</v>
      </c>
      <c r="H38" s="54">
        <v>5</v>
      </c>
      <c r="I38" s="48" t="s">
        <v>220</v>
      </c>
      <c r="J38" s="48" t="s">
        <v>367</v>
      </c>
      <c r="K38" s="48" t="s">
        <v>399</v>
      </c>
      <c r="L38" s="48" t="s">
        <v>400</v>
      </c>
      <c r="M38" s="48" t="s">
        <v>400</v>
      </c>
      <c r="N38" s="48"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2" customFormat="1" ht="13.5">
      <c r="A41" s="82"/>
      <c r="B41" s="83"/>
      <c r="C41" s="84" t="s">
        <v>402</v>
      </c>
      <c r="D41" s="85" t="s">
        <v>403</v>
      </c>
    </row>
    <row r="42" spans="1:14" s="42" customFormat="1" ht="13">
      <c r="A42" s="82"/>
      <c r="B42" s="83"/>
      <c r="C42" s="86" t="s">
        <v>404</v>
      </c>
      <c r="D42" s="87" t="s">
        <v>405</v>
      </c>
    </row>
    <row r="43" spans="1:14" s="42" customFormat="1" ht="13">
      <c r="A43" s="82"/>
      <c r="B43" s="83"/>
      <c r="C43" s="86" t="s">
        <v>406</v>
      </c>
      <c r="D43" s="87" t="s">
        <v>407</v>
      </c>
    </row>
    <row r="44" spans="1:14" s="42" customFormat="1" ht="13">
      <c r="A44" s="82"/>
      <c r="B44" s="83"/>
      <c r="C44" s="86" t="s">
        <v>408</v>
      </c>
      <c r="D44" s="87" t="s">
        <v>409</v>
      </c>
    </row>
    <row r="45" spans="1:14" s="42" customFormat="1" ht="13">
      <c r="A45" s="82"/>
      <c r="B45" s="83"/>
      <c r="C45" s="86" t="s">
        <v>410</v>
      </c>
      <c r="D45" s="87" t="s">
        <v>411</v>
      </c>
    </row>
    <row r="46" spans="1:14" s="42"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