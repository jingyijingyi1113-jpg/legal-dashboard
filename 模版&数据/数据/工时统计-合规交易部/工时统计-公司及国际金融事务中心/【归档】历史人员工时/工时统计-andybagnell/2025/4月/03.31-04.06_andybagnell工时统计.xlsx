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B883CFE2-9564-F344-B707-E5B9D27A841E}" xr6:coauthVersionLast="47" xr6:coauthVersionMax="47" xr10:uidLastSave="{00000000-0000-0000-0000-000000000000}"/>
  <bookViews>
    <workbookView xWindow="18220" yWindow="384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<sst xmlns="http://schemas.openxmlformats.org/spreadsheetml/2006/main" count="461" uniqueCount="345">
  <si>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</si>
  <si>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</si>
  <si>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</si>
  <si>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</si>
  <si>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</si>
  <si>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</si>
  <si>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</si>
  <si>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</si>
  <si>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</si>
  <si>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</si>
  <si>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</si>
  <si>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</si>
  <si>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</si>
  <si>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</si>
  <si>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</si>
  <si>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</si>
  <si>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</si>
  <si>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</si>
  <si>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</si>
  <si>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</si>
  <si>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</si>
  <si>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</si>
  <si>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</si>
  <si>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</si>
  <si>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</si>
  <si>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</si>
  <si>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</si>
  <si>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</si>
  <si>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</si>
  <si>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</si>
  <si>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</si>
  <si>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</si>
  <si>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</si>
  <si>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</si>
  <si>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</si>
  <si>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</si>
  <si>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</si>
  <si>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</si>
  <si>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</si>
  <si>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</si>
  <si>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</si>
  <si>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</si>
  <si>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</si>
  <si>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</si>
  <si>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</si>
  <si>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</si>
  <si>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</si>
  <si>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</si>
  <si>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</si>
  <si>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</si>
  <si>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</si>
  <si>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</si>
  <si>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</si>
  <si>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</si>
  <si>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</si>
  <si>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</si>
  <si>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</si>
  <si>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</si>
  <si>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</si>
  <si>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</si>
  <si>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</si>
  <si>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</si>
  <si>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</si>
  <si>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</si>
  <si>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</si>
  <si>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</si>
  <si>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</si>
  <si>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</si>
  <si>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</si>
  <si>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</si>
  <si>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</si>
  <si>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</si>
  <si>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</si>
  <si>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</si>
  <si>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</si>
  <si>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</si>
  <si>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</si>
  <si>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</si>
  <si>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</si>
  <si>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</si>
  <si>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</si>
  <si>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</si>
  <si>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</si>
  <si>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</si>
  <si>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</si>
  <si>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</si>
  <si>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</si>
  <si>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</si>
  <si>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</si>
  <si>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</si>
  <si>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</si>
  <si>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</si>
  <si>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</si>
  <si>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</si>
  <si>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</si>
  <si>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</si>
  <si>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</si>
  <si>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</si>
  <si>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</si>
  <si>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</si>
  <si>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</si>
  <si>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</si>
  <si>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</si>
  <si>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</si>
  <si>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</si>
  <si>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</si>
  <si>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</si>
  <si>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</si>
  <si>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</si>
  <si>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</si>
  <si>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</si>
  <si>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</si>
  <si>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</si>
  <si>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</si>
  <si>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</si>
  <si>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</si>
  <si>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</si>
  <si>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</si>
  <si>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</si>
  <si>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</si>
  <si>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</si>
  <si>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</si>
  <si>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</si>
  <si>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</si>
  <si>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</si>
  <si>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</si>
  <si>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</si>
  <si>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</si>
  <si>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</si>
  <si>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</si>
  <si>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</si>
  <si>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</si>
  <si>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</si>
  <si>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</si>
  <si>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</si>
  <si>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</si>
  <si>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</si>
  <si>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</si>
  <si>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</si>
  <si>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</si>
  <si>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</si>
  <si>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</si>
  <si>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</si>
  <si>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</si>
  <si>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</si>
  <si>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</si>
  <si>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</si>
  <si>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</si>
  <si>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</si>
  <si>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</si>
  <si>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</si>
  <si>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</si>
  <si>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</si>
  <si>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</si>
  <si>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</si>
  <si>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</si>
  <si>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</si>
  <si>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</si>
  <si>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</si>
  <si>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</si>
  <si>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</si>
  <si>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</si>
  <si>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</si>
  <si>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</si>
  <si>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</si>
  <si>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</si>
  <si>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</si>
  <si>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</si>
  <si>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</si>
  <si>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</si>
  <si>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</si>
  <si>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</si>
  <si>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</si>
  <si>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</si>
  <si>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</si>
  <si>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</si>
  <si>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</si>
  <si>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</si>
  <si>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</si>
  <si>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</si>
  <si>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</si>
  <si>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</si>
  <si>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</si>
  <si>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</si>
  <si>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</si>
  <si>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</si>
  <si>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</si>
  <si>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</si>
  <si>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</si>
  <si>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</si>
  <si>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</si>
  <si>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</si>
  <si>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</si>
  <si>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</si>
  <si>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</si>
  <si>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</si>
  <si>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</si>
  <si>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</si>
  <si>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</si>
  <si>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</si>
  <si>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</si>
  <si>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</si>
  <si>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</si>
  <si>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</si>
  <si>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</si>
  <si>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</si>
  <si>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</si>
  <si>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</si>
  <si>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</si>
  <si>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</si>
  <si>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</si>
  <si>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</si>
  <si>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</si>
  <si>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</si>
  <si>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</si>
  <si>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</si>
  <si>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</si>
  <si>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</si>
  <si>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</si>
  <si>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</si>
  <si>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</si>
  <si>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</si>
  <si>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</si>
  <si>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</si>
  <si>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</si>
  <si>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</si>
  <si>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</si>
  <si>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</si>
  <si>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</si>
  <si>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</si>
  <si>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</si>
  <si>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</si>
  <si>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</si>
  <si>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</si>
  <si>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</si>
  <si>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</si>
  <si>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</si>
  <si>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</si>
  <si>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</si>
  <si>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</si>
  <si>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</si>
  <si>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</si>
  <si>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</si>
  <si>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</si>
  <si>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</si>
  <si>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</si>
  <si>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</si>
  <si>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</si>
  <si>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</si>
  <si>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</si>
  <si>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</si>
  <si>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</si>
  <si>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</si>
  <si>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</si>
  <si>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</si>
  <si>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</si>
  <si>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</si>
  <si>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</si>
  <si>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</si>
  <si>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</si>
  <si>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</si>
  <si>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</si>
  <si>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</si>
  <si>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</si>
  <si>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</si>
  <si>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</si>
  <si>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</si>
  <si>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</si>
  <si>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</si>
  <si>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</si>
  <si>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</si>
  <si>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</si>
  <si>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</si>
  <si>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</si>
  <si>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</si>
  <si>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</si>
  <si>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</si>
  <si>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</si>
  <si>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</si>
  <si>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</si>
  <si>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</si>
  <si>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</si>
  <si>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</si>
  <si>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</si>
  <si>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</si>
  <si>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</si>
  <si>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</si>
  <si>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</si>
  <si>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</si>
  <si>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</si>
  <si>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</si>
  <si>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</si>
  <si>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</si>
  <si>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</si>
  <si>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</si>
  <si>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</si>
  <si>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</si>
  <si>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</si>
  <si>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</si>
  <si>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</si>
  <si>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</si>
  <si>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</si>
  <si>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</si>
  <si>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</si>
  <si>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</si>
  <si>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</si>
  <si>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</si>
  <si>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</si>
  <si>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</si>
  <si>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</si>
  <si>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</si>
  <si>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</si>
  <si>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</si>
  <si>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</si>
  <si>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</si>
  <si>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</si>
  <si>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</si>
  <si>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</si>
  <si>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</si>
  <si>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</si>
  <si>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</si>
  <si>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</si>
  <si>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</si>
  <si>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</si>
  <si>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</si>
  <si>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</si>
  <si>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</si>
  <si>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</si>
  <si>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</si>
  <si>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</si>
  <si>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</si>
  <si>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</si>
  <si>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</si>
  <si>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</si>
  <si>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</si>
  <si>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</si>
  <si>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</si>
  <si>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</si>
  <si>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</si>
  <si>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</si>
  <si>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</si>
  <si>
    <r>
      <t>Date: 2025</t>
    </r>
    <r>
      <rPr>
        <b/>
        <sz val="10"/>
        <color theme="0"/>
        <rFont val="等线"/>
        <family val="4"/>
        <charset val="134"/>
      </rPr>
      <t>-0</t>
    </r>
    <r>
      <rPr>
        <b/>
        <sz val="10"/>
        <color theme="0"/>
        <rFont val="新細明體"/>
        <family val="1"/>
        <charset val="136"/>
      </rPr>
      <t>3</t>
    </r>
    <r>
      <rPr>
        <b/>
        <sz val="10"/>
        <color theme="0"/>
        <rFont val="等线"/>
        <family val="4"/>
        <charset val="134"/>
      </rPr>
      <t xml:space="preserve">-31 </t>
    </r>
    <r>
      <rPr>
        <b/>
        <sz val="10"/>
        <color theme="0"/>
        <rFont val="新細明體"/>
        <family val="1"/>
        <charset val="136"/>
      </rPr>
      <t xml:space="preserve">- </t>
    </r>
    <r>
      <rPr>
        <b/>
        <sz val="10"/>
        <color theme="0"/>
        <rFont val="Calibri"/>
        <family val="2"/>
        <scheme val="minor"/>
      </rPr>
      <t>2025-04-06</t>
    </r>
  </si>
  <si>
    <t>Prepare responses to CFIUS Q&amp;A, discussion with Sumo re NSA, meetings with TRS</t>
  </si>
  <si>
    <t>Admin, talk to HRBP</t>
  </si>
  <si>
    <t>Review bulk data transfer rule compliance re Midaspay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</si>
</sst>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3" zoomScale="130" zoomScaleNormal="130" workbookViewId="0">
      <selection activeCell="J7" sqref="J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340</v>
      </c>
      <c r="C6" s="9" t="s">
        <v>45</v>
      </c>
      <c r="D6" s="10" t="s">
        <v>18</v>
      </c>
      <c r="E6" s="10" t="s">
        <v>30</v>
      </c>
      <c r="F6" s="9" t="s">
        <v>335</v>
      </c>
      <c r="G6" s="11">
        <v>25</v>
      </c>
      <c r="H6" s="9" t="s">
        <v>73</v>
      </c>
      <c r="I6" s="16" t="s">
        <v>342</v>
      </c>
    </row>
    <row r="7" spans="1:9" s="2" customFormat="1" ht="90">
      <c r="B7" s="8" t="s">
        <v>340</v>
      </c>
      <c r="C7" s="9" t="s">
        <v>45</v>
      </c>
      <c r="D7" s="10" t="s">
        <v>18</v>
      </c>
      <c r="E7" s="10" t="s">
        <v>30</v>
      </c>
      <c r="F7" s="9" t="s">
        <v>324</v>
      </c>
      <c r="G7" s="11">
        <v>12</v>
      </c>
      <c r="H7" s="9" t="s">
        <v>27</v>
      </c>
      <c r="I7" s="16" t="s">
        <v>344</v>
      </c>
    </row>
    <row r="8" spans="1:9" s="2" customFormat="1" ht="30">
      <c r="B8" s="8" t="s">
        <v>340</v>
      </c>
      <c r="C8" s="9" t="s">
        <v>45</v>
      </c>
      <c r="D8" s="10" t="s">
        <v>31</v>
      </c>
      <c r="E8" s="10" t="s">
        <v>33</v>
      </c>
      <c r="F8" s="9" t="s">
        <v>39</v>
      </c>
      <c r="G8" s="11">
        <v>3</v>
      </c>
      <c r="H8" s="9" t="s">
        <v>31</v>
      </c>
      <c r="I8" s="16" t="s">
        <v>343</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7"/>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5" customHeight="1">
      <c r="B35" s="80" t="s">
        <v>32</v>
      </c>
      <c r="C35" s="81"/>
      <c r="D35" s="82"/>
      <c r="E35" s="12"/>
      <c r="F35" s="12"/>
      <c r="G35" s="83">
        <f>SUM(G6:G34)</f>
        <v>40</v>
      </c>
      <c r="H35" s="84"/>
      <c r="I35" s="85"/>
    </row>
    <row r="38" spans="2:9" ht="16">
      <c r="B38" s="18" t="s">
        <v>81</v>
      </c>
      <c r="C38" s="19" t="s">
        <v>331</v>
      </c>
    </row>
    <row r="39" spans="2:9" ht="16">
      <c r="C39" s="19" t="s">
        <v>332</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2025-04-22T15:30:34Z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