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E73D75D1-3BCB-4029-ADF8-17F11FFAF38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<sst xmlns="http://schemas.openxmlformats.org/spreadsheetml/2006/main" count="651" uniqueCount="373">
  <si>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</si>
  <si>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</si>
  <si>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</si>
  <si>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</si>
  <si>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</si>
  <si>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</si>
  <si>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</si>
  <si>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</si>
  <si>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</si>
  <si>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</si>
  <si>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</si>
  <si>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</si>
  <si>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</si>
  <si>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</si>
  <si>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</si>
  <si>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</si>
  <si>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</si>
  <si>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</si>
  <si>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</si>
  <si>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</si>
  <si>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</si>
  <si>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</si>
  <si>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</si>
  <si>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</si>
  <si>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</si>
  <si>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</si>
  <si>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</si>
  <si>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</si>
  <si>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</si>
  <si>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</si>
  <si>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</si>
  <si>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</si>
  <si>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</si>
  <si>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</si>
  <si>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</si>
  <si>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</si>
  <si>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</si>
  <si>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</si>
  <si>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</si>
  <si>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</si>
  <si>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</si>
  <si>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</si>
  <si>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</si>
  <si>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</si>
  <si>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</si>
  <si>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</si>
  <si>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</si>
  <si>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</si>
  <si>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</si>
  <si>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</si>
  <si>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</si>
  <si>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</si>
  <si>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</si>
  <si>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</si>
  <si>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</si>
  <si>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</si>
  <si>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</si>
  <si>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</si>
  <si>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</si>
  <si>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</si>
  <si>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</si>
  <si>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</si>
  <si>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</si>
  <si>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</si>
  <si>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</si>
  <si>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</si>
  <si>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</si>
  <si>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</si>
  <si>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</si>
  <si>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</si>
  <si>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</si>
  <si>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</si>
  <si>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</si>
  <si>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</si>
  <si>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</si>
  <si>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</si>
  <si>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</si>
  <si>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</si>
  <si>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</si>
  <si>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</si>
  <si>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</si>
  <si>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</si>
  <si>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</si>
  <si>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</si>
  <si>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</si>
  <si>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</si>
  <si>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</si>
  <si>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</si>
  <si>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</si>
  <si>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</si>
  <si>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</si>
  <si>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</si>
  <si>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</si>
  <si>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</si>
  <si>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</si>
  <si>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</si>
  <si>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</si>
  <si>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</si>
  <si>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</si>
  <si>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</si>
  <si>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</si>
  <si>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</si>
  <si>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</si>
  <si>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</si>
  <si>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</si>
  <si>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</si>
  <si>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</si>
  <si>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</si>
  <si>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</si>
  <si>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</si>
  <si>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</si>
  <si>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</si>
  <si>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</si>
  <si>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</si>
  <si>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</si>
  <si>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</si>
  <si>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</si>
  <si>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</si>
  <si>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</si>
  <si>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</si>
  <si>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</si>
  <si>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</si>
  <si>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</si>
  <si>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</si>
  <si>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</si>
  <si>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</si>
  <si>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</si>
  <si>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</si>
  <si>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</si>
  <si>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</si>
  <si>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</si>
  <si>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</si>
  <si>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</si>
  <si>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</si>
  <si>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</si>
  <si>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</si>
  <si>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</si>
  <si>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</si>
  <si>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</si>
  <si>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</si>
  <si>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</si>
  <si>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</si>
  <si>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</si>
  <si>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</si>
  <si>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</si>
  <si>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</si>
  <si>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</si>
  <si>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</si>
  <si>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</si>
  <si>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</si>
  <si>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</si>
  <si>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</si>
  <si>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</si>
  <si>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</si>
  <si>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</si>
  <si>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</si>
  <si>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</si>
  <si>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</si>
  <si>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</si>
  <si>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</si>
  <si>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</si>
  <si>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</si>
  <si>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</si>
  <si>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</si>
  <si>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</si>
  <si>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</si>
  <si>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</si>
  <si>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</si>
  <si>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</si>
  <si>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</si>
  <si>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</si>
  <si>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</si>
  <si>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</si>
  <si>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</si>
  <si>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</si>
  <si>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</si>
  <si>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</si>
  <si>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</si>
  <si>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</si>
  <si>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</si>
  <si>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</si>
  <si>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</si>
  <si>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</si>
  <si>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</si>
  <si>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</si>
  <si>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</si>
  <si>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</si>
  <si>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</si>
  <si>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</si>
  <si>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</si>
  <si>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</si>
  <si>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</si>
  <si>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</si>
  <si>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</si>
  <si>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</si>
  <si>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</si>
  <si>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</si>
  <si>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</si>
  <si>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</si>
  <si>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</si>
  <si>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</si>
  <si>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</si>
  <si>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</si>
  <si>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</si>
  <si>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</si>
  <si>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</si>
  <si>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</si>
  <si>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</si>
  <si>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</si>
  <si>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</si>
  <si>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</si>
  <si>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</si>
  <si>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</si>
  <si>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</si>
  <si>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</si>
  <si>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</si>
  <si>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</si>
  <si>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</si>
  <si>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</si>
  <si>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</si>
  <si>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</si>
  <si>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</si>
  <si>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</si>
  <si>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</si>
  <si>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</si>
  <si>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</si>
  <si>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</si>
  <si>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</si>
  <si>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</si>
  <si>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</si>
  <si>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</si>
  <si>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</si>
  <si>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</si>
  <si>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</si>
  <si>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</si>
  <si>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</si>
  <si>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</si>
  <si>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</si>
  <si>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</si>
  <si>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</si>
  <si>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</si>
  <si>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</si>
  <si>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</si>
  <si>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</si>
  <si>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</si>
  <si>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</si>
  <si>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</si>
  <si>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</si>
  <si>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</si>
  <si>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</si>
  <si>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</si>
  <si>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</si>
  <si>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</si>
  <si>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</si>
  <si>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</si>
  <si>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</si>
  <si>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</si>
  <si>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</si>
  <si>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</si>
  <si>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</si>
  <si>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</si>
  <si>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</si>
  <si>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</si>
  <si>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</si>
  <si>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</si>
  <si>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</si>
  <si>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</si>
  <si>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</si>
  <si>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</si>
  <si>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</si>
  <si>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</si>
  <si>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</si>
  <si>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</si>
  <si>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</si>
  <si>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</si>
  <si>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</si>
  <si>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</si>
  <si>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</si>
  <si>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</si>
  <si>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</si>
  <si>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</si>
  <si>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</si>
  <si>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</si>
  <si>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</si>
  <si>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</si>
  <si>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</si>
  <si>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</si>
  <si>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</si>
  <si>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</si>
  <si>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</si>
  <si>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</si>
  <si>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</si>
  <si>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</si>
  <si>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</si>
  <si>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</si>
  <si>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</si>
  <si>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</si>
  <si>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</si>
  <si>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</si>
  <si>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</si>
  <si>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</si>
  <si>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</si>
  <si>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</si>
  <si>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</si>
  <si>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</si>
  <si>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</si>
  <si>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</si>
  <si>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</si>
  <si>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</si>
  <si>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</si>
  <si>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</si>
  <si>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</si>
  <si>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</si>
  <si>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</si>
  <si>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</si>
  <si>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</si>
  <si>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</si>
  <si>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</si>
  <si>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</si>
  <si>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</si>
  <si>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</si>
  <si>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</si>
  <si>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</si>
  <si>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</si>
  <si>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</si>
  <si>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</si>
  <si>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</si>
  <si>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</si>
  <si>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</si>
  <si>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</si>
  <si>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</si>
  <si>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</si>
  <si>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</si>
  <si>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</si>
  <si>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</si>
  <si>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</si>
  <si>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</si>
  <si>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</si>
  <si>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</si>
  <si>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</si>
  <si>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</si>
  <si>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 xml:space="preserve"> </t>
  </si>
  <si>
    <t xml:space="preserve">Public Holiday on </t>
  </si>
  <si>
    <t>discussions with Bell re. KBR case, discuss with comsec re form</t>
  </si>
  <si>
    <t>reviewing PPT on MA budget</t>
  </si>
  <si>
    <t>discussion re. witnessing</t>
  </si>
  <si>
    <t>FB - requirement re. audit for Simple Solution</t>
  </si>
  <si>
    <t>review of indemnity letter, discussion with Mindy</t>
  </si>
  <si>
    <t>discussion on MSA</t>
  </si>
  <si>
    <t>discussion with Kim re sharing of data with VB</t>
  </si>
  <si>
    <t>discussion with Chris and redraft email - FB data sharing</t>
  </si>
  <si>
    <t>discussion with Weigao re. UBO requirement, internal discussions</t>
  </si>
  <si>
    <t>structure chart queries</t>
  </si>
  <si>
    <t>draft of intercompany loans for the note proceeds</t>
  </si>
  <si>
    <t>draft of intercompany loans for existing outstanding payables</t>
  </si>
  <si>
    <t>re. Fusure auditing - discuss with Queenie, discussions with internal finance team</t>
  </si>
  <si>
    <t>review asset ownership and discuss</t>
  </si>
  <si>
    <t>discuss with Hank re. 2022 discussion</t>
  </si>
  <si>
    <t>GCTSM analysis on intragroup funding requirements, discuss with Kim re. Thai expenses and management going forward, discuss internally on agreements to draft</t>
  </si>
  <si>
    <t>discussions with Fancy re. registration of charges, discuss internally on best practices, suggest wording to be inserted in the annual return</t>
  </si>
  <si>
    <t>GCTSM discussion on capital injection concerns</t>
  </si>
  <si>
    <t>review investment mandate, review of JPM's edits to the indemnity letter</t>
  </si>
  <si>
    <t>review Indian resolutions, discussions with Liz and revising the comsec email</t>
  </si>
  <si>
    <t>discussions with Kirstin on timing of fund set up</t>
  </si>
  <si>
    <t>discuss with Yvonne on proposed rental of new office</t>
  </si>
  <si>
    <t>admin review of licence contract</t>
  </si>
  <si>
    <t>discussion with Mindy re. JPM comments</t>
  </si>
  <si>
    <t>2026 goals, discussions with Lin re. budget</t>
  </si>
  <si>
    <t>discussions with comsec on blockchain account opening</t>
  </si>
  <si>
    <t>drafting waiver agreements for WeChat Thai waiver of accrued interests</t>
  </si>
  <si>
    <t>AL/SL/Other Leave on 24/10 (pm)</t>
  </si>
  <si>
    <t>discuss with Chris and Kim re. DPS data required, discussions with Kim and email to cousnel on requirements</t>
  </si>
  <si>
    <t xml:space="preserve">review suggested changes to the guarantee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</si>
</sst>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
  <sheetViews>
    <sheetView tabSelected="1" topLeftCell="A21" zoomScale="80" zoomScaleNormal="80" workbookViewId="0">
      <selection activeCell="N30" sqref="N3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3" ht="17">
      <c r="B1" s="76" t="s">
        <v>0</v>
      </c>
      <c r="C1" s="77"/>
      <c r="D1" s="77"/>
      <c r="E1" s="77"/>
      <c r="F1" s="77"/>
      <c r="G1" s="77"/>
      <c r="H1" s="77"/>
      <c r="I1" s="77"/>
    </row>
    <row r="2" spans="1:13" ht="17">
      <c r="B2" s="78"/>
      <c r="C2" s="79"/>
      <c r="D2" s="79"/>
      <c r="E2" s="79"/>
      <c r="F2" s="79"/>
      <c r="G2" s="79"/>
      <c r="H2" s="79"/>
      <c r="I2" s="13" t="s">
        <v>340</v>
      </c>
    </row>
    <row r="3" spans="1:13">
      <c r="B3" s="3" t="s">
        <v>1</v>
      </c>
      <c r="C3" s="4" t="s">
        <v>2</v>
      </c>
      <c r="D3" s="4" t="s">
        <v>3</v>
      </c>
      <c r="E3" s="4" t="s">
        <v>4</v>
      </c>
      <c r="F3" s="4" t="s">
        <v>5</v>
      </c>
      <c r="G3" s="4" t="s">
        <v>6</v>
      </c>
      <c r="H3" s="4" t="s">
        <v>7</v>
      </c>
      <c r="I3" s="14" t="s">
        <v>8</v>
      </c>
    </row>
    <row r="4" spans="1:13">
      <c r="B4" s="3"/>
      <c r="C4" s="4"/>
      <c r="D4" s="4"/>
      <c r="E4" s="4"/>
      <c r="F4" s="4"/>
      <c r="G4" s="4"/>
      <c r="H4" s="4"/>
      <c r="I4" s="14"/>
    </row>
    <row r="5" spans="1:13" s="2" customFormat="1" ht="165.5" customHeight="1">
      <c r="A5" s="5" t="s">
        <v>9</v>
      </c>
      <c r="B5" s="6" t="s">
        <v>10</v>
      </c>
      <c r="C5" s="7" t="s">
        <v>11</v>
      </c>
      <c r="D5" s="7" t="s">
        <v>12</v>
      </c>
      <c r="E5" s="7" t="s">
        <v>322</v>
      </c>
      <c r="F5" s="7" t="s">
        <v>13</v>
      </c>
      <c r="G5" s="7" t="s">
        <v>14</v>
      </c>
      <c r="H5" s="7" t="s">
        <v>15</v>
      </c>
      <c r="I5" s="15" t="s">
        <v>16</v>
      </c>
    </row>
    <row r="6" spans="1:13" s="2" customFormat="1" ht="27">
      <c r="B6" s="8" t="s">
        <v>337</v>
      </c>
      <c r="C6" s="9" t="s">
        <v>44</v>
      </c>
      <c r="D6" s="10" t="s">
        <v>51</v>
      </c>
      <c r="E6" s="10" t="s">
        <v>30</v>
      </c>
      <c r="F6" s="9" t="s">
        <v>323</v>
      </c>
      <c r="G6" s="11">
        <v>0.8</v>
      </c>
      <c r="H6" s="9" t="s">
        <v>27</v>
      </c>
      <c r="I6" s="16" t="s">
        <v>351</v>
      </c>
    </row>
    <row r="7" spans="1:13" s="2" customFormat="1" ht="27">
      <c r="B7" s="8"/>
      <c r="C7" s="9" t="s">
        <v>44</v>
      </c>
      <c r="D7" s="10" t="s">
        <v>51</v>
      </c>
      <c r="E7" s="10" t="s">
        <v>30</v>
      </c>
      <c r="F7" s="9" t="s">
        <v>323</v>
      </c>
      <c r="G7" s="11">
        <v>1.3</v>
      </c>
      <c r="H7" s="9" t="s">
        <v>73</v>
      </c>
      <c r="I7" s="16" t="s">
        <v>347</v>
      </c>
    </row>
    <row r="8" spans="1:13" s="2" customFormat="1" ht="54">
      <c r="B8" s="8" t="s">
        <v>337</v>
      </c>
      <c r="C8" s="9" t="s">
        <v>43</v>
      </c>
      <c r="D8" s="10" t="s">
        <v>57</v>
      </c>
      <c r="E8" s="10" t="s">
        <v>30</v>
      </c>
      <c r="F8" s="9" t="s">
        <v>332</v>
      </c>
      <c r="G8" s="11">
        <v>0.3</v>
      </c>
      <c r="H8" s="9" t="s">
        <v>27</v>
      </c>
      <c r="I8" s="16" t="s">
        <v>345</v>
      </c>
    </row>
    <row r="9" spans="1:13" s="2" customFormat="1" ht="54">
      <c r="B9" s="8" t="s">
        <v>337</v>
      </c>
      <c r="C9" s="9" t="s">
        <v>43</v>
      </c>
      <c r="D9" s="10" t="s">
        <v>50</v>
      </c>
      <c r="E9" s="10" t="s">
        <v>30</v>
      </c>
      <c r="F9" s="9" t="s">
        <v>332</v>
      </c>
      <c r="G9" s="11">
        <v>0.5</v>
      </c>
      <c r="H9" s="9" t="s">
        <v>27</v>
      </c>
      <c r="I9" s="16" t="s">
        <v>349</v>
      </c>
    </row>
    <row r="10" spans="1:13" s="2" customFormat="1" ht="54">
      <c r="B10" s="8" t="s">
        <v>337</v>
      </c>
      <c r="C10" s="9" t="s">
        <v>43</v>
      </c>
      <c r="D10" s="10" t="s">
        <v>47</v>
      </c>
      <c r="E10" s="10" t="s">
        <v>30</v>
      </c>
      <c r="F10" s="9" t="s">
        <v>332</v>
      </c>
      <c r="G10" s="11">
        <v>0.7</v>
      </c>
      <c r="H10" s="9" t="s">
        <v>27</v>
      </c>
      <c r="I10" s="16" t="s">
        <v>343</v>
      </c>
    </row>
    <row r="11" spans="1:13" s="2" customFormat="1" ht="54">
      <c r="B11" s="8" t="s">
        <v>337</v>
      </c>
      <c r="C11" s="9" t="s">
        <v>43</v>
      </c>
      <c r="D11" s="10" t="s">
        <v>49</v>
      </c>
      <c r="E11" s="10" t="s">
        <v>30</v>
      </c>
      <c r="F11" s="9" t="s">
        <v>332</v>
      </c>
      <c r="G11" s="11">
        <v>0.9</v>
      </c>
      <c r="H11" s="9" t="s">
        <v>73</v>
      </c>
      <c r="I11" s="16" t="s">
        <v>372</v>
      </c>
    </row>
    <row r="12" spans="1:13" s="2" customFormat="1" ht="54">
      <c r="B12" s="8" t="s">
        <v>337</v>
      </c>
      <c r="C12" s="9" t="s">
        <v>43</v>
      </c>
      <c r="D12" s="10" t="s">
        <v>57</v>
      </c>
      <c r="E12" s="10" t="s">
        <v>30</v>
      </c>
      <c r="F12" s="9" t="s">
        <v>332</v>
      </c>
      <c r="G12" s="11">
        <v>0.4</v>
      </c>
      <c r="H12" s="9" t="s">
        <v>27</v>
      </c>
      <c r="I12" s="16" t="s">
        <v>346</v>
      </c>
    </row>
    <row r="13" spans="1:13" s="2" customFormat="1" ht="54">
      <c r="B13" s="8" t="s">
        <v>337</v>
      </c>
      <c r="C13" s="9" t="s">
        <v>43</v>
      </c>
      <c r="D13" s="10" t="s">
        <v>49</v>
      </c>
      <c r="E13" s="10" t="s">
        <v>30</v>
      </c>
      <c r="F13" s="9" t="s">
        <v>332</v>
      </c>
      <c r="G13" s="11">
        <v>0.3</v>
      </c>
      <c r="H13" s="9" t="s">
        <v>27</v>
      </c>
      <c r="I13" s="16" t="s">
        <v>348</v>
      </c>
    </row>
    <row r="14" spans="1:13" s="2" customFormat="1" ht="27">
      <c r="B14" s="8" t="s">
        <v>337</v>
      </c>
      <c r="C14" s="9" t="s">
        <v>28</v>
      </c>
      <c r="D14" s="10" t="s">
        <v>31</v>
      </c>
      <c r="E14" s="10" t="s">
        <v>34</v>
      </c>
      <c r="F14" s="9" t="s">
        <v>41</v>
      </c>
      <c r="G14" s="11">
        <v>1</v>
      </c>
      <c r="H14" s="9" t="s">
        <v>73</v>
      </c>
      <c r="I14" s="16" t="s">
        <v>344</v>
      </c>
      <c r="M14" s="2" t="s">
        <v>341</v>
      </c>
    </row>
    <row r="15" spans="1:13" s="2" customFormat="1" ht="40.5">
      <c r="B15" s="8" t="s">
        <v>337</v>
      </c>
      <c r="C15" s="9" t="s">
        <v>43</v>
      </c>
      <c r="D15" s="10" t="s">
        <v>60</v>
      </c>
      <c r="E15" s="10" t="s">
        <v>30</v>
      </c>
      <c r="F15" s="9" t="s">
        <v>335</v>
      </c>
      <c r="G15" s="11">
        <v>1.6</v>
      </c>
      <c r="H15" s="9" t="s">
        <v>27</v>
      </c>
      <c r="I15" s="16" t="s">
        <v>350</v>
      </c>
    </row>
    <row r="16" spans="1:13" s="2" customFormat="1" ht="40.5">
      <c r="B16" s="8" t="s">
        <v>337</v>
      </c>
      <c r="C16" s="9" t="s">
        <v>43</v>
      </c>
      <c r="D16" s="10" t="s">
        <v>61</v>
      </c>
      <c r="E16" s="10" t="s">
        <v>30</v>
      </c>
      <c r="F16" s="9" t="s">
        <v>335</v>
      </c>
      <c r="G16" s="11">
        <v>1.1000000000000001</v>
      </c>
      <c r="H16" s="9" t="s">
        <v>27</v>
      </c>
      <c r="I16" s="16" t="s">
        <v>355</v>
      </c>
    </row>
    <row r="17" spans="2:12" s="2" customFormat="1" ht="54">
      <c r="B17" s="8" t="s">
        <v>337</v>
      </c>
      <c r="C17" s="9" t="s">
        <v>43</v>
      </c>
      <c r="D17" s="10" t="s">
        <v>47</v>
      </c>
      <c r="E17" s="10" t="s">
        <v>30</v>
      </c>
      <c r="F17" s="9" t="s">
        <v>332</v>
      </c>
      <c r="G17" s="11">
        <v>0.5</v>
      </c>
      <c r="H17" s="9" t="s">
        <v>27</v>
      </c>
      <c r="I17" s="16" t="s">
        <v>352</v>
      </c>
    </row>
    <row r="18" spans="2:12" s="2" customFormat="1" ht="27">
      <c r="B18" s="8" t="s">
        <v>337</v>
      </c>
      <c r="C18" s="9" t="s">
        <v>44</v>
      </c>
      <c r="D18" s="10" t="s">
        <v>51</v>
      </c>
      <c r="E18" s="10" t="s">
        <v>30</v>
      </c>
      <c r="F18" s="9" t="s">
        <v>323</v>
      </c>
      <c r="G18" s="11">
        <v>2.2999999999999998</v>
      </c>
      <c r="H18" s="9" t="s">
        <v>73</v>
      </c>
      <c r="I18" s="16" t="s">
        <v>353</v>
      </c>
    </row>
    <row r="19" spans="2:12" s="2" customFormat="1" ht="27">
      <c r="B19" s="8" t="s">
        <v>337</v>
      </c>
      <c r="C19" s="9" t="s">
        <v>44</v>
      </c>
      <c r="D19" s="10" t="s">
        <v>51</v>
      </c>
      <c r="E19" s="10" t="s">
        <v>30</v>
      </c>
      <c r="F19" s="9" t="s">
        <v>323</v>
      </c>
      <c r="G19" s="11">
        <v>0.7</v>
      </c>
      <c r="H19" s="9" t="s">
        <v>27</v>
      </c>
      <c r="I19" s="16" t="s">
        <v>366</v>
      </c>
    </row>
    <row r="20" spans="2:12" s="2" customFormat="1" ht="27">
      <c r="B20" s="8" t="s">
        <v>337</v>
      </c>
      <c r="C20" s="9" t="s">
        <v>43</v>
      </c>
      <c r="D20" s="10" t="s">
        <v>57</v>
      </c>
      <c r="E20" s="10" t="s">
        <v>30</v>
      </c>
      <c r="F20" s="9" t="s">
        <v>326</v>
      </c>
      <c r="G20" s="11">
        <v>2.2999999999999998</v>
      </c>
      <c r="H20" s="9" t="s">
        <v>73</v>
      </c>
      <c r="I20" s="16" t="s">
        <v>354</v>
      </c>
    </row>
    <row r="21" spans="2:12" s="2" customFormat="1" ht="40.5">
      <c r="B21" s="8" t="s">
        <v>337</v>
      </c>
      <c r="C21" s="9" t="s">
        <v>43</v>
      </c>
      <c r="D21" s="10" t="s">
        <v>60</v>
      </c>
      <c r="E21" s="10" t="s">
        <v>30</v>
      </c>
      <c r="F21" s="9" t="s">
        <v>335</v>
      </c>
      <c r="G21" s="11">
        <v>0.5</v>
      </c>
      <c r="H21" s="9" t="s">
        <v>27</v>
      </c>
      <c r="I21" s="16" t="s">
        <v>357</v>
      </c>
    </row>
    <row r="22" spans="2:12" s="2" customFormat="1" ht="54">
      <c r="B22" s="8" t="s">
        <v>337</v>
      </c>
      <c r="C22" s="9" t="s">
        <v>43</v>
      </c>
      <c r="D22" s="10" t="s">
        <v>50</v>
      </c>
      <c r="E22" s="10" t="s">
        <v>30</v>
      </c>
      <c r="F22" s="9" t="s">
        <v>332</v>
      </c>
      <c r="G22" s="11">
        <v>0.9</v>
      </c>
      <c r="H22" s="9" t="s">
        <v>73</v>
      </c>
      <c r="I22" s="16" t="s">
        <v>358</v>
      </c>
    </row>
    <row r="23" spans="2:12" s="2" customFormat="1" ht="54">
      <c r="B23" s="8" t="s">
        <v>337</v>
      </c>
      <c r="C23" s="9" t="s">
        <v>43</v>
      </c>
      <c r="D23" s="10" t="s">
        <v>50</v>
      </c>
      <c r="E23" s="10" t="s">
        <v>30</v>
      </c>
      <c r="F23" s="9" t="s">
        <v>332</v>
      </c>
      <c r="G23" s="11">
        <v>0.4</v>
      </c>
      <c r="H23" s="9" t="s">
        <v>27</v>
      </c>
      <c r="I23" s="16" t="s">
        <v>360</v>
      </c>
    </row>
    <row r="24" spans="2:12" s="2" customFormat="1" ht="54">
      <c r="B24" s="8" t="s">
        <v>337</v>
      </c>
      <c r="C24" s="9" t="s">
        <v>43</v>
      </c>
      <c r="D24" s="10" t="s">
        <v>57</v>
      </c>
      <c r="E24" s="10" t="s">
        <v>30</v>
      </c>
      <c r="F24" s="9" t="s">
        <v>332</v>
      </c>
      <c r="G24" s="11">
        <v>0.7</v>
      </c>
      <c r="H24" s="9" t="s">
        <v>27</v>
      </c>
      <c r="I24" s="16" t="s">
        <v>356</v>
      </c>
    </row>
    <row r="25" spans="2:12" s="2" customFormat="1" ht="54">
      <c r="B25" s="8" t="s">
        <v>337</v>
      </c>
      <c r="C25" s="9" t="s">
        <v>43</v>
      </c>
      <c r="D25" s="10" t="s">
        <v>47</v>
      </c>
      <c r="E25" s="10" t="s">
        <v>30</v>
      </c>
      <c r="F25" s="9" t="s">
        <v>332</v>
      </c>
      <c r="G25" s="11">
        <v>1</v>
      </c>
      <c r="H25" s="9" t="s">
        <v>27</v>
      </c>
      <c r="I25" s="16" t="s">
        <v>359</v>
      </c>
    </row>
    <row r="26" spans="2:12" s="2" customFormat="1" ht="54">
      <c r="B26" s="8" t="s">
        <v>337</v>
      </c>
      <c r="C26" s="9" t="s">
        <v>43</v>
      </c>
      <c r="D26" s="10" t="s">
        <v>47</v>
      </c>
      <c r="E26" s="10" t="s">
        <v>30</v>
      </c>
      <c r="F26" s="9" t="s">
        <v>332</v>
      </c>
      <c r="G26" s="11">
        <v>1.2</v>
      </c>
      <c r="H26" s="9" t="s">
        <v>73</v>
      </c>
      <c r="I26" s="16" t="s">
        <v>362</v>
      </c>
    </row>
    <row r="27" spans="2:12" s="2" customFormat="1" ht="13.5">
      <c r="B27" s="8" t="s">
        <v>337</v>
      </c>
      <c r="C27" s="9" t="s">
        <v>28</v>
      </c>
      <c r="D27" s="10" t="s">
        <v>18</v>
      </c>
      <c r="E27" s="10" t="s">
        <v>34</v>
      </c>
      <c r="F27" s="9" t="s">
        <v>42</v>
      </c>
      <c r="G27" s="11">
        <v>3.6</v>
      </c>
      <c r="H27" s="9" t="s">
        <v>31</v>
      </c>
      <c r="I27" s="16" t="s">
        <v>367</v>
      </c>
    </row>
    <row r="28" spans="2:12" s="2" customFormat="1" ht="54">
      <c r="B28" s="8" t="s">
        <v>337</v>
      </c>
      <c r="C28" s="9" t="s">
        <v>43</v>
      </c>
      <c r="D28" s="10" t="s">
        <v>57</v>
      </c>
      <c r="E28" s="10" t="s">
        <v>30</v>
      </c>
      <c r="F28" s="9" t="s">
        <v>332</v>
      </c>
      <c r="G28" s="11">
        <v>0.6</v>
      </c>
      <c r="H28" s="9" t="s">
        <v>27</v>
      </c>
      <c r="I28" s="16" t="s">
        <v>363</v>
      </c>
    </row>
    <row r="29" spans="2:12" s="2" customFormat="1" ht="54">
      <c r="B29" s="8" t="s">
        <v>337</v>
      </c>
      <c r="C29" s="9" t="s">
        <v>43</v>
      </c>
      <c r="D29" s="10" t="s">
        <v>49</v>
      </c>
      <c r="E29" s="10" t="s">
        <v>30</v>
      </c>
      <c r="F29" s="9" t="s">
        <v>332</v>
      </c>
      <c r="G29" s="11">
        <v>0.5</v>
      </c>
      <c r="H29" s="9" t="s">
        <v>27</v>
      </c>
      <c r="I29" s="16" t="s">
        <v>364</v>
      </c>
    </row>
    <row r="30" spans="2:12" s="2" customFormat="1" ht="54">
      <c r="B30" s="8" t="s">
        <v>337</v>
      </c>
      <c r="C30" s="9" t="s">
        <v>43</v>
      </c>
      <c r="D30" s="10" t="s">
        <v>49</v>
      </c>
      <c r="E30" s="10" t="s">
        <v>30</v>
      </c>
      <c r="F30" s="9" t="s">
        <v>332</v>
      </c>
      <c r="G30" s="11">
        <v>0.9</v>
      </c>
      <c r="H30" s="9" t="s">
        <v>73</v>
      </c>
      <c r="I30" s="16" t="s">
        <v>365</v>
      </c>
    </row>
    <row r="31" spans="2:12" s="2" customFormat="1" ht="27">
      <c r="B31" s="8" t="s">
        <v>337</v>
      </c>
      <c r="C31" s="9" t="s">
        <v>44</v>
      </c>
      <c r="D31" s="10" t="s">
        <v>51</v>
      </c>
      <c r="E31" s="10" t="s">
        <v>30</v>
      </c>
      <c r="F31" s="9" t="s">
        <v>323</v>
      </c>
      <c r="G31" s="11">
        <v>1.6</v>
      </c>
      <c r="H31" s="9" t="s">
        <v>73</v>
      </c>
      <c r="I31" s="16" t="s">
        <v>361</v>
      </c>
      <c r="L31" s="75"/>
    </row>
    <row r="32" spans="2:12" s="2" customFormat="1" ht="40.5">
      <c r="B32" s="8" t="s">
        <v>337</v>
      </c>
      <c r="C32" s="9" t="s">
        <v>43</v>
      </c>
      <c r="D32" s="10" t="s">
        <v>60</v>
      </c>
      <c r="E32" s="10" t="s">
        <v>30</v>
      </c>
      <c r="F32" s="9" t="s">
        <v>335</v>
      </c>
      <c r="G32" s="11">
        <v>1.6</v>
      </c>
      <c r="H32" s="9" t="s">
        <v>27</v>
      </c>
      <c r="I32" s="16" t="s">
        <v>371</v>
      </c>
    </row>
    <row r="33" spans="2:14" s="2" customFormat="1" ht="54">
      <c r="B33" s="8" t="s">
        <v>337</v>
      </c>
      <c r="C33" s="9" t="s">
        <v>43</v>
      </c>
      <c r="D33" s="10" t="s">
        <v>57</v>
      </c>
      <c r="E33" s="10" t="s">
        <v>30</v>
      </c>
      <c r="F33" s="9" t="s">
        <v>332</v>
      </c>
      <c r="G33" s="11">
        <v>1.5</v>
      </c>
      <c r="H33" s="9" t="s">
        <v>73</v>
      </c>
      <c r="I33" s="16" t="s">
        <v>369</v>
      </c>
    </row>
    <row r="34" spans="2:14" s="2" customFormat="1" ht="54">
      <c r="B34" s="8" t="s">
        <v>337</v>
      </c>
      <c r="C34" s="9" t="s">
        <v>43</v>
      </c>
      <c r="D34" s="10" t="s">
        <v>47</v>
      </c>
      <c r="E34" s="10" t="s">
        <v>30</v>
      </c>
      <c r="F34" s="9" t="s">
        <v>332</v>
      </c>
      <c r="G34" s="11">
        <v>0.4</v>
      </c>
      <c r="H34" s="9" t="s">
        <v>27</v>
      </c>
      <c r="I34" s="16" t="s">
        <v>368</v>
      </c>
      <c r="N34" s="2" t="s">
        <v>341</v>
      </c>
    </row>
    <row r="35" spans="2:14" s="2" customFormat="1" ht="27">
      <c r="B35" s="8" t="s">
        <v>337</v>
      </c>
      <c r="C35" s="9" t="s">
        <v>28</v>
      </c>
      <c r="D35" s="10" t="s">
        <v>31</v>
      </c>
      <c r="E35" s="10" t="s">
        <v>33</v>
      </c>
      <c r="F35" s="9" t="s">
        <v>39</v>
      </c>
      <c r="G35" s="11">
        <v>1.5</v>
      </c>
      <c r="H35" s="9" t="s">
        <v>31</v>
      </c>
      <c r="I35" s="16" t="s">
        <v>339</v>
      </c>
    </row>
    <row r="36" spans="2:14" s="2" customFormat="1" ht="14.5" customHeight="1" thickBot="1">
      <c r="B36" s="80" t="s">
        <v>32</v>
      </c>
      <c r="C36" s="81"/>
      <c r="D36" s="82"/>
      <c r="E36" s="12"/>
      <c r="F36" s="12"/>
      <c r="G36" s="83">
        <f>SUM(G6:G35)</f>
        <v>31.599999999999998</v>
      </c>
      <c r="H36" s="84"/>
      <c r="I36" s="85"/>
    </row>
    <row r="39" spans="2:14" ht="29">
      <c r="B39" s="17" t="s">
        <v>81</v>
      </c>
      <c r="C39" s="18" t="s">
        <v>370</v>
      </c>
    </row>
    <row r="40" spans="2:14">
      <c r="C40" s="18" t="s">
        <v>342</v>
      </c>
    </row>
  </sheetData>
  <mergeCells count="4">
    <mergeCell ref="B1:I1"/>
    <mergeCell ref="B2:H2"/>
    <mergeCell ref="B36:D36"/>
    <mergeCell ref="G36:I36"/>
  </mergeCells>
  <phoneticPr fontId="10" type="noConversion"/>
  <dataValidations count="3">
    <dataValidation type="list" errorStyle="warning" allowBlank="1" sqref="C28:C35" xr:uid="{00000000-0002-0000-0000-000005000000}">
      <formula1>项目事项分类项目名称</formula1>
    </dataValidation>
    <dataValidation type="list" allowBlank="1" showInputMessage="1" showErrorMessage="1" sqref="H6:H35" xr:uid="{00000000-0002-0000-0000-000006000000}">
      <formula1>事项分类指定内容</formula1>
    </dataValidation>
    <dataValidation type="list" allowBlank="1" showInputMessage="1" showErrorMessage="1" sqref="F6:F35"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C6:C27</xm:sqref>
        </x14:dataValidation>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2025-11-20T07:21:24Z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