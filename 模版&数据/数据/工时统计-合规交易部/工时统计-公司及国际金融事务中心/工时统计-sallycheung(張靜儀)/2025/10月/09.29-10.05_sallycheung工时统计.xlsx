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D6A86A78-D6B6-4792-A9CC-3EF34597BBEC}"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<sst xmlns="http://schemas.openxmlformats.org/spreadsheetml/2006/main" count="580" uniqueCount="362">
  <si>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</si>
  <si>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</si>
  <si>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</si>
  <si>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</si>
  <si>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</si>
  <si>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</si>
  <si>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</si>
  <si>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</si>
  <si>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</si>
  <si>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</si>
  <si>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</si>
  <si>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</si>
  <si>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</si>
  <si>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</si>
  <si>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</si>
  <si>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</si>
  <si>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</si>
  <si>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</si>
  <si>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</si>
  <si>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</si>
  <si>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</si>
  <si>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</si>
  <si>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</si>
  <si>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</si>
  <si>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</si>
  <si>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</si>
  <si>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</si>
  <si>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</si>
  <si>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</si>
  <si>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</si>
  <si>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</si>
  <si>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</si>
  <si>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</si>
  <si>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</si>
  <si>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</si>
  <si>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</si>
  <si>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</si>
  <si>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</si>
  <si>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</si>
  <si>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</si>
  <si>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</si>
  <si>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</si>
  <si>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</si>
  <si>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</si>
  <si>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</si>
  <si>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</si>
  <si>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</si>
  <si>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</si>
  <si>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</si>
  <si>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</si>
  <si>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</si>
  <si>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</si>
  <si>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</si>
  <si>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</si>
  <si>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</si>
  <si>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</si>
  <si>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</si>
  <si>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</si>
  <si>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</si>
  <si>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</si>
  <si>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</si>
  <si>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</si>
  <si>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</si>
  <si>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</si>
  <si>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</si>
  <si>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</si>
  <si>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</si>
  <si>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</si>
  <si>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</si>
  <si>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</si>
  <si>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</si>
  <si>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</si>
  <si>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</si>
  <si>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</si>
  <si>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</si>
  <si>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</si>
  <si>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</si>
  <si>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</si>
  <si>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</si>
  <si>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</si>
  <si>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</si>
  <si>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</si>
  <si>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</si>
  <si>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</si>
  <si>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</si>
  <si>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</si>
  <si>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</si>
  <si>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</si>
  <si>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</si>
  <si>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</si>
  <si>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</si>
  <si>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</si>
  <si>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</si>
  <si>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</si>
  <si>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</si>
  <si>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</si>
  <si>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</si>
  <si>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</si>
  <si>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</si>
  <si>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</si>
  <si>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</si>
  <si>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</si>
  <si>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</si>
  <si>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</si>
  <si>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</si>
  <si>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</si>
  <si>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</si>
  <si>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</si>
  <si>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</si>
  <si>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</si>
  <si>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</si>
  <si>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</si>
  <si>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</si>
  <si>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</si>
  <si>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</si>
  <si>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</si>
  <si>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</si>
  <si>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</si>
  <si>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</si>
  <si>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</si>
  <si>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</si>
  <si>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</si>
  <si>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</si>
  <si>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</si>
  <si>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</si>
  <si>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</si>
  <si>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</si>
  <si>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</si>
  <si>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</si>
  <si>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</si>
  <si>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</si>
  <si>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</si>
  <si>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</si>
  <si>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</si>
  <si>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</si>
  <si>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</si>
  <si>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</si>
  <si>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</si>
  <si>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</si>
  <si>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</si>
  <si>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</si>
  <si>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</si>
  <si>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</si>
  <si>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</si>
  <si>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</si>
  <si>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</si>
  <si>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</si>
  <si>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</si>
  <si>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</si>
  <si>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</si>
  <si>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</si>
  <si>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</si>
  <si>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</si>
  <si>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</si>
  <si>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</si>
  <si>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</si>
  <si>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</si>
  <si>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</si>
  <si>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</si>
  <si>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</si>
  <si>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</si>
  <si>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</si>
  <si>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</si>
  <si>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</si>
  <si>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</si>
  <si>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</si>
  <si>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</si>
  <si>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</si>
  <si>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</si>
  <si>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</si>
  <si>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</si>
  <si>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</si>
  <si>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</si>
  <si>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</si>
  <si>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</si>
  <si>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</si>
  <si>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</si>
  <si>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</si>
  <si>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</si>
  <si>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</si>
  <si>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</si>
  <si>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</si>
  <si>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</si>
  <si>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</si>
  <si>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</si>
  <si>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</si>
  <si>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</si>
  <si>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</si>
  <si>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</si>
  <si>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</si>
  <si>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</si>
  <si>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</si>
  <si>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</si>
  <si>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</si>
  <si>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</si>
  <si>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</si>
  <si>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</si>
  <si>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</si>
  <si>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</si>
  <si>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</si>
  <si>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</si>
  <si>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</si>
  <si>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</si>
  <si>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</si>
  <si>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</si>
  <si>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</si>
  <si>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</si>
  <si>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</si>
  <si>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</si>
  <si>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</si>
  <si>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</si>
  <si>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</si>
  <si>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</si>
  <si>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</si>
  <si>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</si>
  <si>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</si>
  <si>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</si>
  <si>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</si>
  <si>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</si>
  <si>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</si>
  <si>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</si>
  <si>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</si>
  <si>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</si>
  <si>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</si>
  <si>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</si>
  <si>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</si>
  <si>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</si>
  <si>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</si>
  <si>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</si>
  <si>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</si>
  <si>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</si>
  <si>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</si>
  <si>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</si>
  <si>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</si>
  <si>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</si>
  <si>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</si>
  <si>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</si>
  <si>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</si>
  <si>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</si>
  <si>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</si>
  <si>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</si>
  <si>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</si>
  <si>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</si>
  <si>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</si>
  <si>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</si>
  <si>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</si>
  <si>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</si>
  <si>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</si>
  <si>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</si>
  <si>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</si>
  <si>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</si>
  <si>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</si>
  <si>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</si>
  <si>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</si>
  <si>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</si>
  <si>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</si>
  <si>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</si>
  <si>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</si>
  <si>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</si>
  <si>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</si>
  <si>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</si>
  <si>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</si>
  <si>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</si>
  <si>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</si>
  <si>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</si>
  <si>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</si>
  <si>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</si>
  <si>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</si>
  <si>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</si>
  <si>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</si>
  <si>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</si>
  <si>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</si>
  <si>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</si>
  <si>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</si>
  <si>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</si>
  <si>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</si>
  <si>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</si>
  <si>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</si>
  <si>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</si>
  <si>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</si>
  <si>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</si>
  <si>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</si>
  <si>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</si>
  <si>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</si>
  <si>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</si>
  <si>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</si>
  <si>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</si>
  <si>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</si>
  <si>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</si>
  <si>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</si>
  <si>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</si>
  <si>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</si>
  <si>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</si>
  <si>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</si>
  <si>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</si>
  <si>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</si>
  <si>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</si>
  <si>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</si>
  <si>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</si>
  <si>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</si>
  <si>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</si>
  <si>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</si>
  <si>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</si>
  <si>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</si>
  <si>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</si>
  <si>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</si>
  <si>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</si>
  <si>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</si>
  <si>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</si>
  <si>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</si>
  <si>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</si>
  <si>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</si>
  <si>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</si>
  <si>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</si>
  <si>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</si>
  <si>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</si>
  <si>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</si>
  <si>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</si>
  <si>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</si>
  <si>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</si>
  <si>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</si>
  <si>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</si>
  <si>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</si>
  <si>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</si>
  <si>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</si>
  <si>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</si>
  <si>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</si>
  <si>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</si>
  <si>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</si>
  <si>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</si>
  <si>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</si>
  <si>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</si>
  <si>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</si>
  <si>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</si>
  <si>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</si>
  <si>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</si>
  <si>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</si>
  <si>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</si>
  <si>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</si>
  <si>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</si>
  <si>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</si>
  <si>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review BR, structure chart queries</t>
  </si>
  <si>
    <t>AL/SL/Other Leave on</t>
  </si>
  <si>
    <t>review application for POA</t>
  </si>
  <si>
    <t>respond to queries re. KYC, account opening materials for finance team</t>
  </si>
  <si>
    <t>queries in relation to distribution of dividends</t>
  </si>
  <si>
    <t>AI seminar JPM</t>
  </si>
  <si>
    <t>review deed pool and draft BR for lost of share certificate, requests re. directors risks</t>
  </si>
  <si>
    <t>discussion with Mindy re. amendments to the DBS FA, compile invoices for soup dumpling and forward, discussions on JPM requirements</t>
  </si>
  <si>
    <t>discussions with David and Catherine re. internal framework, email to DPW re. discharge status</t>
  </si>
  <si>
    <t>draft email instructions to CC, review final version of DBS amendment agreement, finalise CPs for draw</t>
  </si>
  <si>
    <t>review supplemental letter to the lease, review of quotations</t>
  </si>
  <si>
    <t>Gfunds email to Maples re. process of set up and timing</t>
  </si>
  <si>
    <t>review documents on Indian company, review account opening agreement</t>
  </si>
  <si>
    <t>review email queries and respond, respond to Mariati re denomination of currency</t>
  </si>
  <si>
    <t>queries re. change of currency, US intragroup loans, Lux intragroup arrangements</t>
  </si>
  <si>
    <t>reviewing all agreements, queries on letteheads</t>
  </si>
  <si>
    <t>draft email to CC summarising document needs</t>
  </si>
  <si>
    <t>Public Holiday on 1/10</t>
  </si>
  <si>
    <t>draft amendment agreements to include currency conversion</t>
  </si>
  <si>
    <t>discuss updates</t>
  </si>
  <si>
    <t xml:space="preserve">review documents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</si>
</sst>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tabSelected="1" zoomScale="80" zoomScaleNormal="80" workbookViewId="0">
      <selection activeCell="N24" sqref="N24"/>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337</v>
      </c>
      <c r="C6" s="9" t="s">
        <v>44</v>
      </c>
      <c r="D6" s="10" t="s">
        <v>51</v>
      </c>
      <c r="E6" s="10" t="s">
        <v>30</v>
      </c>
      <c r="F6" s="9" t="s">
        <v>323</v>
      </c>
      <c r="G6" s="11">
        <v>2.1</v>
      </c>
      <c r="H6" s="9" t="s">
        <v>27</v>
      </c>
      <c r="I6" s="16" t="s">
        <v>348</v>
      </c>
    </row>
    <row r="7" spans="1:9" s="2" customFormat="1" ht="52">
      <c r="B7" s="8" t="s">
        <v>337</v>
      </c>
      <c r="C7" s="9" t="s">
        <v>43</v>
      </c>
      <c r="D7" s="10" t="s">
        <v>57</v>
      </c>
      <c r="E7" s="10" t="s">
        <v>30</v>
      </c>
      <c r="F7" s="9" t="s">
        <v>332</v>
      </c>
      <c r="G7" s="11">
        <v>1</v>
      </c>
      <c r="H7" s="9" t="s">
        <v>27</v>
      </c>
      <c r="I7" s="16" t="s">
        <v>344</v>
      </c>
    </row>
    <row r="8" spans="1:9" s="2" customFormat="1" ht="52">
      <c r="B8" s="8" t="s">
        <v>337</v>
      </c>
      <c r="C8" s="9" t="s">
        <v>43</v>
      </c>
      <c r="D8" s="10" t="s">
        <v>50</v>
      </c>
      <c r="E8" s="10" t="s">
        <v>30</v>
      </c>
      <c r="F8" s="9" t="s">
        <v>332</v>
      </c>
      <c r="G8" s="11">
        <v>0.5</v>
      </c>
      <c r="H8" s="9" t="s">
        <v>73</v>
      </c>
      <c r="I8" s="16" t="s">
        <v>343</v>
      </c>
    </row>
    <row r="9" spans="1:9" s="2" customFormat="1" ht="52">
      <c r="B9" s="8" t="s">
        <v>337</v>
      </c>
      <c r="C9" s="9" t="s">
        <v>43</v>
      </c>
      <c r="D9" s="10" t="s">
        <v>47</v>
      </c>
      <c r="E9" s="10" t="s">
        <v>30</v>
      </c>
      <c r="F9" s="9" t="s">
        <v>332</v>
      </c>
      <c r="G9" s="11">
        <v>0.6</v>
      </c>
      <c r="H9" s="9" t="s">
        <v>27</v>
      </c>
      <c r="I9" s="16" t="s">
        <v>345</v>
      </c>
    </row>
    <row r="10" spans="1:9" s="2" customFormat="1" ht="52">
      <c r="B10" s="8" t="s">
        <v>337</v>
      </c>
      <c r="C10" s="9" t="s">
        <v>43</v>
      </c>
      <c r="D10" s="10" t="s">
        <v>47</v>
      </c>
      <c r="E10" s="10" t="s">
        <v>30</v>
      </c>
      <c r="F10" s="9" t="s">
        <v>332</v>
      </c>
      <c r="G10" s="11">
        <v>0.9</v>
      </c>
      <c r="H10" s="9" t="s">
        <v>73</v>
      </c>
      <c r="I10" s="16" t="s">
        <v>347</v>
      </c>
    </row>
    <row r="11" spans="1:9" s="2" customFormat="1" ht="52">
      <c r="B11" s="8" t="s">
        <v>337</v>
      </c>
      <c r="C11" s="9" t="s">
        <v>43</v>
      </c>
      <c r="D11" s="10" t="s">
        <v>49</v>
      </c>
      <c r="E11" s="10" t="s">
        <v>30</v>
      </c>
      <c r="F11" s="9" t="s">
        <v>332</v>
      </c>
      <c r="G11" s="11">
        <v>2.5</v>
      </c>
      <c r="H11" s="9" t="s">
        <v>73</v>
      </c>
      <c r="I11" s="16" t="s">
        <v>351</v>
      </c>
    </row>
    <row r="12" spans="1:9" s="2" customFormat="1" ht="65">
      <c r="B12" s="8" t="s">
        <v>337</v>
      </c>
      <c r="C12" s="9" t="s">
        <v>28</v>
      </c>
      <c r="D12" s="10" t="s">
        <v>31</v>
      </c>
      <c r="E12" s="10" t="s">
        <v>30</v>
      </c>
      <c r="F12" s="9" t="s">
        <v>329</v>
      </c>
      <c r="G12" s="11">
        <v>1.3</v>
      </c>
      <c r="H12" s="9" t="s">
        <v>74</v>
      </c>
      <c r="I12" s="16" t="s">
        <v>346</v>
      </c>
    </row>
    <row r="13" spans="1:9" s="2" customFormat="1" ht="26">
      <c r="B13" s="8" t="s">
        <v>337</v>
      </c>
      <c r="C13" s="9" t="s">
        <v>44</v>
      </c>
      <c r="D13" s="10" t="s">
        <v>51</v>
      </c>
      <c r="E13" s="10" t="s">
        <v>30</v>
      </c>
      <c r="F13" s="9" t="s">
        <v>323</v>
      </c>
      <c r="G13" s="11">
        <v>1.8</v>
      </c>
      <c r="H13" s="9" t="s">
        <v>73</v>
      </c>
      <c r="I13" s="16" t="s">
        <v>350</v>
      </c>
    </row>
    <row r="14" spans="1:9" s="2" customFormat="1" ht="26">
      <c r="B14" s="8" t="s">
        <v>337</v>
      </c>
      <c r="C14" s="9" t="s">
        <v>44</v>
      </c>
      <c r="D14" s="10" t="s">
        <v>51</v>
      </c>
      <c r="E14" s="10" t="s">
        <v>30</v>
      </c>
      <c r="F14" s="9" t="s">
        <v>323</v>
      </c>
      <c r="G14" s="11">
        <v>1.8</v>
      </c>
      <c r="H14" s="9" t="s">
        <v>27</v>
      </c>
      <c r="I14" s="16" t="s">
        <v>349</v>
      </c>
    </row>
    <row r="15" spans="1:9" s="2" customFormat="1" ht="26">
      <c r="B15" s="8" t="s">
        <v>337</v>
      </c>
      <c r="C15" s="9" t="s">
        <v>43</v>
      </c>
      <c r="D15" s="10" t="s">
        <v>47</v>
      </c>
      <c r="E15" s="10" t="s">
        <v>30</v>
      </c>
      <c r="F15" s="9" t="s">
        <v>326</v>
      </c>
      <c r="G15" s="11">
        <v>1.6</v>
      </c>
      <c r="H15" s="9" t="s">
        <v>73</v>
      </c>
      <c r="I15" s="16" t="s">
        <v>353</v>
      </c>
    </row>
    <row r="16" spans="1:9" s="2" customFormat="1" ht="26">
      <c r="B16" s="8" t="s">
        <v>337</v>
      </c>
      <c r="C16" s="9" t="s">
        <v>43</v>
      </c>
      <c r="D16" s="10" t="s">
        <v>57</v>
      </c>
      <c r="E16" s="10" t="s">
        <v>30</v>
      </c>
      <c r="F16" s="9" t="s">
        <v>326</v>
      </c>
      <c r="G16" s="11">
        <v>1.5</v>
      </c>
      <c r="H16" s="9" t="s">
        <v>73</v>
      </c>
      <c r="I16" s="16" t="s">
        <v>354</v>
      </c>
    </row>
    <row r="17" spans="2:12" s="2" customFormat="1" ht="52">
      <c r="B17" s="8" t="s">
        <v>337</v>
      </c>
      <c r="C17" s="9" t="s">
        <v>43</v>
      </c>
      <c r="D17" s="10" t="s">
        <v>57</v>
      </c>
      <c r="E17" s="10" t="s">
        <v>30</v>
      </c>
      <c r="F17" s="9" t="s">
        <v>332</v>
      </c>
      <c r="G17" s="11">
        <v>0.4</v>
      </c>
      <c r="H17" s="9" t="s">
        <v>27</v>
      </c>
      <c r="I17" s="16" t="s">
        <v>352</v>
      </c>
    </row>
    <row r="18" spans="2:12" s="2" customFormat="1" ht="52">
      <c r="B18" s="8" t="s">
        <v>337</v>
      </c>
      <c r="C18" s="9" t="s">
        <v>43</v>
      </c>
      <c r="D18" s="10" t="s">
        <v>47</v>
      </c>
      <c r="E18" s="10" t="s">
        <v>30</v>
      </c>
      <c r="F18" s="9" t="s">
        <v>332</v>
      </c>
      <c r="G18" s="11">
        <v>0.8</v>
      </c>
      <c r="H18" s="9" t="s">
        <v>73</v>
      </c>
      <c r="I18" s="16" t="s">
        <v>341</v>
      </c>
    </row>
    <row r="19" spans="2:12" s="2" customFormat="1" ht="52">
      <c r="B19" s="8" t="s">
        <v>337</v>
      </c>
      <c r="C19" s="9" t="s">
        <v>43</v>
      </c>
      <c r="D19" s="10" t="s">
        <v>57</v>
      </c>
      <c r="E19" s="10" t="s">
        <v>30</v>
      </c>
      <c r="F19" s="9" t="s">
        <v>332</v>
      </c>
      <c r="G19" s="11">
        <v>1.5</v>
      </c>
      <c r="H19" s="9" t="s">
        <v>27</v>
      </c>
      <c r="I19" s="16" t="s">
        <v>355</v>
      </c>
    </row>
    <row r="20" spans="2:12" s="2" customFormat="1" ht="52">
      <c r="B20" s="8" t="s">
        <v>337</v>
      </c>
      <c r="C20" s="9" t="s">
        <v>43</v>
      </c>
      <c r="D20" s="10" t="s">
        <v>49</v>
      </c>
      <c r="E20" s="10" t="s">
        <v>30</v>
      </c>
      <c r="F20" s="9" t="s">
        <v>332</v>
      </c>
      <c r="G20" s="11">
        <v>1</v>
      </c>
      <c r="H20" s="9" t="s">
        <v>73</v>
      </c>
      <c r="I20" s="16" t="s">
        <v>356</v>
      </c>
    </row>
    <row r="21" spans="2:12" s="2" customFormat="1" ht="26">
      <c r="B21" s="8" t="s">
        <v>337</v>
      </c>
      <c r="C21" s="9" t="s">
        <v>44</v>
      </c>
      <c r="D21" s="10" t="s">
        <v>51</v>
      </c>
      <c r="E21" s="10" t="s">
        <v>30</v>
      </c>
      <c r="F21" s="9" t="s">
        <v>323</v>
      </c>
      <c r="G21" s="11">
        <v>0.9</v>
      </c>
      <c r="H21" s="9" t="s">
        <v>73</v>
      </c>
      <c r="I21" s="16" t="s">
        <v>357</v>
      </c>
      <c r="L21" s="75"/>
    </row>
    <row r="22" spans="2:12" s="2" customFormat="1" ht="52">
      <c r="B22" s="8" t="s">
        <v>337</v>
      </c>
      <c r="C22" s="9" t="s">
        <v>43</v>
      </c>
      <c r="D22" s="10" t="s">
        <v>61</v>
      </c>
      <c r="E22" s="10" t="s">
        <v>30</v>
      </c>
      <c r="F22" s="9" t="s">
        <v>335</v>
      </c>
      <c r="G22" s="11">
        <v>2.5</v>
      </c>
      <c r="H22" s="9" t="s">
        <v>27</v>
      </c>
      <c r="I22" s="16" t="s">
        <v>360</v>
      </c>
    </row>
    <row r="23" spans="2:12" s="2" customFormat="1" ht="52">
      <c r="B23" s="8" t="s">
        <v>337</v>
      </c>
      <c r="C23" s="9" t="s">
        <v>43</v>
      </c>
      <c r="D23" s="10" t="s">
        <v>57</v>
      </c>
      <c r="E23" s="10" t="s">
        <v>30</v>
      </c>
      <c r="F23" s="9" t="s">
        <v>332</v>
      </c>
      <c r="G23" s="11">
        <v>2.8</v>
      </c>
      <c r="H23" s="9" t="s">
        <v>73</v>
      </c>
      <c r="I23" s="16" t="s">
        <v>359</v>
      </c>
    </row>
    <row r="24" spans="2:12" s="2" customFormat="1" ht="52">
      <c r="B24" s="8" t="s">
        <v>337</v>
      </c>
      <c r="C24" s="9" t="s">
        <v>43</v>
      </c>
      <c r="D24" s="10" t="s">
        <v>47</v>
      </c>
      <c r="E24" s="10" t="s">
        <v>30</v>
      </c>
      <c r="F24" s="9" t="s">
        <v>332</v>
      </c>
      <c r="G24" s="11">
        <v>0.8</v>
      </c>
      <c r="H24" s="9" t="s">
        <v>73</v>
      </c>
      <c r="I24" s="16" t="s">
        <v>361</v>
      </c>
    </row>
    <row r="25" spans="2:12" s="2" customFormat="1" ht="26">
      <c r="B25" s="8" t="s">
        <v>337</v>
      </c>
      <c r="C25" s="9" t="s">
        <v>28</v>
      </c>
      <c r="D25" s="10" t="s">
        <v>31</v>
      </c>
      <c r="E25" s="10" t="s">
        <v>33</v>
      </c>
      <c r="F25" s="9" t="s">
        <v>39</v>
      </c>
      <c r="G25" s="11">
        <v>1.8</v>
      </c>
      <c r="H25" s="9" t="s">
        <v>31</v>
      </c>
      <c r="I25" s="16" t="s">
        <v>339</v>
      </c>
    </row>
    <row r="26" spans="2:12" s="2" customFormat="1" ht="14.5" customHeight="1" thickBot="1">
      <c r="B26" s="80" t="s">
        <v>32</v>
      </c>
      <c r="C26" s="81"/>
      <c r="D26" s="82"/>
      <c r="E26" s="12"/>
      <c r="F26" s="12"/>
      <c r="G26" s="83">
        <f>SUM(G6:G25)</f>
        <v>28.1</v>
      </c>
      <c r="H26" s="84"/>
      <c r="I26" s="85"/>
    </row>
    <row r="29" spans="2:12">
      <c r="B29" s="17" t="s">
        <v>81</v>
      </c>
      <c r="C29" s="18" t="s">
        <v>342</v>
      </c>
    </row>
    <row r="30" spans="2:12">
      <c r="C30" s="18" t="s">
        <v>358</v>
      </c>
    </row>
  </sheetData>
  <mergeCells count="4">
    <mergeCell ref="B1:I1"/>
    <mergeCell ref="B2:H2"/>
    <mergeCell ref="B26:D26"/>
    <mergeCell ref="G26:I26"/>
  </mergeCells>
  <phoneticPr fontId="10" type="noConversion"/>
  <dataValidations count="3">
    <dataValidation type="list" errorStyle="warning" allowBlank="1" sqref="C19:C25" xr:uid="{00000000-0002-0000-0000-000005000000}">
      <formula1>项目事项分类项目名称</formula1>
    </dataValidation>
    <dataValidation type="list" allowBlank="1" showInputMessage="1" showErrorMessage="1" sqref="H6:H25" xr:uid="{00000000-0002-0000-0000-000006000000}">
      <formula1>事项分类指定内容</formula1>
    </dataValidation>
    <dataValidation type="list" allowBlank="1" showInputMessage="1" showErrorMessage="1" sqref="F6:F25"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D6:D25</xm:sqref>
        </x14:dataValidation>
        <x14:dataValidation type="list" allowBlank="1" showInputMessage="1" showErrorMessage="1" xr:uid="{00000000-0002-0000-0000-000007000000}">
          <x14:formula1>
            <xm:f>Tag!$B$2:$E$2</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186"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48"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10"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41"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2025-10-06T03:31:26Z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