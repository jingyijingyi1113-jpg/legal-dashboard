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31DB368B-F5A3-4A46-B27E-595AD5AD4D76}"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<sst xmlns="http://schemas.openxmlformats.org/spreadsheetml/2006/main" count="475" uniqueCount="347">
  <si>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</si>
  <si>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</si>
  <si>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</si>
  <si>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</si>
  <si>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</si>
  <si>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</si>
  <si>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</si>
  <si>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</si>
  <si>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</si>
  <si>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</si>
  <si>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</si>
  <si>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</si>
  <si>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</si>
  <si>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</si>
  <si>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</si>
  <si>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</si>
  <si>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</si>
  <si>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</si>
  <si>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</si>
  <si>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</si>
  <si>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</si>
  <si>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</si>
  <si>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</si>
  <si>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</si>
  <si>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</si>
  <si>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</si>
  <si>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</si>
  <si>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</si>
  <si>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</si>
  <si>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</si>
  <si>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</si>
  <si>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</si>
  <si>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</si>
  <si>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</si>
  <si>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</si>
  <si>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</si>
  <si>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</si>
  <si>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</si>
  <si>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</si>
  <si>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</si>
  <si>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</si>
  <si>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</si>
  <si>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</si>
  <si>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</si>
  <si>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</si>
  <si>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</si>
  <si>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</si>
  <si>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</si>
  <si>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</si>
  <si>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</si>
  <si>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</si>
  <si>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</si>
  <si>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</si>
  <si>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</si>
  <si>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</si>
  <si>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</si>
  <si>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</si>
  <si>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</si>
  <si>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</si>
  <si>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</si>
  <si>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</si>
  <si>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</si>
  <si>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</si>
  <si>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</si>
  <si>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</si>
  <si>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</si>
  <si>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</si>
  <si>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</si>
  <si>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</si>
  <si>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</si>
  <si>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</si>
  <si>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</si>
  <si>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</si>
  <si>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</si>
  <si>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</si>
  <si>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</si>
  <si>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</si>
  <si>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</si>
  <si>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</si>
  <si>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</si>
  <si>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</si>
  <si>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</si>
  <si>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</si>
  <si>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</si>
  <si>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</si>
  <si>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</si>
  <si>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</si>
  <si>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</si>
  <si>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</si>
  <si>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</si>
  <si>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</si>
  <si>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</si>
  <si>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</si>
  <si>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</si>
  <si>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</si>
  <si>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</si>
  <si>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</si>
  <si>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</si>
  <si>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</si>
  <si>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</si>
  <si>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</si>
  <si>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</si>
  <si>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</si>
  <si>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</si>
  <si>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</si>
  <si>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</si>
  <si>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</si>
  <si>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</si>
  <si>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</si>
  <si>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</si>
  <si>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</si>
  <si>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</si>
  <si>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</si>
  <si>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</si>
  <si>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</si>
  <si>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</si>
  <si>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</si>
  <si>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</si>
  <si>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</si>
  <si>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</si>
  <si>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</si>
  <si>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</si>
  <si>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</si>
  <si>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</si>
  <si>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</si>
  <si>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</si>
  <si>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</si>
  <si>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</si>
  <si>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</si>
  <si>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</si>
  <si>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</si>
  <si>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</si>
  <si>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</si>
  <si>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</si>
  <si>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</si>
  <si>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</si>
  <si>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</si>
  <si>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</si>
  <si>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</si>
  <si>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</si>
  <si>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</si>
  <si>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</si>
  <si>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</si>
  <si>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</si>
  <si>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</si>
  <si>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</si>
  <si>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</si>
  <si>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</si>
  <si>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</si>
  <si>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</si>
  <si>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</si>
  <si>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</si>
  <si>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</si>
  <si>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</si>
  <si>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</si>
  <si>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</si>
  <si>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</si>
  <si>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</si>
  <si>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</si>
  <si>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</si>
  <si>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</si>
  <si>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</si>
  <si>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</si>
  <si>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</si>
  <si>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</si>
  <si>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</si>
  <si>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</si>
  <si>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</si>
  <si>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</si>
  <si>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</si>
  <si>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</si>
  <si>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</si>
  <si>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</si>
  <si>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</si>
  <si>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</si>
  <si>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</si>
  <si>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</si>
  <si>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</si>
  <si>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</si>
  <si>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</si>
  <si>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</si>
  <si>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</si>
  <si>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</si>
  <si>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</si>
  <si>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</si>
  <si>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</si>
  <si>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</si>
  <si>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</si>
  <si>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</si>
  <si>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</si>
  <si>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</si>
  <si>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</si>
  <si>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</si>
  <si>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</si>
  <si>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</si>
  <si>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</si>
  <si>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</si>
  <si>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</si>
  <si>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</si>
  <si>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</si>
  <si>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</si>
  <si>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</si>
  <si>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</si>
  <si>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</si>
  <si>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</si>
  <si>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</si>
  <si>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</si>
  <si>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</si>
  <si>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</si>
  <si>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</si>
  <si>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</si>
  <si>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</si>
  <si>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</si>
  <si>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</si>
  <si>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</si>
  <si>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</si>
  <si>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</si>
  <si>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</si>
  <si>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</si>
  <si>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</si>
  <si>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</si>
  <si>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</si>
  <si>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</si>
  <si>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</si>
  <si>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</si>
  <si>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</si>
  <si>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</si>
  <si>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</si>
  <si>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</si>
  <si>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</si>
  <si>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</si>
  <si>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</si>
  <si>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</si>
  <si>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</si>
  <si>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</si>
  <si>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</si>
  <si>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</si>
  <si>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</si>
  <si>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</si>
  <si>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</si>
  <si>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</si>
  <si>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</si>
  <si>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</si>
  <si>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</si>
  <si>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</si>
  <si>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</si>
  <si>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</si>
  <si>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</si>
  <si>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</si>
  <si>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</si>
  <si>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</si>
  <si>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</si>
  <si>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</si>
  <si>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</si>
  <si>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</si>
  <si>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</si>
  <si>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</si>
  <si>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</si>
  <si>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</si>
  <si>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</si>
  <si>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</si>
  <si>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</si>
  <si>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</si>
  <si>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</si>
  <si>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</si>
  <si>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</si>
  <si>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</si>
  <si>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</si>
  <si>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</si>
  <si>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</si>
  <si>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</si>
  <si>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</si>
  <si>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</si>
  <si>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</si>
  <si>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</si>
  <si>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</si>
  <si>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</si>
  <si>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</si>
  <si>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</si>
  <si>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</si>
  <si>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</si>
  <si>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</si>
  <si>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</si>
  <si>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</si>
  <si>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</si>
  <si>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</si>
  <si>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</si>
  <si>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</si>
  <si>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</si>
  <si>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</si>
  <si>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</si>
  <si>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</si>
  <si>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</si>
  <si>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</si>
  <si>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</si>
  <si>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</si>
  <si>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</si>
  <si>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</si>
  <si>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</si>
  <si>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</si>
  <si>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</si>
  <si>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</si>
  <si>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</si>
  <si>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</si>
  <si>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</si>
  <si>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</si>
  <si>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</si>
  <si>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</si>
  <si>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</si>
  <si>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</si>
  <si>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</si>
  <si>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</si>
  <si>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</si>
  <si>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</si>
  <si>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</si>
  <si>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</si>
  <si>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</si>
  <si>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</si>
  <si>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</si>
  <si>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</si>
  <si>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</si>
  <si>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</si>
  <si>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</si>
  <si>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</si>
  <si>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</si>
  <si>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</si>
  <si>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</si>
  <si>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</si>
  <si>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</si>
  <si>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</si>
  <si>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</si>
  <si>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</si>
  <si>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</si>
  <si>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</si>
  <si>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</si>
  <si>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</si>
  <si>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</si>
  <si>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</si>
  <si>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</si>
  <si>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</si>
  <si>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</si>
  <si>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review existing HSBC facility guarantee and discuss with Mindy re. renewal</t>
  </si>
  <si>
    <t>review contracts, review Yvonnes messsages</t>
  </si>
  <si>
    <t>discussions with Jess and discussions with Viv on Thai loans and possible service agreement</t>
  </si>
  <si>
    <t>management reporting, 2025 achievements, PPT for reporting, discuss with yeguan re. numbers</t>
  </si>
  <si>
    <t>AL/SL/Other Leave on 27, 28 and 31 Oct</t>
  </si>
  <si>
    <t>Public Holiday on 29 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</si>
</sst>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B5" zoomScale="80" zoomScaleNormal="80" workbookViewId="0">
      <selection activeCell="J27" sqref="J2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337</v>
      </c>
      <c r="C6" s="9" t="s">
        <v>44</v>
      </c>
      <c r="D6" s="10" t="s">
        <v>51</v>
      </c>
      <c r="E6" s="10" t="s">
        <v>30</v>
      </c>
      <c r="F6" s="9" t="s">
        <v>323</v>
      </c>
      <c r="G6" s="11">
        <v>0.7</v>
      </c>
      <c r="H6" s="9" t="s">
        <v>27</v>
      </c>
      <c r="I6" s="16" t="s">
        <v>341</v>
      </c>
    </row>
    <row r="7" spans="1:9" s="2" customFormat="1" ht="52">
      <c r="B7" s="8" t="s">
        <v>337</v>
      </c>
      <c r="C7" s="9" t="s">
        <v>43</v>
      </c>
      <c r="D7" s="10" t="s">
        <v>50</v>
      </c>
      <c r="E7" s="10" t="s">
        <v>30</v>
      </c>
      <c r="F7" s="9" t="s">
        <v>332</v>
      </c>
      <c r="G7" s="11">
        <v>0.7</v>
      </c>
      <c r="H7" s="9" t="s">
        <v>27</v>
      </c>
      <c r="I7" s="16" t="s">
        <v>343</v>
      </c>
    </row>
    <row r="8" spans="1:9" s="2" customFormat="1" ht="52">
      <c r="B8" s="8" t="s">
        <v>337</v>
      </c>
      <c r="C8" s="9" t="s">
        <v>43</v>
      </c>
      <c r="D8" s="10" t="s">
        <v>49</v>
      </c>
      <c r="E8" s="10" t="s">
        <v>30</v>
      </c>
      <c r="F8" s="9" t="s">
        <v>332</v>
      </c>
      <c r="G8" s="11">
        <v>1.1000000000000001</v>
      </c>
      <c r="H8" s="9" t="s">
        <v>73</v>
      </c>
      <c r="I8" s="16" t="s">
        <v>342</v>
      </c>
    </row>
    <row r="9" spans="1:9" s="2" customFormat="1" ht="26">
      <c r="B9" s="8" t="s">
        <v>337</v>
      </c>
      <c r="C9" s="9" t="s">
        <v>28</v>
      </c>
      <c r="D9" s="10" t="s">
        <v>31</v>
      </c>
      <c r="E9" s="10" t="s">
        <v>34</v>
      </c>
      <c r="F9" s="9" t="s">
        <v>41</v>
      </c>
      <c r="G9" s="11">
        <v>4.8</v>
      </c>
      <c r="H9" s="9" t="s">
        <v>75</v>
      </c>
      <c r="I9" s="16" t="s">
        <v>344</v>
      </c>
    </row>
    <row r="10" spans="1:9" s="2" customFormat="1" ht="26">
      <c r="B10" s="8" t="s">
        <v>337</v>
      </c>
      <c r="C10" s="9" t="s">
        <v>28</v>
      </c>
      <c r="D10" s="10" t="s">
        <v>31</v>
      </c>
      <c r="E10" s="10" t="s">
        <v>33</v>
      </c>
      <c r="F10" s="9" t="s">
        <v>39</v>
      </c>
      <c r="G10" s="11">
        <v>0.5</v>
      </c>
      <c r="H10" s="9" t="s">
        <v>31</v>
      </c>
      <c r="I10" s="16" t="s">
        <v>339</v>
      </c>
    </row>
    <row r="11" spans="1:9" s="2" customFormat="1" ht="14.5" customHeight="1" thickBot="1">
      <c r="B11" s="79" t="s">
        <v>32</v>
      </c>
      <c r="C11" s="80"/>
      <c r="D11" s="81"/>
      <c r="E11" s="12"/>
      <c r="F11" s="12"/>
      <c r="G11" s="82">
        <f>SUM(G6:G10)</f>
        <v>7.8</v>
      </c>
      <c r="H11" s="83"/>
      <c r="I11" s="84"/>
    </row>
    <row r="14" spans="1:9" ht="29">
      <c r="B14" s="17" t="s">
        <v>81</v>
      </c>
      <c r="C14" s="18" t="s">
        <v>345</v>
      </c>
    </row>
    <row r="15" spans="1:9">
      <c r="C15" s="18" t="s">
        <v>346</v>
      </c>
    </row>
  </sheetData>
  <mergeCells count="4">
    <mergeCell ref="B1:I1"/>
    <mergeCell ref="B2:H2"/>
    <mergeCell ref="B11:D11"/>
    <mergeCell ref="G11:I11"/>
  </mergeCells>
  <phoneticPr fontId="10" type="noConversion"/>
  <dataValidations count="3">
    <dataValidation type="list" errorStyle="warning" allowBlank="1" sqref="C10" xr:uid="{00000000-0002-0000-0000-000005000000}">
      <formula1>项目事项分类项目名称</formula1>
    </dataValidation>
    <dataValidation type="list" allowBlank="1" showInputMessage="1" showErrorMessage="1" sqref="H6:H10" xr:uid="{00000000-0002-0000-0000-000006000000}">
      <formula1>事项分类指定内容</formula1>
    </dataValidation>
    <dataValidation type="list" allowBlank="1" showInputMessage="1" showErrorMessage="1" sqref="F6:F10"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D6:D10</xm:sqref>
        </x14:dataValidation>
        <x14:dataValidation type="list" allowBlank="1" showInputMessage="1" showErrorMessage="1" xr:uid="{00000000-0002-0000-0000-000007000000}">
          <x14:formula1>
            <xm:f>Tag!$B$2:$E$2</xm:f>
          </x14:formula1>
          <xm:sqref>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2025-11-14T10:33:42Z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