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5F306924-B7CA-40E8-A4B4-97C3767861D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<sst xmlns="http://schemas.openxmlformats.org/spreadsheetml/2006/main" count="588" uniqueCount="363">
  <si>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</si>
  <si>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</si>
  <si>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</si>
  <si>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</si>
  <si>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</si>
  <si>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</si>
  <si>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</si>
  <si>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</si>
  <si>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</si>
  <si>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</si>
  <si>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</si>
  <si>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</si>
  <si>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</si>
  <si>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</si>
  <si>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</si>
  <si>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</si>
  <si>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</si>
  <si>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</si>
  <si>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</si>
  <si>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</si>
  <si>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</si>
  <si>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</si>
  <si>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</si>
  <si>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</si>
  <si>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</si>
  <si>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</si>
  <si>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</si>
  <si>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</si>
  <si>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</si>
  <si>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</si>
  <si>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</si>
  <si>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</si>
  <si>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</si>
  <si>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</si>
  <si>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</si>
  <si>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</si>
  <si>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</si>
  <si>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</si>
  <si>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</si>
  <si>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</si>
  <si>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</si>
  <si>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</si>
  <si>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</si>
  <si>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</si>
  <si>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</si>
  <si>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</si>
  <si>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</si>
  <si>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</si>
  <si>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</si>
  <si>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</si>
  <si>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</si>
  <si>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</si>
  <si>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</si>
  <si>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</si>
  <si>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</si>
  <si>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</si>
  <si>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</si>
  <si>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</si>
  <si>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</si>
  <si>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</si>
  <si>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</si>
  <si>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</si>
  <si>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</si>
  <si>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</si>
  <si>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</si>
  <si>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</si>
  <si>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</si>
  <si>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</si>
  <si>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</si>
  <si>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</si>
  <si>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</si>
  <si>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</si>
  <si>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</si>
  <si>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</si>
  <si>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</si>
  <si>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</si>
  <si>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</si>
  <si>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</si>
  <si>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</si>
  <si>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</si>
  <si>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</si>
  <si>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</si>
  <si>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</si>
  <si>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</si>
  <si>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</si>
  <si>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</si>
  <si>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</si>
  <si>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</si>
  <si>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</si>
  <si>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</si>
  <si>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</si>
  <si>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</si>
  <si>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</si>
  <si>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</si>
  <si>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</si>
  <si>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</si>
  <si>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</si>
  <si>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</si>
  <si>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</si>
  <si>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</si>
  <si>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</si>
  <si>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</si>
  <si>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</si>
  <si>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</si>
  <si>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</si>
  <si>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</si>
  <si>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</si>
  <si>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</si>
  <si>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</si>
  <si>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</si>
  <si>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</si>
  <si>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</si>
  <si>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</si>
  <si>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</si>
  <si>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</si>
  <si>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</si>
  <si>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</si>
  <si>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</si>
  <si>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</si>
  <si>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</si>
  <si>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</si>
  <si>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</si>
  <si>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</si>
  <si>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</si>
  <si>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</si>
  <si>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</si>
  <si>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</si>
  <si>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</si>
  <si>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</si>
  <si>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</si>
  <si>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</si>
  <si>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</si>
  <si>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</si>
  <si>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</si>
  <si>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</si>
  <si>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</si>
  <si>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</si>
  <si>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</si>
  <si>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</si>
  <si>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</si>
  <si>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</si>
  <si>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</si>
  <si>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</si>
  <si>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</si>
  <si>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</si>
  <si>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</si>
  <si>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</si>
  <si>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</si>
  <si>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</si>
  <si>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</si>
  <si>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</si>
  <si>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</si>
  <si>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</si>
  <si>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</si>
  <si>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</si>
  <si>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</si>
  <si>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</si>
  <si>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</si>
  <si>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</si>
  <si>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</si>
  <si>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</si>
  <si>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</si>
  <si>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</si>
  <si>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</si>
  <si>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</si>
  <si>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</si>
  <si>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</si>
  <si>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</si>
  <si>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</si>
  <si>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</si>
  <si>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</si>
  <si>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</si>
  <si>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</si>
  <si>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</si>
  <si>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</si>
  <si>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</si>
  <si>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</si>
  <si>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</si>
  <si>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</si>
  <si>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</si>
  <si>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</si>
  <si>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</si>
  <si>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</si>
  <si>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</si>
  <si>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</si>
  <si>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</si>
  <si>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</si>
  <si>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</si>
  <si>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</si>
  <si>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</si>
  <si>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</si>
  <si>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</si>
  <si>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</si>
  <si>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</si>
  <si>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</si>
  <si>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</si>
  <si>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</si>
  <si>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</si>
  <si>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</si>
  <si>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</si>
  <si>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</si>
  <si>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</si>
  <si>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</si>
  <si>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</si>
  <si>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</si>
  <si>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</si>
  <si>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</si>
  <si>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</si>
  <si>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</si>
  <si>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</si>
  <si>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</si>
  <si>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</si>
  <si>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</si>
  <si>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</si>
  <si>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</si>
  <si>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</si>
  <si>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</si>
  <si>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</si>
  <si>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</si>
  <si>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</si>
  <si>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</si>
  <si>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</si>
  <si>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</si>
  <si>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</si>
  <si>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</si>
  <si>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</si>
  <si>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</si>
  <si>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</si>
  <si>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</si>
  <si>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</si>
  <si>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</si>
  <si>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</si>
  <si>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</si>
  <si>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</si>
  <si>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</si>
  <si>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</si>
  <si>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</si>
  <si>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</si>
  <si>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</si>
  <si>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</si>
  <si>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</si>
  <si>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</si>
  <si>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</si>
  <si>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</si>
  <si>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</si>
  <si>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</si>
  <si>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</si>
  <si>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</si>
  <si>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</si>
  <si>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</si>
  <si>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</si>
  <si>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</si>
  <si>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</si>
  <si>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</si>
  <si>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</si>
  <si>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</si>
  <si>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</si>
  <si>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</si>
  <si>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</si>
  <si>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</si>
  <si>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</si>
  <si>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</si>
  <si>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</si>
  <si>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</si>
  <si>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</si>
  <si>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</si>
  <si>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</si>
  <si>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</si>
  <si>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</si>
  <si>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</si>
  <si>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</si>
  <si>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</si>
  <si>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</si>
  <si>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</si>
  <si>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</si>
  <si>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</si>
  <si>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</si>
  <si>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</si>
  <si>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</si>
  <si>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</si>
  <si>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</si>
  <si>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</si>
  <si>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</si>
  <si>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</si>
  <si>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</si>
  <si>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</si>
  <si>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</si>
  <si>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</si>
  <si>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</si>
  <si>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</si>
  <si>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</si>
  <si>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</si>
  <si>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</si>
  <si>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</si>
  <si>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</si>
  <si>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</si>
  <si>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</si>
  <si>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</si>
  <si>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</si>
  <si>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</si>
  <si>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</si>
  <si>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</si>
  <si>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</si>
  <si>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</si>
  <si>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</si>
  <si>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</si>
  <si>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</si>
  <si>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</si>
  <si>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</si>
  <si>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</si>
  <si>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</si>
  <si>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</si>
  <si>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</si>
  <si>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</si>
  <si>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</si>
  <si>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</si>
  <si>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</si>
  <si>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</si>
  <si>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</si>
  <si>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</si>
  <si>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</si>
  <si>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</si>
  <si>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</si>
  <si>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</si>
  <si>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</si>
  <si>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</si>
  <si>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</si>
  <si>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</si>
  <si>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</si>
  <si>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</si>
  <si>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</si>
  <si>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</si>
  <si>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</si>
  <si>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</si>
  <si>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</si>
  <si>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</si>
  <si>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</si>
  <si>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</si>
  <si>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</si>
  <si>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</si>
  <si>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</si>
  <si>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r>
      <t>Date: 2025</t>
    </r>
    <r>
      <rPr>
        <b/>
        <sz val="10"/>
        <color theme="0"/>
        <rFont val="等线"/>
        <charset val="134"/>
      </rPr>
      <t xml:space="preserve"> - </t>
    </r>
    <r>
      <rPr>
        <b/>
        <sz val="10"/>
        <color theme="0"/>
        <rFont val="新細明體"/>
        <family val="2"/>
        <scheme val="minor"/>
      </rPr>
      <t>06 - 30</t>
    </r>
    <r>
      <rPr>
        <b/>
        <sz val="10"/>
        <color theme="0"/>
        <rFont val="新細明體"/>
        <family val="1"/>
        <charset val="136"/>
      </rPr>
      <t xml:space="preserve"> - </t>
    </r>
    <r>
      <rPr>
        <b/>
        <sz val="10"/>
        <color theme="0"/>
        <rFont val="新細明體"/>
        <family val="2"/>
        <scheme val="minor"/>
      </rPr>
      <t>2025 - 07 - 06</t>
    </r>
  </si>
  <si>
    <t>Public Holiday on</t>
  </si>
  <si>
    <t>budget</t>
  </si>
  <si>
    <t>review HSBC amendments</t>
  </si>
  <si>
    <t>review queries, amendments, certifications, propose revisions</t>
  </si>
  <si>
    <t xml:space="preserve">discussions on MDD questions on removal of Russia. Discussions on LDD responses, review of latest MDDQ, arrange MDDQ call, </t>
  </si>
  <si>
    <t>discussions with Kim re POA requirements and possible requests for evidence</t>
  </si>
  <si>
    <t>discussing with Kim and HR re. proof</t>
  </si>
  <si>
    <t>review documents for Iris and Yuntong</t>
  </si>
  <si>
    <t>admin, discussions re. US admin arrangement, review Nespresso agreement, review quotations</t>
  </si>
  <si>
    <t>drafting meeting, discuss LDD, discuss data room participants, review Trial Measures, discuss with Pauline re. minute books, tax implications of notes discussion</t>
  </si>
  <si>
    <t>discussions on providing confirmation proof for HR positions</t>
  </si>
  <si>
    <t>US admin review of Montreal lease for car park spaces, review nespresso agreement, revert on WeWork lease</t>
  </si>
  <si>
    <t>call and discussions with Maria and David, respond to Weigao's queries re. transaction documents, MDDQ, 40 Act Certificate, dealing with legal issues, revie announcements, catch up with treasury re. clearstream requirements</t>
  </si>
  <si>
    <t>discuss with Kim re MA deal appointments</t>
  </si>
  <si>
    <t>discussions with Iris re. Uber matter and cloud payments</t>
  </si>
  <si>
    <t>review BR, structure chart queries</t>
  </si>
  <si>
    <t>review amendment agreement, circulate to counsel for submission, reminder to post on BI online system</t>
  </si>
  <si>
    <t>amend guideline on appointing dealers/arrangers, content of PPT query</t>
  </si>
  <si>
    <t>call re. Thai restructuring</t>
  </si>
  <si>
    <t>AL/SL/Other Leave on</t>
  </si>
  <si>
    <t>review MDDQ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</si>
</sst>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topLeftCell="A6"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341</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40.5">
      <c r="B6" s="8" t="s">
        <v>337</v>
      </c>
      <c r="C6" s="9" t="s">
        <v>44</v>
      </c>
      <c r="D6" s="10" t="s">
        <v>51</v>
      </c>
      <c r="E6" s="10" t="s">
        <v>30</v>
      </c>
      <c r="F6" s="9" t="s">
        <v>323</v>
      </c>
      <c r="G6" s="11">
        <v>3.3</v>
      </c>
      <c r="H6" s="9" t="s">
        <v>27</v>
      </c>
      <c r="I6" s="16" t="s">
        <v>346</v>
      </c>
    </row>
    <row r="7" spans="1:11" s="2" customFormat="1" ht="27">
      <c r="B7" s="8" t="s">
        <v>337</v>
      </c>
      <c r="C7" s="9" t="s">
        <v>44</v>
      </c>
      <c r="D7" s="10" t="s">
        <v>51</v>
      </c>
      <c r="E7" s="10" t="s">
        <v>30</v>
      </c>
      <c r="F7" s="9" t="s">
        <v>323</v>
      </c>
      <c r="G7" s="11">
        <v>0.8</v>
      </c>
      <c r="H7" s="9" t="s">
        <v>73</v>
      </c>
      <c r="I7" s="16" t="s">
        <v>362</v>
      </c>
    </row>
    <row r="8" spans="1:11" s="2" customFormat="1" ht="13.5">
      <c r="B8" s="8" t="s">
        <v>337</v>
      </c>
      <c r="C8" s="9" t="s">
        <v>28</v>
      </c>
      <c r="D8" s="10" t="s">
        <v>31</v>
      </c>
      <c r="E8" s="10" t="s">
        <v>34</v>
      </c>
      <c r="F8" s="9" t="s">
        <v>42</v>
      </c>
      <c r="G8" s="11">
        <v>1.3</v>
      </c>
      <c r="H8" s="9" t="s">
        <v>31</v>
      </c>
      <c r="I8" s="16" t="s">
        <v>343</v>
      </c>
    </row>
    <row r="9" spans="1:11" s="2" customFormat="1" ht="54">
      <c r="B9" s="8" t="s">
        <v>337</v>
      </c>
      <c r="C9" s="9" t="s">
        <v>43</v>
      </c>
      <c r="D9" s="10" t="s">
        <v>50</v>
      </c>
      <c r="E9" s="10" t="s">
        <v>30</v>
      </c>
      <c r="F9" s="9" t="s">
        <v>332</v>
      </c>
      <c r="G9" s="11">
        <v>0.6</v>
      </c>
      <c r="H9" s="9" t="s">
        <v>27</v>
      </c>
      <c r="I9" s="16" t="s">
        <v>347</v>
      </c>
    </row>
    <row r="10" spans="1:11" s="2" customFormat="1" ht="54">
      <c r="B10" s="8" t="s">
        <v>337</v>
      </c>
      <c r="C10" s="9" t="s">
        <v>43</v>
      </c>
      <c r="D10" s="10" t="s">
        <v>47</v>
      </c>
      <c r="E10" s="10" t="s">
        <v>30</v>
      </c>
      <c r="F10" s="9" t="s">
        <v>332</v>
      </c>
      <c r="G10" s="11">
        <v>1.2</v>
      </c>
      <c r="H10" s="9" t="s">
        <v>73</v>
      </c>
      <c r="I10" s="16" t="s">
        <v>345</v>
      </c>
    </row>
    <row r="11" spans="1:11" s="2" customFormat="1" ht="54">
      <c r="B11" s="8" t="s">
        <v>337</v>
      </c>
      <c r="C11" s="9" t="s">
        <v>43</v>
      </c>
      <c r="D11" s="10" t="s">
        <v>50</v>
      </c>
      <c r="E11" s="10" t="s">
        <v>30</v>
      </c>
      <c r="F11" s="9" t="s">
        <v>332</v>
      </c>
      <c r="G11" s="11">
        <v>0.3</v>
      </c>
      <c r="H11" s="9" t="s">
        <v>27</v>
      </c>
      <c r="I11" s="16" t="s">
        <v>348</v>
      </c>
    </row>
    <row r="12" spans="1:11" s="2" customFormat="1" ht="54">
      <c r="B12" s="8" t="s">
        <v>337</v>
      </c>
      <c r="C12" s="9" t="s">
        <v>43</v>
      </c>
      <c r="D12" s="10" t="s">
        <v>49</v>
      </c>
      <c r="E12" s="10" t="s">
        <v>30</v>
      </c>
      <c r="F12" s="9" t="s">
        <v>332</v>
      </c>
      <c r="G12" s="11">
        <v>2.6</v>
      </c>
      <c r="H12" s="9" t="s">
        <v>73</v>
      </c>
      <c r="I12" s="16" t="s">
        <v>350</v>
      </c>
    </row>
    <row r="13" spans="1:11" s="2" customFormat="1" ht="54">
      <c r="B13" s="8" t="s">
        <v>337</v>
      </c>
      <c r="C13" s="9" t="s">
        <v>44</v>
      </c>
      <c r="D13" s="10" t="s">
        <v>51</v>
      </c>
      <c r="E13" s="10" t="s">
        <v>30</v>
      </c>
      <c r="F13" s="9" t="s">
        <v>323</v>
      </c>
      <c r="G13" s="11">
        <v>4.8</v>
      </c>
      <c r="H13" s="9" t="s">
        <v>27</v>
      </c>
      <c r="I13" s="16" t="s">
        <v>351</v>
      </c>
    </row>
    <row r="14" spans="1:11" s="2" customFormat="1" ht="27">
      <c r="B14" s="8" t="s">
        <v>337</v>
      </c>
      <c r="C14" s="9" t="s">
        <v>43</v>
      </c>
      <c r="D14" s="10" t="s">
        <v>47</v>
      </c>
      <c r="E14" s="10" t="s">
        <v>30</v>
      </c>
      <c r="F14" s="9" t="s">
        <v>326</v>
      </c>
      <c r="G14" s="11">
        <v>0.6</v>
      </c>
      <c r="H14" s="9" t="s">
        <v>27</v>
      </c>
      <c r="I14" s="16" t="s">
        <v>349</v>
      </c>
    </row>
    <row r="15" spans="1:11" s="2" customFormat="1" ht="54">
      <c r="B15" s="8" t="s">
        <v>337</v>
      </c>
      <c r="C15" s="9" t="s">
        <v>43</v>
      </c>
      <c r="D15" s="10" t="s">
        <v>49</v>
      </c>
      <c r="E15" s="10" t="s">
        <v>30</v>
      </c>
      <c r="F15" s="9" t="s">
        <v>332</v>
      </c>
      <c r="G15" s="11">
        <v>0.9</v>
      </c>
      <c r="H15" s="9" t="s">
        <v>73</v>
      </c>
      <c r="I15" s="16" t="s">
        <v>353</v>
      </c>
    </row>
    <row r="16" spans="1:11" s="2" customFormat="1" ht="54">
      <c r="B16" s="8" t="s">
        <v>337</v>
      </c>
      <c r="C16" s="9" t="s">
        <v>43</v>
      </c>
      <c r="D16" s="10" t="s">
        <v>50</v>
      </c>
      <c r="E16" s="10" t="s">
        <v>30</v>
      </c>
      <c r="F16" s="9" t="s">
        <v>332</v>
      </c>
      <c r="G16" s="11">
        <v>0.6</v>
      </c>
      <c r="H16" s="9" t="s">
        <v>27</v>
      </c>
      <c r="I16" s="16" t="s">
        <v>352</v>
      </c>
      <c r="K16" s="2" t="s">
        <v>339</v>
      </c>
    </row>
    <row r="17" spans="2:12" s="2" customFormat="1" ht="67.5">
      <c r="B17" s="8" t="s">
        <v>337</v>
      </c>
      <c r="C17" s="9" t="s">
        <v>44</v>
      </c>
      <c r="D17" s="10" t="s">
        <v>51</v>
      </c>
      <c r="E17" s="10" t="s">
        <v>30</v>
      </c>
      <c r="F17" s="9" t="s">
        <v>323</v>
      </c>
      <c r="G17" s="11">
        <v>5.6</v>
      </c>
      <c r="H17" s="9" t="s">
        <v>73</v>
      </c>
      <c r="I17" s="16" t="s">
        <v>354</v>
      </c>
    </row>
    <row r="18" spans="2:12" s="2" customFormat="1" ht="27">
      <c r="B18" s="8" t="s">
        <v>337</v>
      </c>
      <c r="C18" s="9" t="s">
        <v>28</v>
      </c>
      <c r="D18" s="10" t="s">
        <v>31</v>
      </c>
      <c r="E18" s="10" t="s">
        <v>34</v>
      </c>
      <c r="F18" s="9" t="s">
        <v>37</v>
      </c>
      <c r="G18" s="11">
        <v>2.6</v>
      </c>
      <c r="H18" s="9" t="s">
        <v>76</v>
      </c>
      <c r="I18" s="16" t="s">
        <v>343</v>
      </c>
    </row>
    <row r="19" spans="2:12" s="2" customFormat="1" ht="54">
      <c r="B19" s="8" t="s">
        <v>337</v>
      </c>
      <c r="C19" s="9" t="s">
        <v>43</v>
      </c>
      <c r="D19" s="10" t="s">
        <v>47</v>
      </c>
      <c r="E19" s="10" t="s">
        <v>30</v>
      </c>
      <c r="F19" s="9" t="s">
        <v>332</v>
      </c>
      <c r="G19" s="11">
        <v>0.7</v>
      </c>
      <c r="H19" s="9" t="s">
        <v>27</v>
      </c>
      <c r="I19" s="16" t="s">
        <v>357</v>
      </c>
    </row>
    <row r="20" spans="2:12" s="2" customFormat="1" ht="54">
      <c r="B20" s="8" t="s">
        <v>337</v>
      </c>
      <c r="C20" s="9" t="s">
        <v>43</v>
      </c>
      <c r="D20" s="10" t="s">
        <v>49</v>
      </c>
      <c r="E20" s="10" t="s">
        <v>30</v>
      </c>
      <c r="F20" s="9" t="s">
        <v>332</v>
      </c>
      <c r="G20" s="11">
        <v>0.8</v>
      </c>
      <c r="H20" s="9" t="s">
        <v>27</v>
      </c>
      <c r="I20" s="16" t="s">
        <v>356</v>
      </c>
    </row>
    <row r="21" spans="2:12" s="2" customFormat="1" ht="54">
      <c r="B21" s="8" t="s">
        <v>337</v>
      </c>
      <c r="C21" s="9" t="s">
        <v>43</v>
      </c>
      <c r="D21" s="10" t="s">
        <v>57</v>
      </c>
      <c r="E21" s="10" t="s">
        <v>30</v>
      </c>
      <c r="F21" s="9" t="s">
        <v>332</v>
      </c>
      <c r="G21" s="11">
        <v>0.9</v>
      </c>
      <c r="H21" s="9" t="s">
        <v>27</v>
      </c>
      <c r="I21" s="16" t="s">
        <v>358</v>
      </c>
    </row>
    <row r="22" spans="2:12" s="2" customFormat="1" ht="54">
      <c r="B22" s="8" t="s">
        <v>337</v>
      </c>
      <c r="C22" s="9" t="s">
        <v>43</v>
      </c>
      <c r="D22" s="10" t="s">
        <v>50</v>
      </c>
      <c r="E22" s="10" t="s">
        <v>30</v>
      </c>
      <c r="F22" s="9" t="s">
        <v>332</v>
      </c>
      <c r="G22" s="11">
        <v>0.7</v>
      </c>
      <c r="H22" s="9" t="s">
        <v>27</v>
      </c>
      <c r="I22" s="16" t="s">
        <v>355</v>
      </c>
    </row>
    <row r="23" spans="2:12" s="2" customFormat="1" ht="27">
      <c r="B23" s="8" t="s">
        <v>337</v>
      </c>
      <c r="C23" s="9" t="s">
        <v>44</v>
      </c>
      <c r="D23" s="10" t="s">
        <v>51</v>
      </c>
      <c r="E23" s="10" t="s">
        <v>30</v>
      </c>
      <c r="F23" s="9" t="s">
        <v>323</v>
      </c>
      <c r="G23" s="11">
        <v>0.9</v>
      </c>
      <c r="H23" s="9" t="s">
        <v>73</v>
      </c>
      <c r="I23" s="16" t="s">
        <v>359</v>
      </c>
      <c r="L23" s="75"/>
    </row>
    <row r="24" spans="2:12" s="2" customFormat="1" ht="27">
      <c r="B24" s="8" t="s">
        <v>337</v>
      </c>
      <c r="C24" s="9" t="s">
        <v>44</v>
      </c>
      <c r="D24" s="10" t="s">
        <v>51</v>
      </c>
      <c r="E24" s="10" t="s">
        <v>30</v>
      </c>
      <c r="F24" s="9" t="s">
        <v>323</v>
      </c>
      <c r="G24" s="11">
        <v>4.8</v>
      </c>
      <c r="H24" s="9" t="s">
        <v>73</v>
      </c>
      <c r="I24" s="16" t="s">
        <v>344</v>
      </c>
    </row>
    <row r="25" spans="2:12" s="2" customFormat="1" ht="27">
      <c r="B25" s="8" t="s">
        <v>337</v>
      </c>
      <c r="C25" s="9" t="s">
        <v>28</v>
      </c>
      <c r="D25" s="10" t="s">
        <v>31</v>
      </c>
      <c r="E25" s="10" t="s">
        <v>33</v>
      </c>
      <c r="F25" s="9" t="s">
        <v>39</v>
      </c>
      <c r="G25" s="11">
        <v>1.5</v>
      </c>
      <c r="H25" s="9" t="s">
        <v>31</v>
      </c>
      <c r="I25" s="16" t="s">
        <v>340</v>
      </c>
    </row>
    <row r="26" spans="2:12" s="2" customFormat="1" ht="54">
      <c r="B26" s="8" t="s">
        <v>337</v>
      </c>
      <c r="C26" s="9" t="s">
        <v>43</v>
      </c>
      <c r="D26" s="10" t="s">
        <v>57</v>
      </c>
      <c r="E26" s="10" t="s">
        <v>30</v>
      </c>
      <c r="F26" s="9" t="s">
        <v>332</v>
      </c>
      <c r="G26" s="11">
        <v>1</v>
      </c>
      <c r="H26" s="9" t="s">
        <v>27</v>
      </c>
      <c r="I26" s="16" t="s">
        <v>360</v>
      </c>
    </row>
    <row r="27" spans="2:12" s="2" customFormat="1" ht="14.5" customHeight="1">
      <c r="B27" s="80" t="s">
        <v>32</v>
      </c>
      <c r="C27" s="81"/>
      <c r="D27" s="82"/>
      <c r="E27" s="12"/>
      <c r="F27" s="12"/>
      <c r="G27" s="83">
        <f>SUM(G6:G26)</f>
        <v>36.5</v>
      </c>
      <c r="H27" s="84"/>
      <c r="I27" s="85"/>
    </row>
    <row r="30" spans="2:12">
      <c r="B30" s="17" t="s">
        <v>81</v>
      </c>
      <c r="C30" s="18" t="s">
        <v>361</v>
      </c>
    </row>
    <row r="31" spans="2:12">
      <c r="C31" s="18" t="s">
        <v>342</v>
      </c>
    </row>
  </sheetData>
  <mergeCells count="4">
    <mergeCell ref="B1:I1"/>
    <mergeCell ref="B2:H2"/>
    <mergeCell ref="B27:D27"/>
    <mergeCell ref="G27:I27"/>
  </mergeCells>
  <phoneticPr fontId="10" type="noConversion"/>
  <dataValidations count="3">
    <dataValidation type="list" errorStyle="warning" allowBlank="1" sqref="C20:C26" xr:uid="{00000000-0002-0000-0000-000005000000}">
      <formula1>项目事项分类项目名称</formula1>
    </dataValidation>
    <dataValidation type="list" allowBlank="1" showInputMessage="1" showErrorMessage="1" sqref="H6:H26" xr:uid="{00000000-0002-0000-0000-000006000000}">
      <formula1>事项分类指定内容</formula1>
    </dataValidation>
    <dataValidation type="list" allowBlank="1" showInputMessage="1" showErrorMessage="1" sqref="F6:F26"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C6:C19</xm:sqref>
        </x14:dataValidation>
        <x14:dataValidation type="list" allowBlank="1" showInputMessage="1" showErrorMessage="1" promptTitle="Internal Client" xr:uid="{00000000-0002-0000-0000-000004000000}">
          <x14:formula1>
            <xm:f>'Exhibit II - Internal Client'!$A$1:$A$20</xm:f>
          </x14:formula1>
          <xm:sqref>D6:D26</xm:sqref>
        </x14:dataValidation>
        <x14:dataValidation type="list" allowBlank="1" showInputMessage="1" showErrorMessage="1" xr:uid="{00000000-0002-0000-0000-000007000000}">
          <x14:formula1>
            <xm:f>Tag!$B$2:$E$2</xm:f>
          </x14:formula1>
          <xm:sqref>E6:E26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2025-09-05T02:25:04Z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