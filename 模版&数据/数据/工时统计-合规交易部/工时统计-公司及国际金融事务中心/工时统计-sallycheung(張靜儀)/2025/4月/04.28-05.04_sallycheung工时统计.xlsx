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ally\"/>
    </mc:Choice>
  </mc:AlternateContent>
  <xr:revisionPtr revIDLastSave="0" documentId="13_ncr:1_{D42C49BC-D0ED-482B-B085-67BB6A3EFD86}"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<sst xmlns="http://schemas.openxmlformats.org/spreadsheetml/2006/main" count="582" uniqueCount="363">
  <si>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</si>
  <si>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</si>
  <si>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</si>
  <si>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</si>
  <si>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</si>
  <si>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</si>
  <si>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</si>
  <si>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</si>
  <si>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</si>
  <si>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</si>
  <si>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</si>
  <si>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</si>
  <si>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</si>
  <si>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</si>
  <si>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</si>
  <si>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</si>
  <si>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</si>
  <si>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</si>
  <si>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</si>
  <si>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</si>
  <si>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</si>
  <si>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</si>
  <si>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</si>
  <si>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</si>
  <si>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</si>
  <si>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</si>
  <si>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</si>
  <si>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</si>
  <si>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</si>
  <si>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</si>
  <si>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</si>
  <si>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</si>
  <si>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</si>
  <si>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</si>
  <si>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</si>
  <si>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</si>
  <si>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</si>
  <si>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</si>
  <si>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</si>
  <si>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</si>
  <si>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</si>
  <si>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</si>
  <si>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</si>
  <si>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</si>
  <si>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</si>
  <si>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</si>
  <si>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</si>
  <si>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</si>
  <si>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</si>
  <si>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</si>
  <si>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</si>
  <si>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</si>
  <si>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</si>
  <si>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</si>
  <si>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</si>
  <si>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</si>
  <si>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</si>
  <si>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</si>
  <si>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</si>
  <si>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</si>
  <si>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</si>
  <si>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</si>
  <si>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</si>
  <si>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</si>
  <si>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</si>
  <si>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</si>
  <si>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</si>
  <si>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</si>
  <si>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</si>
  <si>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</si>
  <si>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</si>
  <si>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</si>
  <si>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</si>
  <si>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</si>
  <si>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</si>
  <si>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</si>
  <si>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</si>
  <si>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</si>
  <si>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</si>
  <si>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</si>
  <si>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</si>
  <si>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</si>
  <si>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</si>
  <si>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</si>
  <si>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</si>
  <si>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</si>
  <si>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</si>
  <si>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</si>
  <si>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</si>
  <si>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</si>
  <si>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</si>
  <si>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</si>
  <si>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</si>
  <si>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</si>
  <si>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</si>
  <si>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</si>
  <si>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</si>
  <si>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</si>
  <si>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</si>
  <si>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</si>
  <si>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</si>
  <si>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</si>
  <si>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</si>
  <si>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</si>
  <si>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</si>
  <si>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</si>
  <si>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</si>
  <si>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</si>
  <si>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</si>
  <si>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</si>
  <si>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</si>
  <si>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</si>
  <si>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</si>
  <si>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</si>
  <si>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</si>
  <si>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</si>
  <si>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</si>
  <si>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</si>
  <si>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</si>
  <si>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</si>
  <si>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</si>
  <si>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</si>
  <si>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</si>
  <si>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</si>
  <si>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</si>
  <si>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</si>
  <si>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</si>
  <si>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</si>
  <si>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</si>
  <si>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</si>
  <si>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</si>
  <si>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</si>
  <si>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</si>
  <si>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</si>
  <si>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</si>
  <si>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</si>
  <si>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</si>
  <si>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</si>
  <si>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</si>
  <si>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</si>
  <si>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</si>
  <si>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</si>
  <si>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</si>
  <si>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</si>
  <si>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</si>
  <si>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</si>
  <si>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</si>
  <si>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</si>
  <si>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</si>
  <si>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</si>
  <si>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</si>
  <si>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</si>
  <si>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</si>
  <si>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</si>
  <si>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</si>
  <si>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</si>
  <si>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</si>
  <si>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</si>
  <si>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</si>
  <si>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</si>
  <si>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</si>
  <si>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</si>
  <si>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</si>
  <si>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</si>
  <si>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</si>
  <si>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</si>
  <si>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</si>
  <si>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</si>
  <si>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</si>
  <si>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</si>
  <si>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</si>
  <si>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</si>
  <si>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</si>
  <si>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</si>
  <si>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</si>
  <si>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</si>
  <si>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</si>
  <si>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</si>
  <si>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</si>
  <si>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</si>
  <si>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</si>
  <si>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</si>
  <si>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</si>
  <si>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</si>
  <si>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</si>
  <si>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</si>
  <si>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</si>
  <si>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</si>
  <si>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</si>
  <si>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</si>
  <si>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</si>
  <si>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</si>
  <si>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</si>
  <si>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</si>
  <si>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</si>
  <si>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</si>
  <si>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</si>
  <si>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</si>
  <si>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</si>
  <si>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</si>
  <si>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</si>
  <si>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</si>
  <si>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</si>
  <si>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</si>
  <si>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</si>
  <si>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</si>
  <si>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</si>
  <si>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</si>
  <si>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</si>
  <si>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</si>
  <si>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</si>
  <si>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</si>
  <si>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</si>
  <si>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</si>
  <si>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</si>
  <si>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</si>
  <si>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</si>
  <si>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</si>
  <si>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</si>
  <si>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</si>
  <si>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</si>
  <si>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</si>
  <si>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</si>
  <si>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</si>
  <si>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</si>
  <si>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</si>
  <si>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</si>
  <si>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</si>
  <si>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</si>
  <si>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</si>
  <si>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</si>
  <si>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</si>
  <si>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</si>
  <si>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</si>
  <si>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</si>
  <si>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</si>
  <si>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</si>
  <si>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</si>
  <si>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</si>
  <si>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</si>
  <si>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</si>
  <si>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</si>
  <si>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</si>
  <si>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</si>
  <si>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</si>
  <si>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</si>
  <si>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</si>
  <si>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</si>
  <si>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</si>
  <si>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</si>
  <si>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</si>
  <si>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</si>
  <si>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</si>
  <si>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</si>
  <si>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</si>
  <si>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</si>
  <si>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</si>
  <si>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</si>
  <si>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</si>
  <si>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</si>
  <si>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</si>
  <si>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</si>
  <si>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</si>
  <si>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</si>
  <si>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</si>
  <si>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</si>
  <si>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</si>
  <si>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</si>
  <si>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</si>
  <si>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</si>
  <si>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</si>
  <si>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</si>
  <si>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</si>
  <si>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</si>
  <si>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</si>
  <si>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</si>
  <si>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</si>
  <si>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</si>
  <si>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</si>
  <si>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</si>
  <si>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</si>
  <si>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</si>
  <si>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</si>
  <si>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</si>
  <si>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</si>
  <si>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</si>
  <si>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</si>
  <si>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</si>
  <si>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</si>
  <si>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</si>
  <si>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</si>
  <si>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</si>
  <si>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</si>
  <si>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</si>
  <si>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</si>
  <si>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</si>
  <si>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</si>
  <si>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</si>
  <si>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</si>
  <si>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</si>
  <si>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</si>
  <si>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</si>
  <si>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</si>
  <si>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</si>
  <si>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</si>
  <si>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</si>
  <si>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</si>
  <si>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</si>
  <si>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</si>
  <si>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</si>
  <si>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</si>
  <si>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</si>
  <si>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</si>
  <si>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</si>
  <si>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</si>
  <si>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</si>
  <si>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</si>
  <si>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</si>
  <si>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</si>
  <si>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</si>
  <si>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</si>
  <si>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</si>
  <si>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</si>
  <si>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</si>
  <si>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</si>
  <si>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</si>
  <si>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</si>
  <si>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</si>
  <si>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</si>
  <si>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</si>
  <si>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</si>
  <si>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</si>
  <si>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</si>
  <si>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</si>
  <si>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</si>
  <si>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</si>
  <si>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</si>
  <si>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</si>
  <si>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</si>
  <si>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 xml:space="preserve"> </t>
  </si>
  <si>
    <t>billings</t>
  </si>
  <si>
    <t xml:space="preserve">AL/SL/Other Leave on </t>
  </si>
  <si>
    <t>Timesheets  and Imanage</t>
  </si>
  <si>
    <t>review and revise the confirmation deeds, review and provide thoughts on sanctions analysis, approve Visa agreement, draft prepayment notices for IEGG loans</t>
  </si>
  <si>
    <t>discuss with Yuntong</t>
  </si>
  <si>
    <t xml:space="preserve">arranging corporate meeting, billings, </t>
  </si>
  <si>
    <t>Prosus update of OC</t>
  </si>
  <si>
    <t>discuss with comsec re. KYC requirement</t>
  </si>
  <si>
    <t>discuss with Queenie, email to Naspers</t>
  </si>
  <si>
    <t>discuss with internal teams on HKMA submissions, obtain original FS, confirmation letters drafts, liaise with Frank re. signing of Rep letter</t>
  </si>
  <si>
    <t>draft prepayment notices, discuss with Vik and Jasmine on the prepay logistics</t>
  </si>
  <si>
    <t>discussions with Stephen re. account opening of securities account, reviewed analysis for sufficiency of consideration if debt novated for "other reserves", consider distribution in excess of retained earnings, liaise with Xiaohan re. Gfund entities</t>
  </si>
  <si>
    <t>Public Holiday on 1/5</t>
  </si>
  <si>
    <t>review revised BR and account mandate</t>
  </si>
  <si>
    <t>discuss with Chengyang</t>
  </si>
  <si>
    <t>updated director lists, liaising with Queenie, completing the relevant forms, advising on resignation, liaising with Marianne</t>
  </si>
  <si>
    <t>review comsec documents</t>
  </si>
  <si>
    <t>discuss with Stephen re. finance POAs required, BR etc, discuss and review messages re. Bahrain audit requirements</t>
  </si>
  <si>
    <t>review contract for admin/procurement team, discuss amendments with Silvia</t>
  </si>
  <si>
    <t>discussion with IEGG team re. loan terms, handling invoices for the Concerto releases</t>
  </si>
  <si>
    <t>discuss with Iris on Bahrain audit requirements, respond to LT, review confirmation letter between Aceville and TC, revise amendment agreement</t>
  </si>
  <si>
    <t>email to Marianne re. IA's requests, discuss with Queenie, call with HKIA, update forms with passport numbers, further change to the board of Naspers and Prosus</t>
  </si>
  <si>
    <r>
      <t>Date: 2025</t>
    </r>
    <r>
      <rPr>
        <b/>
        <sz val="10"/>
        <color theme="0"/>
        <rFont val="等线"/>
        <charset val="134"/>
      </rPr>
      <t xml:space="preserve"> - </t>
    </r>
    <r>
      <rPr>
        <b/>
        <sz val="10"/>
        <color theme="0"/>
        <rFont val="新細明體"/>
        <family val="1"/>
        <charset val="136"/>
      </rPr>
      <t xml:space="preserve">04 </t>
    </r>
    <r>
      <rPr>
        <b/>
        <sz val="10"/>
        <color theme="0"/>
        <rFont val="等线"/>
        <charset val="134"/>
      </rPr>
      <t>-</t>
    </r>
    <r>
      <rPr>
        <b/>
        <sz val="10"/>
        <color theme="0"/>
        <rFont val="新細明體"/>
        <family val="1"/>
        <charset val="136"/>
      </rPr>
      <t xml:space="preserve"> 28 - </t>
    </r>
    <r>
      <rPr>
        <b/>
        <sz val="10"/>
        <color theme="0"/>
        <rFont val="新細明體"/>
        <family val="2"/>
        <scheme val="minor"/>
      </rPr>
      <t>2025 - 05 - 04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</si>
</sst>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
  <sheetViews>
    <sheetView tabSelected="1" topLeftCell="A5" zoomScale="80" zoomScaleNormal="80" workbookViewId="0">
      <selection activeCell="K10" sqref="K1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11" ht="17">
      <c r="B1" s="76" t="s">
        <v>0</v>
      </c>
      <c r="C1" s="77"/>
      <c r="D1" s="77"/>
      <c r="E1" s="77"/>
      <c r="F1" s="77"/>
      <c r="G1" s="77"/>
      <c r="H1" s="77"/>
      <c r="I1" s="77"/>
    </row>
    <row r="2" spans="1:11" ht="17">
      <c r="B2" s="78"/>
      <c r="C2" s="79"/>
      <c r="D2" s="79"/>
      <c r="E2" s="79"/>
      <c r="F2" s="79"/>
      <c r="G2" s="79"/>
      <c r="H2" s="79"/>
      <c r="I2" s="13" t="s">
        <v>362</v>
      </c>
    </row>
    <row r="3" spans="1:11">
      <c r="B3" s="3" t="s">
        <v>1</v>
      </c>
      <c r="C3" s="4" t="s">
        <v>2</v>
      </c>
      <c r="D3" s="4" t="s">
        <v>3</v>
      </c>
      <c r="E3" s="4" t="s">
        <v>4</v>
      </c>
      <c r="F3" s="4" t="s">
        <v>5</v>
      </c>
      <c r="G3" s="4" t="s">
        <v>6</v>
      </c>
      <c r="H3" s="4" t="s">
        <v>7</v>
      </c>
      <c r="I3" s="14" t="s">
        <v>8</v>
      </c>
    </row>
    <row r="4" spans="1:11">
      <c r="B4" s="3"/>
      <c r="C4" s="4"/>
      <c r="D4" s="4"/>
      <c r="E4" s="4"/>
      <c r="F4" s="4"/>
      <c r="G4" s="4"/>
      <c r="H4" s="4"/>
      <c r="I4" s="14"/>
    </row>
    <row r="5" spans="1:11" s="2" customFormat="1" ht="165.5" customHeight="1">
      <c r="A5" s="5" t="s">
        <v>9</v>
      </c>
      <c r="B5" s="6" t="s">
        <v>10</v>
      </c>
      <c r="C5" s="7" t="s">
        <v>11</v>
      </c>
      <c r="D5" s="7" t="s">
        <v>12</v>
      </c>
      <c r="E5" s="7" t="s">
        <v>322</v>
      </c>
      <c r="F5" s="7" t="s">
        <v>13</v>
      </c>
      <c r="G5" s="7" t="s">
        <v>14</v>
      </c>
      <c r="H5" s="7" t="s">
        <v>15</v>
      </c>
      <c r="I5" s="15" t="s">
        <v>16</v>
      </c>
    </row>
    <row r="6" spans="1:11" s="2" customFormat="1" ht="40.5">
      <c r="B6" s="8" t="s">
        <v>337</v>
      </c>
      <c r="C6" s="9" t="s">
        <v>44</v>
      </c>
      <c r="D6" s="10" t="s">
        <v>51</v>
      </c>
      <c r="E6" s="10" t="s">
        <v>30</v>
      </c>
      <c r="F6" s="9" t="s">
        <v>323</v>
      </c>
      <c r="G6" s="11">
        <v>5.2</v>
      </c>
      <c r="H6" s="9" t="s">
        <v>73</v>
      </c>
      <c r="I6" s="16" t="s">
        <v>343</v>
      </c>
    </row>
    <row r="7" spans="1:11" s="2" customFormat="1" ht="13.5">
      <c r="B7" s="8" t="s">
        <v>337</v>
      </c>
      <c r="C7" s="9" t="s">
        <v>28</v>
      </c>
      <c r="D7" s="10" t="s">
        <v>31</v>
      </c>
      <c r="E7" s="10" t="s">
        <v>34</v>
      </c>
      <c r="F7" s="9" t="s">
        <v>42</v>
      </c>
      <c r="G7" s="11">
        <v>0.2</v>
      </c>
      <c r="H7" s="9" t="s">
        <v>31</v>
      </c>
      <c r="I7" s="16" t="s">
        <v>340</v>
      </c>
    </row>
    <row r="8" spans="1:11" s="2" customFormat="1" ht="54">
      <c r="B8" s="8" t="s">
        <v>337</v>
      </c>
      <c r="C8" s="9" t="s">
        <v>43</v>
      </c>
      <c r="D8" s="10" t="s">
        <v>57</v>
      </c>
      <c r="E8" s="10" t="s">
        <v>30</v>
      </c>
      <c r="F8" s="9" t="s">
        <v>332</v>
      </c>
      <c r="G8" s="11">
        <v>0.5</v>
      </c>
      <c r="H8" s="9" t="s">
        <v>27</v>
      </c>
      <c r="I8" s="16" t="s">
        <v>344</v>
      </c>
    </row>
    <row r="9" spans="1:11" s="2" customFormat="1" ht="27">
      <c r="B9" s="8" t="s">
        <v>337</v>
      </c>
      <c r="C9" s="9" t="s">
        <v>44</v>
      </c>
      <c r="D9" s="10" t="s">
        <v>51</v>
      </c>
      <c r="E9" s="10" t="s">
        <v>30</v>
      </c>
      <c r="F9" s="9" t="s">
        <v>323</v>
      </c>
      <c r="G9" s="11">
        <v>0.8</v>
      </c>
      <c r="H9" s="9" t="s">
        <v>73</v>
      </c>
      <c r="I9" s="16" t="s">
        <v>350</v>
      </c>
    </row>
    <row r="10" spans="1:11" s="2" customFormat="1" ht="40.5">
      <c r="B10" s="8" t="s">
        <v>337</v>
      </c>
      <c r="C10" s="9" t="s">
        <v>22</v>
      </c>
      <c r="D10" s="10" t="s">
        <v>60</v>
      </c>
      <c r="E10" s="10" t="s">
        <v>30</v>
      </c>
      <c r="F10" s="9" t="s">
        <v>335</v>
      </c>
      <c r="G10" s="11">
        <v>3.1</v>
      </c>
      <c r="H10" s="9" t="s">
        <v>27</v>
      </c>
      <c r="I10" s="16" t="s">
        <v>349</v>
      </c>
    </row>
    <row r="11" spans="1:11" s="2" customFormat="1" ht="54">
      <c r="B11" s="8" t="s">
        <v>337</v>
      </c>
      <c r="C11" s="9" t="s">
        <v>43</v>
      </c>
      <c r="D11" s="10" t="s">
        <v>46</v>
      </c>
      <c r="E11" s="10" t="s">
        <v>30</v>
      </c>
      <c r="F11" s="9" t="s">
        <v>332</v>
      </c>
      <c r="G11" s="11">
        <v>0.3</v>
      </c>
      <c r="H11" s="9" t="s">
        <v>27</v>
      </c>
      <c r="I11" s="16" t="s">
        <v>347</v>
      </c>
    </row>
    <row r="12" spans="1:11" s="2" customFormat="1" ht="40.5">
      <c r="B12" s="8" t="s">
        <v>337</v>
      </c>
      <c r="C12" s="9" t="s">
        <v>22</v>
      </c>
      <c r="D12" s="10" t="s">
        <v>61</v>
      </c>
      <c r="E12" s="10" t="s">
        <v>30</v>
      </c>
      <c r="F12" s="9" t="s">
        <v>335</v>
      </c>
      <c r="G12" s="11">
        <v>0.4</v>
      </c>
      <c r="H12" s="9" t="s">
        <v>27</v>
      </c>
      <c r="I12" s="16" t="s">
        <v>348</v>
      </c>
    </row>
    <row r="13" spans="1:11" s="2" customFormat="1" ht="67.5">
      <c r="B13" s="8" t="s">
        <v>337</v>
      </c>
      <c r="C13" s="9" t="s">
        <v>43</v>
      </c>
      <c r="D13" s="10" t="s">
        <v>57</v>
      </c>
      <c r="E13" s="10" t="s">
        <v>30</v>
      </c>
      <c r="F13" s="9" t="s">
        <v>332</v>
      </c>
      <c r="G13" s="11">
        <v>2.7</v>
      </c>
      <c r="H13" s="9" t="s">
        <v>27</v>
      </c>
      <c r="I13" s="16" t="s">
        <v>351</v>
      </c>
      <c r="K13" s="2" t="s">
        <v>339</v>
      </c>
    </row>
    <row r="14" spans="1:11" s="2" customFormat="1" ht="54">
      <c r="B14" s="8" t="s">
        <v>337</v>
      </c>
      <c r="C14" s="9" t="s">
        <v>43</v>
      </c>
      <c r="D14" s="10" t="s">
        <v>18</v>
      </c>
      <c r="E14" s="10" t="s">
        <v>30</v>
      </c>
      <c r="F14" s="9" t="s">
        <v>332</v>
      </c>
      <c r="G14" s="11">
        <v>3.7</v>
      </c>
      <c r="H14" s="9" t="s">
        <v>73</v>
      </c>
      <c r="I14" s="16" t="s">
        <v>346</v>
      </c>
    </row>
    <row r="15" spans="1:11" s="2" customFormat="1" ht="13.5">
      <c r="B15" s="8" t="s">
        <v>337</v>
      </c>
      <c r="C15" s="9" t="s">
        <v>28</v>
      </c>
      <c r="D15" s="10" t="s">
        <v>31</v>
      </c>
      <c r="E15" s="10" t="s">
        <v>34</v>
      </c>
      <c r="F15" s="9" t="s">
        <v>42</v>
      </c>
      <c r="G15" s="11">
        <v>0.7</v>
      </c>
      <c r="H15" s="9" t="s">
        <v>31</v>
      </c>
      <c r="I15" s="16" t="s">
        <v>345</v>
      </c>
    </row>
    <row r="16" spans="1:11" s="2" customFormat="1" ht="54">
      <c r="B16" s="8" t="s">
        <v>337</v>
      </c>
      <c r="C16" s="9" t="s">
        <v>43</v>
      </c>
      <c r="D16" s="10" t="s">
        <v>47</v>
      </c>
      <c r="E16" s="10" t="s">
        <v>30</v>
      </c>
      <c r="F16" s="9" t="s">
        <v>332</v>
      </c>
      <c r="G16" s="11">
        <v>0.6</v>
      </c>
      <c r="H16" s="9" t="s">
        <v>73</v>
      </c>
      <c r="I16" s="16" t="s">
        <v>353</v>
      </c>
    </row>
    <row r="17" spans="2:11" s="2" customFormat="1" ht="40.5">
      <c r="B17" s="8" t="s">
        <v>337</v>
      </c>
      <c r="C17" s="9" t="s">
        <v>22</v>
      </c>
      <c r="D17" s="10" t="s">
        <v>61</v>
      </c>
      <c r="E17" s="10" t="s">
        <v>30</v>
      </c>
      <c r="F17" s="9" t="s">
        <v>335</v>
      </c>
      <c r="G17" s="11">
        <v>3.1</v>
      </c>
      <c r="H17" s="9" t="s">
        <v>27</v>
      </c>
      <c r="I17" s="16" t="s">
        <v>355</v>
      </c>
    </row>
    <row r="18" spans="2:11" s="2" customFormat="1" ht="40.5">
      <c r="B18" s="8" t="s">
        <v>337</v>
      </c>
      <c r="C18" s="9" t="s">
        <v>43</v>
      </c>
      <c r="D18" s="10" t="s">
        <v>60</v>
      </c>
      <c r="E18" s="10" t="s">
        <v>30</v>
      </c>
      <c r="F18" s="9" t="s">
        <v>335</v>
      </c>
      <c r="G18" s="11">
        <v>0.2</v>
      </c>
      <c r="H18" s="9" t="s">
        <v>27</v>
      </c>
      <c r="I18" s="16" t="s">
        <v>354</v>
      </c>
    </row>
    <row r="19" spans="2:11" s="2" customFormat="1" ht="54">
      <c r="B19" s="8" t="s">
        <v>337</v>
      </c>
      <c r="C19" s="9" t="s">
        <v>43</v>
      </c>
      <c r="D19" s="10" t="s">
        <v>47</v>
      </c>
      <c r="E19" s="10" t="s">
        <v>30</v>
      </c>
      <c r="F19" s="9" t="s">
        <v>332</v>
      </c>
      <c r="G19" s="11">
        <v>0.6</v>
      </c>
      <c r="H19" s="9" t="s">
        <v>73</v>
      </c>
      <c r="I19" s="16" t="s">
        <v>356</v>
      </c>
    </row>
    <row r="20" spans="2:11" s="2" customFormat="1" ht="54">
      <c r="B20" s="8" t="s">
        <v>337</v>
      </c>
      <c r="C20" s="9" t="s">
        <v>43</v>
      </c>
      <c r="D20" s="10" t="s">
        <v>57</v>
      </c>
      <c r="E20" s="10" t="s">
        <v>30</v>
      </c>
      <c r="F20" s="9" t="s">
        <v>332</v>
      </c>
      <c r="G20" s="11">
        <v>1.5</v>
      </c>
      <c r="H20" s="9" t="s">
        <v>27</v>
      </c>
      <c r="I20" s="16" t="s">
        <v>357</v>
      </c>
    </row>
    <row r="21" spans="2:11" s="2" customFormat="1" ht="54">
      <c r="B21" s="8" t="s">
        <v>337</v>
      </c>
      <c r="C21" s="9" t="s">
        <v>43</v>
      </c>
      <c r="D21" s="10" t="s">
        <v>61</v>
      </c>
      <c r="E21" s="10" t="s">
        <v>30</v>
      </c>
      <c r="F21" s="9" t="s">
        <v>335</v>
      </c>
      <c r="G21" s="11">
        <v>1.8</v>
      </c>
      <c r="H21" s="9" t="s">
        <v>27</v>
      </c>
      <c r="I21" s="16" t="s">
        <v>361</v>
      </c>
    </row>
    <row r="22" spans="2:11" s="2" customFormat="1" ht="27">
      <c r="B22" s="8" t="s">
        <v>337</v>
      </c>
      <c r="C22" s="9" t="s">
        <v>44</v>
      </c>
      <c r="D22" s="10" t="s">
        <v>51</v>
      </c>
      <c r="E22" s="10" t="s">
        <v>30</v>
      </c>
      <c r="F22" s="9" t="s">
        <v>323</v>
      </c>
      <c r="G22" s="11">
        <v>0.8</v>
      </c>
      <c r="H22" s="9" t="s">
        <v>27</v>
      </c>
      <c r="I22" s="16" t="s">
        <v>359</v>
      </c>
    </row>
    <row r="23" spans="2:11" s="2" customFormat="1" ht="54">
      <c r="B23" s="8" t="s">
        <v>337</v>
      </c>
      <c r="C23" s="9" t="s">
        <v>43</v>
      </c>
      <c r="D23" s="10" t="s">
        <v>57</v>
      </c>
      <c r="E23" s="10" t="s">
        <v>30</v>
      </c>
      <c r="F23" s="9" t="s">
        <v>332</v>
      </c>
      <c r="G23" s="11">
        <v>1.6</v>
      </c>
      <c r="H23" s="9" t="s">
        <v>27</v>
      </c>
      <c r="I23" s="16" t="s">
        <v>360</v>
      </c>
    </row>
    <row r="24" spans="2:11" s="2" customFormat="1" ht="54">
      <c r="B24" s="8" t="s">
        <v>337</v>
      </c>
      <c r="C24" s="9" t="s">
        <v>43</v>
      </c>
      <c r="D24" s="10" t="s">
        <v>49</v>
      </c>
      <c r="E24" s="10" t="s">
        <v>30</v>
      </c>
      <c r="F24" s="9" t="s">
        <v>332</v>
      </c>
      <c r="G24" s="11">
        <v>0.4</v>
      </c>
      <c r="H24" s="9" t="s">
        <v>27</v>
      </c>
      <c r="I24" s="16" t="s">
        <v>358</v>
      </c>
    </row>
    <row r="25" spans="2:11" s="2" customFormat="1" ht="27">
      <c r="B25" s="8" t="s">
        <v>337</v>
      </c>
      <c r="C25" s="9" t="s">
        <v>28</v>
      </c>
      <c r="D25" s="10" t="s">
        <v>31</v>
      </c>
      <c r="E25" s="10" t="s">
        <v>33</v>
      </c>
      <c r="F25" s="9" t="s">
        <v>39</v>
      </c>
      <c r="G25" s="11">
        <v>1.5</v>
      </c>
      <c r="H25" s="9" t="s">
        <v>31</v>
      </c>
      <c r="I25" s="16" t="s">
        <v>342</v>
      </c>
    </row>
    <row r="26" spans="2:11" s="2" customFormat="1" ht="13.5">
      <c r="B26" s="8"/>
      <c r="C26" s="9" t="s">
        <v>28</v>
      </c>
      <c r="D26" s="10"/>
      <c r="E26" s="10"/>
      <c r="F26" s="9"/>
      <c r="G26" s="11"/>
      <c r="H26" s="9"/>
      <c r="I26" s="16"/>
    </row>
    <row r="27" spans="2:11" s="2" customFormat="1" ht="13.5">
      <c r="B27" s="8"/>
      <c r="C27" s="9"/>
      <c r="D27" s="10"/>
      <c r="E27" s="10"/>
      <c r="F27" s="9"/>
      <c r="G27" s="11"/>
      <c r="H27" s="9"/>
      <c r="I27" s="16"/>
      <c r="K27" s="75"/>
    </row>
    <row r="28" spans="2:11" s="2" customFormat="1" ht="14.5" customHeight="1">
      <c r="B28" s="80" t="s">
        <v>32</v>
      </c>
      <c r="C28" s="81"/>
      <c r="D28" s="82"/>
      <c r="E28" s="12"/>
      <c r="F28" s="12"/>
      <c r="G28" s="83">
        <f>SUM(G6:G27)</f>
        <v>29.700000000000006</v>
      </c>
      <c r="H28" s="84"/>
      <c r="I28" s="85"/>
    </row>
    <row r="31" spans="2:11">
      <c r="B31" s="17" t="s">
        <v>81</v>
      </c>
      <c r="C31" s="18" t="s">
        <v>341</v>
      </c>
    </row>
    <row r="32" spans="2:11">
      <c r="C32" s="18" t="s">
        <v>352</v>
      </c>
    </row>
  </sheetData>
  <mergeCells count="4">
    <mergeCell ref="B1:I1"/>
    <mergeCell ref="B2:H2"/>
    <mergeCell ref="B28:D28"/>
    <mergeCell ref="G28:I28"/>
  </mergeCells>
  <phoneticPr fontId="10" type="noConversion"/>
  <dataValidations count="3">
    <dataValidation type="list" errorStyle="warning" allowBlank="1" sqref="C15:C27" xr:uid="{00000000-0002-0000-0000-000005000000}">
      <formula1>项目事项分类项目名称</formula1>
    </dataValidation>
    <dataValidation type="list" allowBlank="1" showInputMessage="1" showErrorMessage="1" sqref="F6:F27" xr:uid="{00000000-0002-0000-0000-000002000000}">
      <formula1>INDIRECT($E6)</formula1>
    </dataValidation>
    <dataValidation type="list" allowBlank="1" showInputMessage="1" showErrorMessage="1" sqref="H6:H27"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C6:C14</xm:sqref>
        </x14:dataValidation>
        <x14:dataValidation type="list" allowBlank="1" showInputMessage="1" showErrorMessage="1" promptTitle="Internal Client" xr:uid="{00000000-0002-0000-0000-000004000000}">
          <x14:formula1>
            <xm:f>'Exhibit II - Internal Client'!$A$1:$A$20</xm:f>
          </x14:formula1>
          <xm:sqref>D6:D27</xm:sqref>
        </x14:dataValidation>
        <x14:dataValidation type="list" allowBlank="1" showInputMessage="1" showErrorMessage="1" xr:uid="{00000000-0002-0000-0000-000007000000}">
          <x14:formula1>
            <xm:f>Tag!$B$2:$E$2</xm:f>
          </x14:formula1>
          <xm:sqref>E6:E27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201.5"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17"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63.5"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170.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10"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39.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2025-05-08T03:59:29Z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