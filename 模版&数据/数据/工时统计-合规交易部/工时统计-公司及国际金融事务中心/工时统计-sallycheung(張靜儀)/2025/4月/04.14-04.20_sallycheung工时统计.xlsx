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F86DB11E-0511-47EF-9B0D-236DB0AC963E}"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<sst xmlns="http://schemas.openxmlformats.org/spreadsheetml/2006/main" count="524" uniqueCount="354">
  <si>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</si>
  <si>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</si>
  <si>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</si>
  <si>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</si>
  <si>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</si>
  <si>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</si>
  <si>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</si>
  <si>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</si>
  <si>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</si>
  <si>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</si>
  <si>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</si>
  <si>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</si>
  <si>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</si>
  <si>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</si>
  <si>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</si>
  <si>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</si>
  <si>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</si>
  <si>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</si>
  <si>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</si>
  <si>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</si>
  <si>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</si>
  <si>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</si>
  <si>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</si>
  <si>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</si>
  <si>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</si>
  <si>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</si>
  <si>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</si>
  <si>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</si>
  <si>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</si>
  <si>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</si>
  <si>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</si>
  <si>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</si>
  <si>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</si>
  <si>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</si>
  <si>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</si>
  <si>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</si>
  <si>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</si>
  <si>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</si>
  <si>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</si>
  <si>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</si>
  <si>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</si>
  <si>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</si>
  <si>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</si>
  <si>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</si>
  <si>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</si>
  <si>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</si>
  <si>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</si>
  <si>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</si>
  <si>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</si>
  <si>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</si>
  <si>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</si>
  <si>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</si>
  <si>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</si>
  <si>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</si>
  <si>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</si>
  <si>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</si>
  <si>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</si>
  <si>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</si>
  <si>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</si>
  <si>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</si>
  <si>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</si>
  <si>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</si>
  <si>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</si>
  <si>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</si>
  <si>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</si>
  <si>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</si>
  <si>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</si>
  <si>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</si>
  <si>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</si>
  <si>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</si>
  <si>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</si>
  <si>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</si>
  <si>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</si>
  <si>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</si>
  <si>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</si>
  <si>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</si>
  <si>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</si>
  <si>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</si>
  <si>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</si>
  <si>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</si>
  <si>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</si>
  <si>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</si>
  <si>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</si>
  <si>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</si>
  <si>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</si>
  <si>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</si>
  <si>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</si>
  <si>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</si>
  <si>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</si>
  <si>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</si>
  <si>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</si>
  <si>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</si>
  <si>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</si>
  <si>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</si>
  <si>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</si>
  <si>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</si>
  <si>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</si>
  <si>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</si>
  <si>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</si>
  <si>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</si>
  <si>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</si>
  <si>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</si>
  <si>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</si>
  <si>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</si>
  <si>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</si>
  <si>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</si>
  <si>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</si>
  <si>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</si>
  <si>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</si>
  <si>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</si>
  <si>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</si>
  <si>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</si>
  <si>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</si>
  <si>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</si>
  <si>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</si>
  <si>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</si>
  <si>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</si>
  <si>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</si>
  <si>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</si>
  <si>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</si>
  <si>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</si>
  <si>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</si>
  <si>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</si>
  <si>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</si>
  <si>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</si>
  <si>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</si>
  <si>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</si>
  <si>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</si>
  <si>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</si>
  <si>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</si>
  <si>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</si>
  <si>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</si>
  <si>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</si>
  <si>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</si>
  <si>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</si>
  <si>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</si>
  <si>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</si>
  <si>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</si>
  <si>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</si>
  <si>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</si>
  <si>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</si>
  <si>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</si>
  <si>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</si>
  <si>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</si>
  <si>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</si>
  <si>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</si>
  <si>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</si>
  <si>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</si>
  <si>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</si>
  <si>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</si>
  <si>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</si>
  <si>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</si>
  <si>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</si>
  <si>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</si>
  <si>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</si>
  <si>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</si>
  <si>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</si>
  <si>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</si>
  <si>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</si>
  <si>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</si>
  <si>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</si>
  <si>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</si>
  <si>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</si>
  <si>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</si>
  <si>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</si>
  <si>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</si>
  <si>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</si>
  <si>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</si>
  <si>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</si>
  <si>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</si>
  <si>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</si>
  <si>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</si>
  <si>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</si>
  <si>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</si>
  <si>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</si>
  <si>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</si>
  <si>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</si>
  <si>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</si>
  <si>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</si>
  <si>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</si>
  <si>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</si>
  <si>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</si>
  <si>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</si>
  <si>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</si>
  <si>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</si>
  <si>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</si>
  <si>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</si>
  <si>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</si>
  <si>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</si>
  <si>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</si>
  <si>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</si>
  <si>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</si>
  <si>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</si>
  <si>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</si>
  <si>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</si>
  <si>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</si>
  <si>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</si>
  <si>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</si>
  <si>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</si>
  <si>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</si>
  <si>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</si>
  <si>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</si>
  <si>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</si>
  <si>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</si>
  <si>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</si>
  <si>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</si>
  <si>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</si>
  <si>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</si>
  <si>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</si>
  <si>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</si>
  <si>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</si>
  <si>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</si>
  <si>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</si>
  <si>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</si>
  <si>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</si>
  <si>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</si>
  <si>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</si>
  <si>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</si>
  <si>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</si>
  <si>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</si>
  <si>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</si>
  <si>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</si>
  <si>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</si>
  <si>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</si>
  <si>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</si>
  <si>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</si>
  <si>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</si>
  <si>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</si>
  <si>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</si>
  <si>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</si>
  <si>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</si>
  <si>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</si>
  <si>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</si>
  <si>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</si>
  <si>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</si>
  <si>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</si>
  <si>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</si>
  <si>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</si>
  <si>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</si>
  <si>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</si>
  <si>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</si>
  <si>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</si>
  <si>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</si>
  <si>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</si>
  <si>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</si>
  <si>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</si>
  <si>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</si>
  <si>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</si>
  <si>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</si>
  <si>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</si>
  <si>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</si>
  <si>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</si>
  <si>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</si>
  <si>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</si>
  <si>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</si>
  <si>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</si>
  <si>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</si>
  <si>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</si>
  <si>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</si>
  <si>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</si>
  <si>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</si>
  <si>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</si>
  <si>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</si>
  <si>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</si>
  <si>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</si>
  <si>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</si>
  <si>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</si>
  <si>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</si>
  <si>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</si>
  <si>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</si>
  <si>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</si>
  <si>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</si>
  <si>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</si>
  <si>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</si>
  <si>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</si>
  <si>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</si>
  <si>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</si>
  <si>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</si>
  <si>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</si>
  <si>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</si>
  <si>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</si>
  <si>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</si>
  <si>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</si>
  <si>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</si>
  <si>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</si>
  <si>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</si>
  <si>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</si>
  <si>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</si>
  <si>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</si>
  <si>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</si>
  <si>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</si>
  <si>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</si>
  <si>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</si>
  <si>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</si>
  <si>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</si>
  <si>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</si>
  <si>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</si>
  <si>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</si>
  <si>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</si>
  <si>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</si>
  <si>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</si>
  <si>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</si>
  <si>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</si>
  <si>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</si>
  <si>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</si>
  <si>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</si>
  <si>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</si>
  <si>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</si>
  <si>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</si>
  <si>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</si>
  <si>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</si>
  <si>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</si>
  <si>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</si>
  <si>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</si>
  <si>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</si>
  <si>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</si>
  <si>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</si>
  <si>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</si>
  <si>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</si>
  <si>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</si>
  <si>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</si>
  <si>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</si>
  <si>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</si>
  <si>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</si>
  <si>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</si>
  <si>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</si>
  <si>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</si>
  <si>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</si>
  <si>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</si>
  <si>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</si>
  <si>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</si>
  <si>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</si>
  <si>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</si>
  <si>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</si>
  <si>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</si>
  <si>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</si>
  <si>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</si>
  <si>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</si>
  <si>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</si>
  <si>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r>
      <t>Date: 2025</t>
    </r>
    <r>
      <rPr>
        <b/>
        <sz val="10"/>
        <color theme="0"/>
        <rFont val="等线"/>
        <charset val="134"/>
      </rPr>
      <t xml:space="preserve"> - </t>
    </r>
    <r>
      <rPr>
        <b/>
        <sz val="10"/>
        <color theme="0"/>
        <rFont val="新細明體"/>
        <family val="1"/>
        <charset val="136"/>
      </rPr>
      <t xml:space="preserve">04 </t>
    </r>
    <r>
      <rPr>
        <b/>
        <sz val="10"/>
        <color theme="0"/>
        <rFont val="等线"/>
        <charset val="134"/>
      </rPr>
      <t>-</t>
    </r>
    <r>
      <rPr>
        <b/>
        <sz val="10"/>
        <color theme="0"/>
        <rFont val="新細明體"/>
        <family val="1"/>
        <charset val="136"/>
      </rPr>
      <t xml:space="preserve"> 14 - </t>
    </r>
    <r>
      <rPr>
        <b/>
        <sz val="10"/>
        <color theme="0"/>
        <rFont val="Calibri"/>
        <family val="2"/>
        <scheme val="minor"/>
      </rPr>
      <t>2025 - 04 - 20</t>
    </r>
  </si>
  <si>
    <t>review all comsec BR, liquidation</t>
  </si>
  <si>
    <t>discuss with Kim, review documents, MA directors</t>
  </si>
  <si>
    <t xml:space="preserve">email to Queenie, discuss with comsec re KYC, </t>
  </si>
  <si>
    <t>AL/SL/Other Leave on 14/4, 15/4, 16/4</t>
  </si>
  <si>
    <t>revised Yager agreement</t>
  </si>
  <si>
    <t>draft amendment agreements for Mariati</t>
  </si>
  <si>
    <t>email to Claudia re. release mechanics, copies of documents for recordkeeping</t>
  </si>
  <si>
    <t>respond to comsec emails</t>
  </si>
  <si>
    <t>discuss and review MOF cover letter for the registration of the intragroup loans, discussions with mariati, discuss with Kirstin re. Gfunds</t>
  </si>
  <si>
    <t>review questionnaire for Ella re. license application</t>
  </si>
  <si>
    <t>discuss re. KYC queries on Wetv</t>
  </si>
  <si>
    <t>Public Holiday on 18/4</t>
  </si>
  <si>
    <t>review Visa cash collateral agreement, draft IEGG intragroup arrangements, call re. sanctions, amend Yager agreement, call with Jasmine</t>
  </si>
  <si>
    <t>discussions and update to Liz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</si>
</sst>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topLeftCell="B1" zoomScale="80" zoomScaleNormal="80" workbookViewId="0">
      <selection activeCell="M17" sqref="M1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2" ht="15.5">
      <c r="B1" s="76" t="s">
        <v>0</v>
      </c>
      <c r="C1" s="77"/>
      <c r="D1" s="77"/>
      <c r="E1" s="77"/>
      <c r="F1" s="77"/>
      <c r="G1" s="77"/>
      <c r="H1" s="77"/>
      <c r="I1" s="77"/>
    </row>
    <row r="2" spans="1:12" ht="15.5">
      <c r="B2" s="78"/>
      <c r="C2" s="79"/>
      <c r="D2" s="79"/>
      <c r="E2" s="79"/>
      <c r="F2" s="79"/>
      <c r="G2" s="79"/>
      <c r="H2" s="79"/>
      <c r="I2" s="13" t="s">
        <v>339</v>
      </c>
    </row>
    <row r="3" spans="1:12">
      <c r="B3" s="3" t="s">
        <v>1</v>
      </c>
      <c r="C3" s="4" t="s">
        <v>2</v>
      </c>
      <c r="D3" s="4" t="s">
        <v>3</v>
      </c>
      <c r="E3" s="4" t="s">
        <v>4</v>
      </c>
      <c r="F3" s="4" t="s">
        <v>5</v>
      </c>
      <c r="G3" s="4" t="s">
        <v>6</v>
      </c>
      <c r="H3" s="4" t="s">
        <v>7</v>
      </c>
      <c r="I3" s="14" t="s">
        <v>8</v>
      </c>
    </row>
    <row r="4" spans="1:12">
      <c r="B4" s="3"/>
      <c r="C4" s="4"/>
      <c r="D4" s="4"/>
      <c r="E4" s="4"/>
      <c r="F4" s="4"/>
      <c r="G4" s="4"/>
      <c r="H4" s="4"/>
      <c r="I4" s="14"/>
    </row>
    <row r="5" spans="1:12" s="2" customFormat="1" ht="165.5" customHeight="1">
      <c r="A5" s="5" t="s">
        <v>9</v>
      </c>
      <c r="B5" s="6" t="s">
        <v>10</v>
      </c>
      <c r="C5" s="7" t="s">
        <v>11</v>
      </c>
      <c r="D5" s="7" t="s">
        <v>12</v>
      </c>
      <c r="E5" s="7" t="s">
        <v>322</v>
      </c>
      <c r="F5" s="7" t="s">
        <v>13</v>
      </c>
      <c r="G5" s="7" t="s">
        <v>14</v>
      </c>
      <c r="H5" s="7" t="s">
        <v>15</v>
      </c>
      <c r="I5" s="15" t="s">
        <v>16</v>
      </c>
    </row>
    <row r="6" spans="1:12" s="2" customFormat="1" ht="52">
      <c r="B6" s="8" t="s">
        <v>337</v>
      </c>
      <c r="C6" s="9" t="s">
        <v>43</v>
      </c>
      <c r="D6" s="10" t="s">
        <v>47</v>
      </c>
      <c r="E6" s="10" t="s">
        <v>30</v>
      </c>
      <c r="F6" s="9" t="s">
        <v>332</v>
      </c>
      <c r="G6" s="11">
        <v>2.9</v>
      </c>
      <c r="H6" s="9" t="s">
        <v>73</v>
      </c>
      <c r="I6" s="16" t="s">
        <v>340</v>
      </c>
    </row>
    <row r="7" spans="1:12" s="2" customFormat="1" ht="52">
      <c r="B7" s="8" t="s">
        <v>337</v>
      </c>
      <c r="C7" s="9" t="s">
        <v>43</v>
      </c>
      <c r="D7" s="10" t="s">
        <v>50</v>
      </c>
      <c r="E7" s="10" t="s">
        <v>30</v>
      </c>
      <c r="F7" s="9" t="s">
        <v>332</v>
      </c>
      <c r="G7" s="11">
        <v>2</v>
      </c>
      <c r="H7" s="9" t="s">
        <v>27</v>
      </c>
      <c r="I7" s="16" t="s">
        <v>341</v>
      </c>
    </row>
    <row r="8" spans="1:12" s="2" customFormat="1" ht="52">
      <c r="B8" s="8" t="s">
        <v>337</v>
      </c>
      <c r="C8" s="9" t="s">
        <v>43</v>
      </c>
      <c r="D8" s="10" t="s">
        <v>57</v>
      </c>
      <c r="E8" s="10" t="s">
        <v>30</v>
      </c>
      <c r="F8" s="9" t="s">
        <v>332</v>
      </c>
      <c r="G8" s="11">
        <v>1</v>
      </c>
      <c r="H8" s="9" t="s">
        <v>73</v>
      </c>
      <c r="I8" s="16" t="s">
        <v>345</v>
      </c>
    </row>
    <row r="9" spans="1:12" s="2" customFormat="1" ht="26">
      <c r="B9" s="8" t="s">
        <v>337</v>
      </c>
      <c r="C9" s="9" t="s">
        <v>44</v>
      </c>
      <c r="D9" s="10" t="s">
        <v>51</v>
      </c>
      <c r="E9" s="10" t="s">
        <v>30</v>
      </c>
      <c r="F9" s="9" t="s">
        <v>323</v>
      </c>
      <c r="G9" s="11">
        <v>0.8</v>
      </c>
      <c r="H9" s="9" t="s">
        <v>73</v>
      </c>
      <c r="I9" s="16" t="s">
        <v>344</v>
      </c>
      <c r="L9" s="75"/>
    </row>
    <row r="10" spans="1:12" s="2" customFormat="1" ht="26">
      <c r="B10" s="8" t="s">
        <v>337</v>
      </c>
      <c r="C10" s="9" t="s">
        <v>44</v>
      </c>
      <c r="D10" s="10" t="s">
        <v>51</v>
      </c>
      <c r="E10" s="10" t="s">
        <v>30</v>
      </c>
      <c r="F10" s="9" t="s">
        <v>323</v>
      </c>
      <c r="G10" s="11">
        <v>0.3</v>
      </c>
      <c r="H10" s="9" t="s">
        <v>27</v>
      </c>
      <c r="I10" s="16" t="s">
        <v>346</v>
      </c>
    </row>
    <row r="11" spans="1:12" s="2" customFormat="1" ht="39">
      <c r="B11" s="8" t="s">
        <v>337</v>
      </c>
      <c r="C11" s="9" t="s">
        <v>44</v>
      </c>
      <c r="D11" s="10" t="s">
        <v>51</v>
      </c>
      <c r="E11" s="10" t="s">
        <v>30</v>
      </c>
      <c r="F11" s="9" t="s">
        <v>323</v>
      </c>
      <c r="G11" s="11">
        <v>4.8</v>
      </c>
      <c r="H11" s="9" t="s">
        <v>73</v>
      </c>
      <c r="I11" s="16" t="s">
        <v>352</v>
      </c>
    </row>
    <row r="12" spans="1:12" s="2" customFormat="1" ht="52">
      <c r="B12" s="8" t="s">
        <v>337</v>
      </c>
      <c r="C12" s="9" t="s">
        <v>43</v>
      </c>
      <c r="D12" s="10" t="s">
        <v>50</v>
      </c>
      <c r="E12" s="10" t="s">
        <v>30</v>
      </c>
      <c r="F12" s="9" t="s">
        <v>332</v>
      </c>
      <c r="G12" s="11">
        <v>0.4</v>
      </c>
      <c r="H12" s="9" t="s">
        <v>27</v>
      </c>
      <c r="I12" s="16" t="s">
        <v>350</v>
      </c>
    </row>
    <row r="13" spans="1:12" s="2" customFormat="1" ht="52">
      <c r="B13" s="8" t="s">
        <v>337</v>
      </c>
      <c r="C13" s="9" t="s">
        <v>43</v>
      </c>
      <c r="D13" s="10" t="s">
        <v>47</v>
      </c>
      <c r="E13" s="10" t="s">
        <v>30</v>
      </c>
      <c r="F13" s="9" t="s">
        <v>332</v>
      </c>
      <c r="G13" s="11">
        <v>0.6</v>
      </c>
      <c r="H13" s="9" t="s">
        <v>73</v>
      </c>
      <c r="I13" s="16" t="s">
        <v>347</v>
      </c>
    </row>
    <row r="14" spans="1:12" s="2" customFormat="1" ht="52">
      <c r="B14" s="8" t="s">
        <v>337</v>
      </c>
      <c r="C14" s="9" t="s">
        <v>43</v>
      </c>
      <c r="D14" s="10" t="s">
        <v>59</v>
      </c>
      <c r="E14" s="10" t="s">
        <v>30</v>
      </c>
      <c r="F14" s="9" t="s">
        <v>335</v>
      </c>
      <c r="G14" s="11">
        <v>0.6</v>
      </c>
      <c r="H14" s="9" t="s">
        <v>27</v>
      </c>
      <c r="I14" s="16" t="s">
        <v>353</v>
      </c>
    </row>
    <row r="15" spans="1:12" s="2" customFormat="1" ht="52">
      <c r="B15" s="8" t="s">
        <v>337</v>
      </c>
      <c r="C15" s="9" t="s">
        <v>43</v>
      </c>
      <c r="D15" s="10" t="s">
        <v>61</v>
      </c>
      <c r="E15" s="10" t="s">
        <v>30</v>
      </c>
      <c r="F15" s="9" t="s">
        <v>335</v>
      </c>
      <c r="G15" s="11">
        <v>0.3</v>
      </c>
      <c r="H15" s="9" t="s">
        <v>27</v>
      </c>
      <c r="I15" s="16" t="s">
        <v>342</v>
      </c>
    </row>
    <row r="16" spans="1:12" s="2" customFormat="1" ht="52">
      <c r="B16" s="8" t="s">
        <v>337</v>
      </c>
      <c r="C16" s="9" t="s">
        <v>43</v>
      </c>
      <c r="D16" s="10" t="s">
        <v>46</v>
      </c>
      <c r="E16" s="10" t="s">
        <v>30</v>
      </c>
      <c r="F16" s="9" t="s">
        <v>332</v>
      </c>
      <c r="G16" s="11">
        <v>0.6</v>
      </c>
      <c r="H16" s="9" t="s">
        <v>73</v>
      </c>
      <c r="I16" s="16" t="s">
        <v>349</v>
      </c>
    </row>
    <row r="17" spans="2:11" s="2" customFormat="1" ht="52">
      <c r="B17" s="8" t="s">
        <v>337</v>
      </c>
      <c r="C17" s="9" t="s">
        <v>43</v>
      </c>
      <c r="D17" s="10" t="s">
        <v>57</v>
      </c>
      <c r="E17" s="10" t="s">
        <v>30</v>
      </c>
      <c r="F17" s="9" t="s">
        <v>332</v>
      </c>
      <c r="G17" s="11">
        <v>2.4</v>
      </c>
      <c r="H17" s="9" t="s">
        <v>27</v>
      </c>
      <c r="I17" s="16" t="s">
        <v>348</v>
      </c>
    </row>
    <row r="18" spans="2:11" s="2" customFormat="1" ht="13">
      <c r="B18" s="8"/>
      <c r="C18" s="9"/>
      <c r="D18" s="10"/>
      <c r="E18" s="10"/>
      <c r="F18" s="9"/>
      <c r="G18" s="11"/>
      <c r="H18" s="9"/>
      <c r="I18" s="16"/>
      <c r="K18" s="75"/>
    </row>
    <row r="19" spans="2:11" s="2" customFormat="1" ht="14.5" customHeight="1">
      <c r="B19" s="80" t="s">
        <v>32</v>
      </c>
      <c r="C19" s="81"/>
      <c r="D19" s="82"/>
      <c r="E19" s="12"/>
      <c r="F19" s="12"/>
      <c r="G19" s="83">
        <f>SUM(G6:G18)</f>
        <v>16.7</v>
      </c>
      <c r="H19" s="84"/>
      <c r="I19" s="85"/>
    </row>
    <row r="22" spans="2:11" ht="29">
      <c r="B22" s="17" t="s">
        <v>81</v>
      </c>
      <c r="C22" s="18" t="s">
        <v>343</v>
      </c>
    </row>
    <row r="23" spans="2:11">
      <c r="C23" s="18" t="s">
        <v>351</v>
      </c>
    </row>
  </sheetData>
  <mergeCells count="4">
    <mergeCell ref="B1:I1"/>
    <mergeCell ref="B2:H2"/>
    <mergeCell ref="B19:D19"/>
    <mergeCell ref="G19:I19"/>
  </mergeCells>
  <phoneticPr fontId="10" type="noConversion"/>
  <dataValidations count="3">
    <dataValidation type="list" errorStyle="warning" allowBlank="1" sqref="C7:C18" xr:uid="{00000000-0002-0000-0000-000005000000}">
      <formula1>项目事项分类项目名称</formula1>
    </dataValidation>
    <dataValidation type="list" allowBlank="1" showInputMessage="1" showErrorMessage="1" sqref="F6:F18" xr:uid="{00000000-0002-0000-0000-000002000000}">
      <formula1>INDIRECT($E6)</formula1>
    </dataValidation>
    <dataValidation type="list" allowBlank="1" showInputMessage="1" showErrorMessage="1" sqref="H6:H1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D6:D18</xm:sqref>
        </x14:dataValidation>
        <x14:dataValidation type="list" allowBlank="1" showInputMessage="1" showErrorMessage="1" xr:uid="{00000000-0002-0000-0000-000007000000}">
          <x14:formula1>
            <xm:f>Tag!$B$2:$E$2</xm:f>
          </x14:formula1>
          <xm:sqref>E6:E18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2025-04-25T12:29:13Z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