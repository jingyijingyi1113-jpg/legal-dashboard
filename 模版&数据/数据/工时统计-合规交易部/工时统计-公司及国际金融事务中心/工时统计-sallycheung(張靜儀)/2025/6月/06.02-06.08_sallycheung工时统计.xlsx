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75EEFBCA-16FD-4480-B84C-4F2D3AA4490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<sst xmlns="http://schemas.openxmlformats.org/spreadsheetml/2006/main" count="609" uniqueCount="367">
  <si>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</si>
  <si>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</si>
  <si>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</si>
  <si>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</si>
  <si>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</si>
  <si>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</si>
  <si>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</si>
  <si>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</si>
  <si>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</si>
  <si>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</si>
  <si>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</si>
  <si>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</si>
  <si>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</si>
  <si>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</si>
  <si>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</si>
  <si>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</si>
  <si>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</si>
  <si>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</si>
  <si>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</si>
  <si>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</si>
  <si>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</si>
  <si>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</si>
  <si>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</si>
  <si>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</si>
  <si>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</si>
  <si>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</si>
  <si>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</si>
  <si>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</si>
  <si>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</si>
  <si>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</si>
  <si>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</si>
  <si>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</si>
  <si>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</si>
  <si>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</si>
  <si>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</si>
  <si>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</si>
  <si>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</si>
  <si>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</si>
  <si>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</si>
  <si>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</si>
  <si>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</si>
  <si>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</si>
  <si>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</si>
  <si>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</si>
  <si>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</si>
  <si>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</si>
  <si>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</si>
  <si>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</si>
  <si>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</si>
  <si>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</si>
  <si>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</si>
  <si>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</si>
  <si>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</si>
  <si>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</si>
  <si>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</si>
  <si>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</si>
  <si>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</si>
  <si>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</si>
  <si>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</si>
  <si>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</si>
  <si>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</si>
  <si>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</si>
  <si>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</si>
  <si>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</si>
  <si>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</si>
  <si>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</si>
  <si>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</si>
  <si>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</si>
  <si>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</si>
  <si>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</si>
  <si>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</si>
  <si>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</si>
  <si>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</si>
  <si>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</si>
  <si>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</si>
  <si>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</si>
  <si>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</si>
  <si>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</si>
  <si>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</si>
  <si>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</si>
  <si>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</si>
  <si>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</si>
  <si>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</si>
  <si>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</si>
  <si>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</si>
  <si>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</si>
  <si>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</si>
  <si>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</si>
  <si>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</si>
  <si>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</si>
  <si>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</si>
  <si>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</si>
  <si>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</si>
  <si>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</si>
  <si>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</si>
  <si>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</si>
  <si>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</si>
  <si>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</si>
  <si>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</si>
  <si>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</si>
  <si>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</si>
  <si>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</si>
  <si>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</si>
  <si>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</si>
  <si>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</si>
  <si>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</si>
  <si>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</si>
  <si>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</si>
  <si>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</si>
  <si>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</si>
  <si>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</si>
  <si>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</si>
  <si>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</si>
  <si>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</si>
  <si>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</si>
  <si>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</si>
  <si>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</si>
  <si>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</si>
  <si>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</si>
  <si>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</si>
  <si>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</si>
  <si>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</si>
  <si>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</si>
  <si>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</si>
  <si>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</si>
  <si>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</si>
  <si>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</si>
  <si>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</si>
  <si>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</si>
  <si>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</si>
  <si>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</si>
  <si>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</si>
  <si>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</si>
  <si>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</si>
  <si>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</si>
  <si>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</si>
  <si>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</si>
  <si>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</si>
  <si>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</si>
  <si>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</si>
  <si>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</si>
  <si>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</si>
  <si>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</si>
  <si>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</si>
  <si>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</si>
  <si>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</si>
  <si>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</si>
  <si>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</si>
  <si>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</si>
  <si>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</si>
  <si>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</si>
  <si>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</si>
  <si>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</si>
  <si>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</si>
  <si>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</si>
  <si>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</si>
  <si>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</si>
  <si>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</si>
  <si>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</si>
  <si>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</si>
  <si>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</si>
  <si>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</si>
  <si>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</si>
  <si>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</si>
  <si>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</si>
  <si>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</si>
  <si>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</si>
  <si>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</si>
  <si>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</si>
  <si>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</si>
  <si>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</si>
  <si>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</si>
  <si>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</si>
  <si>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</si>
  <si>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</si>
  <si>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</si>
  <si>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</si>
  <si>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</si>
  <si>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</si>
  <si>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</si>
  <si>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</si>
  <si>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</si>
  <si>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</si>
  <si>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</si>
  <si>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</si>
  <si>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</si>
  <si>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</si>
  <si>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</si>
  <si>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</si>
  <si>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</si>
  <si>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</si>
  <si>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</si>
  <si>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</si>
  <si>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</si>
  <si>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</si>
  <si>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</si>
  <si>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</si>
  <si>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</si>
  <si>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</si>
  <si>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</si>
  <si>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</si>
  <si>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</si>
  <si>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</si>
  <si>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</si>
  <si>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</si>
  <si>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</si>
  <si>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</si>
  <si>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</si>
  <si>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</si>
  <si>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</si>
  <si>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</si>
  <si>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</si>
  <si>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</si>
  <si>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</si>
  <si>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</si>
  <si>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</si>
  <si>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</si>
  <si>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</si>
  <si>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</si>
  <si>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</si>
  <si>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</si>
  <si>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</si>
  <si>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</si>
  <si>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</si>
  <si>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</si>
  <si>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</si>
  <si>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</si>
  <si>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</si>
  <si>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</si>
  <si>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</si>
  <si>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</si>
  <si>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</si>
  <si>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</si>
  <si>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</si>
  <si>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</si>
  <si>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</si>
  <si>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</si>
  <si>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</si>
  <si>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</si>
  <si>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</si>
  <si>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</si>
  <si>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</si>
  <si>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</si>
  <si>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</si>
  <si>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</si>
  <si>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</si>
  <si>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</si>
  <si>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</si>
  <si>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</si>
  <si>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</si>
  <si>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</si>
  <si>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</si>
  <si>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</si>
  <si>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</si>
  <si>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</si>
  <si>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</si>
  <si>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</si>
  <si>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</si>
  <si>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</si>
  <si>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</si>
  <si>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</si>
  <si>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</si>
  <si>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</si>
  <si>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</si>
  <si>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</si>
  <si>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</si>
  <si>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</si>
  <si>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</si>
  <si>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</si>
  <si>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</si>
  <si>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</si>
  <si>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</si>
  <si>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</si>
  <si>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</si>
  <si>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</si>
  <si>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</si>
  <si>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</si>
  <si>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</si>
  <si>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</si>
  <si>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</si>
  <si>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</si>
  <si>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</si>
  <si>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</si>
  <si>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</si>
  <si>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</si>
  <si>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</si>
  <si>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</si>
  <si>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</si>
  <si>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</si>
  <si>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</si>
  <si>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</si>
  <si>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</si>
  <si>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</si>
  <si>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</si>
  <si>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</si>
  <si>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</si>
  <si>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</si>
  <si>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</si>
  <si>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</si>
  <si>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</si>
  <si>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</si>
  <si>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</si>
  <si>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</si>
  <si>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</si>
  <si>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</si>
  <si>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</si>
  <si>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</si>
  <si>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</si>
  <si>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</si>
  <si>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</si>
  <si>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</si>
  <si>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</si>
  <si>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</si>
  <si>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</si>
  <si>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</si>
  <si>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</si>
  <si>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</si>
  <si>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</si>
  <si>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</si>
  <si>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</si>
  <si>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</si>
  <si>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</si>
  <si>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</si>
  <si>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</si>
  <si>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</si>
  <si>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</si>
  <si>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</si>
  <si>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</si>
  <si>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</si>
  <si>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</si>
  <si>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</si>
  <si>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</si>
  <si>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</si>
  <si>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</si>
  <si>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</si>
  <si>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</si>
  <si>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</si>
  <si>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</si>
  <si>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</si>
  <si>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</si>
  <si>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</si>
  <si>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t xml:space="preserve">Public Holiday on </t>
  </si>
  <si>
    <r>
      <t>Date: 2025</t>
    </r>
    <r>
      <rPr>
        <b/>
        <sz val="10"/>
        <color theme="0"/>
        <rFont val="等线"/>
        <charset val="134"/>
      </rPr>
      <t xml:space="preserve"> - </t>
    </r>
    <r>
      <rPr>
        <b/>
        <sz val="10"/>
        <color theme="0"/>
        <rFont val="新細明體"/>
        <family val="1"/>
        <charset val="136"/>
      </rPr>
      <t xml:space="preserve">05 </t>
    </r>
    <r>
      <rPr>
        <b/>
        <sz val="10"/>
        <color theme="0"/>
        <rFont val="等线"/>
        <charset val="134"/>
      </rPr>
      <t>-</t>
    </r>
    <r>
      <rPr>
        <b/>
        <sz val="10"/>
        <color theme="0"/>
        <rFont val="新細明體"/>
        <family val="1"/>
        <charset val="136"/>
      </rPr>
      <t xml:space="preserve"> 26 - </t>
    </r>
    <r>
      <rPr>
        <b/>
        <sz val="10"/>
        <color theme="0"/>
        <rFont val="新細明體"/>
        <family val="2"/>
        <scheme val="minor"/>
      </rPr>
      <t>2025 - 06 - 01</t>
    </r>
  </si>
  <si>
    <t>AL/SL/Other Leave on</t>
  </si>
  <si>
    <t>AI discussions</t>
  </si>
  <si>
    <t>interview</t>
  </si>
  <si>
    <t>discussion with Queenie re. update of information</t>
  </si>
  <si>
    <t>discuss with Kim re. update to directorship change, email to Maples</t>
  </si>
  <si>
    <t>review PA facility</t>
  </si>
  <si>
    <t>discuss with comsec re. change of directorship + account opening documents</t>
  </si>
  <si>
    <t>review of MA financing terms, discuss with Mindy and Ceci, discussions with Stephen re. clean down clause</t>
  </si>
  <si>
    <t>interview and arrange follow up meeting</t>
  </si>
  <si>
    <t>discuss with Bell re. Indonesia, review docs</t>
  </si>
  <si>
    <t>audit, review answers, discuss with Katie, liaise internally</t>
  </si>
  <si>
    <t>discussion with Karen</t>
  </si>
  <si>
    <t>ALB award submission</t>
  </si>
  <si>
    <t>discuss with Mariati re. Indonesian agreements, send to extenal counsel for filing</t>
  </si>
  <si>
    <t>liaise with Katie re. audit, time sheet recording with Austor</t>
  </si>
  <si>
    <t>Gfunds - discussions on KYC</t>
  </si>
  <si>
    <t>Kim re. name of entity</t>
  </si>
  <si>
    <t>review PA FA, review comments on the MA transaction</t>
  </si>
  <si>
    <t>review comsec documents and discuss with Cynthia, discuss with Carmen re BOC documents</t>
  </si>
  <si>
    <t>discussion with team and Mindy re. new facility concept, new MA loan</t>
  </si>
  <si>
    <t>Management meeting and discussions on AML and AI with Luka</t>
  </si>
  <si>
    <t>review new facility notice, discuss with Cecilia</t>
  </si>
  <si>
    <t>review of comsec documents, discussions with Fancy, David</t>
  </si>
  <si>
    <t>structure chart discussions on 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</si>
</sst>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
  <sheetViews>
    <sheetView tabSelected="1" topLeftCell="A6" zoomScale="80" zoomScaleNormal="80" workbookViewId="0">
      <selection activeCell="S26" sqref="S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337</v>
      </c>
      <c r="C6" s="9" t="s">
        <v>44</v>
      </c>
      <c r="D6" s="10" t="s">
        <v>51</v>
      </c>
      <c r="E6" s="10" t="s">
        <v>30</v>
      </c>
      <c r="F6" s="9" t="s">
        <v>323</v>
      </c>
      <c r="G6" s="11">
        <v>3.7</v>
      </c>
      <c r="H6" s="9" t="s">
        <v>73</v>
      </c>
      <c r="I6" s="16" t="s">
        <v>348</v>
      </c>
    </row>
    <row r="7" spans="1:9" s="2" customFormat="1" ht="13.5">
      <c r="B7" s="8" t="s">
        <v>337</v>
      </c>
      <c r="C7" s="9" t="s">
        <v>28</v>
      </c>
      <c r="D7" s="10" t="s">
        <v>31</v>
      </c>
      <c r="E7" s="10" t="s">
        <v>34</v>
      </c>
      <c r="F7" s="9" t="s">
        <v>42</v>
      </c>
      <c r="G7" s="11">
        <v>1</v>
      </c>
      <c r="H7" s="9" t="s">
        <v>31</v>
      </c>
      <c r="I7" s="16" t="s">
        <v>345</v>
      </c>
    </row>
    <row r="8" spans="1:9" s="2" customFormat="1" ht="40.5">
      <c r="B8" s="8" t="s">
        <v>337</v>
      </c>
      <c r="C8" s="9" t="s">
        <v>22</v>
      </c>
      <c r="D8" s="10" t="s">
        <v>61</v>
      </c>
      <c r="E8" s="10" t="s">
        <v>30</v>
      </c>
      <c r="F8" s="9" t="s">
        <v>335</v>
      </c>
      <c r="G8" s="11">
        <v>0.3</v>
      </c>
      <c r="H8" s="9" t="s">
        <v>27</v>
      </c>
      <c r="I8" s="16" t="s">
        <v>346</v>
      </c>
    </row>
    <row r="9" spans="1:9" s="2" customFormat="1" ht="54">
      <c r="B9" s="8" t="s">
        <v>337</v>
      </c>
      <c r="C9" s="9" t="s">
        <v>43</v>
      </c>
      <c r="D9" s="10" t="s">
        <v>57</v>
      </c>
      <c r="E9" s="10" t="s">
        <v>30</v>
      </c>
      <c r="F9" s="9" t="s">
        <v>332</v>
      </c>
      <c r="G9" s="11">
        <v>0.6</v>
      </c>
      <c r="H9" s="9" t="s">
        <v>27</v>
      </c>
      <c r="I9" s="16" t="s">
        <v>347</v>
      </c>
    </row>
    <row r="10" spans="1:9" s="2" customFormat="1" ht="54">
      <c r="B10" s="8" t="s">
        <v>337</v>
      </c>
      <c r="C10" s="9" t="s">
        <v>43</v>
      </c>
      <c r="D10" s="10" t="s">
        <v>47</v>
      </c>
      <c r="E10" s="10" t="s">
        <v>30</v>
      </c>
      <c r="F10" s="9" t="s">
        <v>332</v>
      </c>
      <c r="G10" s="11">
        <v>0.5</v>
      </c>
      <c r="H10" s="9" t="s">
        <v>27</v>
      </c>
      <c r="I10" s="16" t="s">
        <v>349</v>
      </c>
    </row>
    <row r="11" spans="1:9" s="2" customFormat="1" ht="27">
      <c r="B11" s="8" t="s">
        <v>337</v>
      </c>
      <c r="C11" s="9" t="s">
        <v>44</v>
      </c>
      <c r="D11" s="10" t="s">
        <v>18</v>
      </c>
      <c r="E11" s="10" t="s">
        <v>30</v>
      </c>
      <c r="F11" s="9" t="s">
        <v>323</v>
      </c>
      <c r="G11" s="11">
        <v>3.4</v>
      </c>
      <c r="H11" s="9" t="s">
        <v>73</v>
      </c>
      <c r="I11" s="16" t="s">
        <v>353</v>
      </c>
    </row>
    <row r="12" spans="1:9" s="2" customFormat="1" ht="13.5">
      <c r="B12" s="8" t="s">
        <v>337</v>
      </c>
      <c r="C12" s="9" t="s">
        <v>28</v>
      </c>
      <c r="D12" s="10" t="s">
        <v>31</v>
      </c>
      <c r="E12" s="10" t="s">
        <v>34</v>
      </c>
      <c r="F12" s="9" t="s">
        <v>42</v>
      </c>
      <c r="G12" s="11">
        <v>0.7</v>
      </c>
      <c r="H12" s="9" t="s">
        <v>31</v>
      </c>
      <c r="I12" s="16" t="s">
        <v>351</v>
      </c>
    </row>
    <row r="13" spans="1:9" s="2" customFormat="1" ht="27">
      <c r="B13" s="8" t="s">
        <v>337</v>
      </c>
      <c r="C13" s="9" t="s">
        <v>44</v>
      </c>
      <c r="D13" s="10" t="s">
        <v>51</v>
      </c>
      <c r="E13" s="10" t="s">
        <v>30</v>
      </c>
      <c r="F13" s="9" t="s">
        <v>323</v>
      </c>
      <c r="G13" s="11">
        <v>2.4</v>
      </c>
      <c r="H13" s="9" t="s">
        <v>73</v>
      </c>
      <c r="I13" s="16" t="s">
        <v>350</v>
      </c>
    </row>
    <row r="14" spans="1:9" s="2" customFormat="1" ht="27">
      <c r="B14" s="8" t="s">
        <v>337</v>
      </c>
      <c r="C14" s="9" t="s">
        <v>43</v>
      </c>
      <c r="D14" s="10" t="s">
        <v>47</v>
      </c>
      <c r="E14" s="10" t="s">
        <v>30</v>
      </c>
      <c r="F14" s="9" t="s">
        <v>326</v>
      </c>
      <c r="G14" s="11">
        <v>0.8</v>
      </c>
      <c r="H14" s="9" t="s">
        <v>27</v>
      </c>
      <c r="I14" s="16" t="s">
        <v>352</v>
      </c>
    </row>
    <row r="15" spans="1:9" s="2" customFormat="1" ht="27">
      <c r="B15" s="8" t="s">
        <v>337</v>
      </c>
      <c r="C15" s="9" t="s">
        <v>43</v>
      </c>
      <c r="D15" s="10" t="s">
        <v>57</v>
      </c>
      <c r="E15" s="10" t="s">
        <v>30</v>
      </c>
      <c r="F15" s="9" t="s">
        <v>326</v>
      </c>
      <c r="G15" s="11">
        <v>0.7</v>
      </c>
      <c r="H15" s="9" t="s">
        <v>73</v>
      </c>
      <c r="I15" s="16" t="s">
        <v>356</v>
      </c>
    </row>
    <row r="16" spans="1:9" s="2" customFormat="1" ht="40.5">
      <c r="B16" s="8" t="s">
        <v>337</v>
      </c>
      <c r="C16" s="9" t="s">
        <v>22</v>
      </c>
      <c r="D16" s="10" t="s">
        <v>60</v>
      </c>
      <c r="E16" s="10" t="s">
        <v>30</v>
      </c>
      <c r="F16" s="9" t="s">
        <v>335</v>
      </c>
      <c r="G16" s="11">
        <v>0.5</v>
      </c>
      <c r="H16" s="9" t="s">
        <v>27</v>
      </c>
      <c r="I16" s="16" t="s">
        <v>354</v>
      </c>
    </row>
    <row r="17" spans="2:12" s="2" customFormat="1" ht="27">
      <c r="B17" s="8" t="s">
        <v>337</v>
      </c>
      <c r="C17" s="9" t="s">
        <v>28</v>
      </c>
      <c r="D17" s="10" t="s">
        <v>31</v>
      </c>
      <c r="E17" s="10" t="s">
        <v>34</v>
      </c>
      <c r="F17" s="9" t="s">
        <v>42</v>
      </c>
      <c r="G17" s="11">
        <v>0.8</v>
      </c>
      <c r="H17" s="9" t="s">
        <v>27</v>
      </c>
      <c r="I17" s="16" t="s">
        <v>355</v>
      </c>
    </row>
    <row r="18" spans="2:12" s="2" customFormat="1" ht="54">
      <c r="B18" s="8" t="s">
        <v>337</v>
      </c>
      <c r="C18" s="9" t="s">
        <v>43</v>
      </c>
      <c r="D18" s="10" t="s">
        <v>50</v>
      </c>
      <c r="E18" s="10" t="s">
        <v>30</v>
      </c>
      <c r="F18" s="9" t="s">
        <v>332</v>
      </c>
      <c r="G18" s="11">
        <v>0.2</v>
      </c>
      <c r="H18" s="9" t="s">
        <v>73</v>
      </c>
      <c r="I18" s="16" t="s">
        <v>359</v>
      </c>
      <c r="K18" s="2" t="s">
        <v>339</v>
      </c>
    </row>
    <row r="19" spans="2:12" s="2" customFormat="1" ht="54">
      <c r="B19" s="8" t="s">
        <v>337</v>
      </c>
      <c r="C19" s="9" t="s">
        <v>43</v>
      </c>
      <c r="D19" s="10" t="s">
        <v>57</v>
      </c>
      <c r="E19" s="10" t="s">
        <v>30</v>
      </c>
      <c r="F19" s="9" t="s">
        <v>332</v>
      </c>
      <c r="G19" s="11">
        <v>0.3</v>
      </c>
      <c r="H19" s="9" t="s">
        <v>27</v>
      </c>
      <c r="I19" s="16" t="s">
        <v>358</v>
      </c>
    </row>
    <row r="20" spans="2:12" s="2" customFormat="1" ht="27">
      <c r="B20" s="8" t="s">
        <v>337</v>
      </c>
      <c r="C20" s="9" t="s">
        <v>28</v>
      </c>
      <c r="D20" s="10" t="s">
        <v>31</v>
      </c>
      <c r="E20" s="10" t="s">
        <v>34</v>
      </c>
      <c r="F20" s="9" t="s">
        <v>42</v>
      </c>
      <c r="G20" s="11">
        <v>0.6</v>
      </c>
      <c r="H20" s="9" t="s">
        <v>31</v>
      </c>
      <c r="I20" s="16" t="s">
        <v>357</v>
      </c>
    </row>
    <row r="21" spans="2:12" s="2" customFormat="1" ht="54">
      <c r="B21" s="8" t="s">
        <v>337</v>
      </c>
      <c r="C21" s="9" t="s">
        <v>43</v>
      </c>
      <c r="D21" s="10" t="s">
        <v>47</v>
      </c>
      <c r="E21" s="10" t="s">
        <v>30</v>
      </c>
      <c r="F21" s="9" t="s">
        <v>332</v>
      </c>
      <c r="G21" s="11">
        <v>1.1000000000000001</v>
      </c>
      <c r="H21" s="9" t="s">
        <v>73</v>
      </c>
      <c r="I21" s="16" t="s">
        <v>361</v>
      </c>
    </row>
    <row r="22" spans="2:12" s="2" customFormat="1" ht="27">
      <c r="B22" s="8" t="s">
        <v>337</v>
      </c>
      <c r="C22" s="9" t="s">
        <v>44</v>
      </c>
      <c r="D22" s="10" t="s">
        <v>51</v>
      </c>
      <c r="E22" s="10" t="s">
        <v>30</v>
      </c>
      <c r="F22" s="9" t="s">
        <v>323</v>
      </c>
      <c r="G22" s="11">
        <v>2.7</v>
      </c>
      <c r="H22" s="9" t="s">
        <v>73</v>
      </c>
      <c r="I22" s="16" t="s">
        <v>360</v>
      </c>
      <c r="L22" s="75"/>
    </row>
    <row r="23" spans="2:12" s="2" customFormat="1" ht="67.5">
      <c r="B23" s="8" t="s">
        <v>337</v>
      </c>
      <c r="C23" s="9" t="s">
        <v>28</v>
      </c>
      <c r="D23" s="10" t="s">
        <v>18</v>
      </c>
      <c r="E23" s="10" t="s">
        <v>30</v>
      </c>
      <c r="F23" s="9" t="s">
        <v>329</v>
      </c>
      <c r="G23" s="11">
        <v>1.2</v>
      </c>
      <c r="H23" s="9" t="s">
        <v>27</v>
      </c>
      <c r="I23" s="16" t="s">
        <v>344</v>
      </c>
    </row>
    <row r="24" spans="2:12" s="2" customFormat="1" ht="27">
      <c r="B24" s="8" t="s">
        <v>337</v>
      </c>
      <c r="C24" s="9" t="s">
        <v>44</v>
      </c>
      <c r="D24" s="10" t="s">
        <v>51</v>
      </c>
      <c r="E24" s="10" t="s">
        <v>30</v>
      </c>
      <c r="F24" s="9" t="s">
        <v>323</v>
      </c>
      <c r="G24" s="11">
        <v>3.6</v>
      </c>
      <c r="H24" s="9" t="s">
        <v>27</v>
      </c>
      <c r="I24" s="16" t="s">
        <v>362</v>
      </c>
    </row>
    <row r="25" spans="2:12" s="2" customFormat="1" ht="54">
      <c r="B25" s="8" t="s">
        <v>337</v>
      </c>
      <c r="C25" s="9" t="s">
        <v>43</v>
      </c>
      <c r="D25" s="10" t="s">
        <v>50</v>
      </c>
      <c r="E25" s="10" t="s">
        <v>30</v>
      </c>
      <c r="F25" s="9" t="s">
        <v>332</v>
      </c>
      <c r="G25" s="11">
        <v>0.9</v>
      </c>
      <c r="H25" s="9" t="s">
        <v>27</v>
      </c>
      <c r="I25" s="16" t="s">
        <v>366</v>
      </c>
    </row>
    <row r="26" spans="2:12" s="2" customFormat="1" ht="27">
      <c r="B26" s="8" t="s">
        <v>337</v>
      </c>
      <c r="C26" s="9" t="s">
        <v>44</v>
      </c>
      <c r="D26" s="10" t="s">
        <v>51</v>
      </c>
      <c r="E26" s="10" t="s">
        <v>30</v>
      </c>
      <c r="F26" s="9" t="s">
        <v>323</v>
      </c>
      <c r="G26" s="11">
        <v>2.7</v>
      </c>
      <c r="H26" s="9" t="s">
        <v>73</v>
      </c>
      <c r="I26" s="16" t="s">
        <v>364</v>
      </c>
    </row>
    <row r="27" spans="2:12" s="2" customFormat="1" ht="54">
      <c r="B27" s="8" t="s">
        <v>337</v>
      </c>
      <c r="C27" s="9" t="s">
        <v>43</v>
      </c>
      <c r="D27" s="10" t="s">
        <v>47</v>
      </c>
      <c r="E27" s="10" t="s">
        <v>30</v>
      </c>
      <c r="F27" s="9" t="s">
        <v>332</v>
      </c>
      <c r="G27" s="11">
        <v>2</v>
      </c>
      <c r="H27" s="9" t="s">
        <v>73</v>
      </c>
      <c r="I27" s="16" t="s">
        <v>365</v>
      </c>
    </row>
    <row r="28" spans="2:12" s="2" customFormat="1" ht="27">
      <c r="B28" s="8" t="s">
        <v>337</v>
      </c>
      <c r="C28" s="9" t="s">
        <v>28</v>
      </c>
      <c r="D28" s="10" t="s">
        <v>31</v>
      </c>
      <c r="E28" s="10" t="s">
        <v>34</v>
      </c>
      <c r="F28" s="9" t="s">
        <v>80</v>
      </c>
      <c r="G28" s="11">
        <v>1.8</v>
      </c>
      <c r="H28" s="9" t="s">
        <v>78</v>
      </c>
      <c r="I28" s="16" t="s">
        <v>363</v>
      </c>
    </row>
    <row r="29" spans="2:12" s="2" customFormat="1" ht="27">
      <c r="B29" s="8" t="s">
        <v>337</v>
      </c>
      <c r="C29" s="9" t="s">
        <v>28</v>
      </c>
      <c r="D29" s="10" t="s">
        <v>31</v>
      </c>
      <c r="E29" s="10" t="s">
        <v>33</v>
      </c>
      <c r="F29" s="9" t="s">
        <v>39</v>
      </c>
      <c r="G29" s="11">
        <v>1.8</v>
      </c>
      <c r="H29" s="9" t="s">
        <v>31</v>
      </c>
      <c r="I29" s="16" t="s">
        <v>340</v>
      </c>
    </row>
    <row r="30" spans="2:12" s="2" customFormat="1" ht="13.5">
      <c r="B30" s="8"/>
      <c r="C30" s="9"/>
      <c r="D30" s="10"/>
      <c r="E30" s="10"/>
      <c r="F30" s="9"/>
      <c r="G30" s="11"/>
      <c r="H30" s="9"/>
      <c r="I30" s="16"/>
      <c r="K30" s="75"/>
    </row>
    <row r="31" spans="2:12" s="2" customFormat="1" ht="14.5" customHeight="1">
      <c r="B31" s="80" t="s">
        <v>32</v>
      </c>
      <c r="C31" s="81"/>
      <c r="D31" s="82"/>
      <c r="E31" s="12"/>
      <c r="F31" s="12"/>
      <c r="G31" s="83">
        <f>SUM(G6:G30)</f>
        <v>34.299999999999997</v>
      </c>
      <c r="H31" s="84"/>
      <c r="I31" s="85"/>
    </row>
    <row r="34" spans="2:3">
      <c r="B34" s="17" t="s">
        <v>81</v>
      </c>
      <c r="C34" s="18" t="s">
        <v>343</v>
      </c>
    </row>
    <row r="35" spans="2:3">
      <c r="C35" s="18" t="s">
        <v>341</v>
      </c>
    </row>
  </sheetData>
  <mergeCells count="4">
    <mergeCell ref="B1:I1"/>
    <mergeCell ref="B2:H2"/>
    <mergeCell ref="B31:D31"/>
    <mergeCell ref="G31:I31"/>
  </mergeCells>
  <phoneticPr fontId="10" type="noConversion"/>
  <dataValidations count="3">
    <dataValidation type="list" errorStyle="warning" allowBlank="1" sqref="C20:C30" xr:uid="{00000000-0002-0000-0000-000005000000}">
      <formula1>项目事项分类项目名称</formula1>
    </dataValidation>
    <dataValidation type="list" allowBlank="1" showInputMessage="1" showErrorMessage="1" sqref="F6:F30" xr:uid="{00000000-0002-0000-0000-000002000000}">
      <formula1>INDIRECT($E6)</formula1>
    </dataValidation>
    <dataValidation type="list" allowBlank="1" showInputMessage="1" showErrorMessage="1" sqref="H6:H30"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C6:C19</xm:sqref>
        </x14:dataValidation>
        <x14:dataValidation type="list" allowBlank="1" showInputMessage="1" showErrorMessage="1" promptTitle="Internal Client" xr:uid="{00000000-0002-0000-0000-000004000000}">
          <x14:formula1>
            <xm:f>'Exhibit II - Internal Client'!$A$1:$A$20</xm:f>
          </x14:formula1>
          <xm:sqref>D6:D30</xm:sqref>
        </x14:dataValidation>
        <x14:dataValidation type="list" allowBlank="1" showInputMessage="1" showErrorMessage="1" xr:uid="{00000000-0002-0000-0000-000007000000}">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2025-07-02T09:10:59Z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