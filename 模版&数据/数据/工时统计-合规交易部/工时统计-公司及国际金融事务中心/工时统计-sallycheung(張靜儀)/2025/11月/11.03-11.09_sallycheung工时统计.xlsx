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AEB8C8F9-72FC-41E7-9400-92201B73BADE}"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<sst xmlns="http://schemas.openxmlformats.org/spreadsheetml/2006/main" count="652" uniqueCount="373">
  <si>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</si>
  <si>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</si>
  <si>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</si>
  <si>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</si>
  <si>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</si>
  <si>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</si>
  <si>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</si>
  <si>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</si>
  <si>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</si>
  <si>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</si>
  <si>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</si>
  <si>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</si>
  <si>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</si>
  <si>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</si>
  <si>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</si>
  <si>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</si>
  <si>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</si>
  <si>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</si>
  <si>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</si>
  <si>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</si>
  <si>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</si>
  <si>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</si>
  <si>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</si>
  <si>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</si>
  <si>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</si>
  <si>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</si>
  <si>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</si>
  <si>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</si>
  <si>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</si>
  <si>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</si>
  <si>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</si>
  <si>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</si>
  <si>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</si>
  <si>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</si>
  <si>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</si>
  <si>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</si>
  <si>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</si>
  <si>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</si>
  <si>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</si>
  <si>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</si>
  <si>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</si>
  <si>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</si>
  <si>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</si>
  <si>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</si>
  <si>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</si>
  <si>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</si>
  <si>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</si>
  <si>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</si>
  <si>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</si>
  <si>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</si>
  <si>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</si>
  <si>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</si>
  <si>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</si>
  <si>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</si>
  <si>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</si>
  <si>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</si>
  <si>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</si>
  <si>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</si>
  <si>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</si>
  <si>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</si>
  <si>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</si>
  <si>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</si>
  <si>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</si>
  <si>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</si>
  <si>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</si>
  <si>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</si>
  <si>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</si>
  <si>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</si>
  <si>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</si>
  <si>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</si>
  <si>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</si>
  <si>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</si>
  <si>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</si>
  <si>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</si>
  <si>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</si>
  <si>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</si>
  <si>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</si>
  <si>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</si>
  <si>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</si>
  <si>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</si>
  <si>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</si>
  <si>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</si>
  <si>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</si>
  <si>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</si>
  <si>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</si>
  <si>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</si>
  <si>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</si>
  <si>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</si>
  <si>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</si>
  <si>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</si>
  <si>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</si>
  <si>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</si>
  <si>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</si>
  <si>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</si>
  <si>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</si>
  <si>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</si>
  <si>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</si>
  <si>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</si>
  <si>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</si>
  <si>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</si>
  <si>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</si>
  <si>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</si>
  <si>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</si>
  <si>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</si>
  <si>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</si>
  <si>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</si>
  <si>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</si>
  <si>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</si>
  <si>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</si>
  <si>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</si>
  <si>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</si>
  <si>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</si>
  <si>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</si>
  <si>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</si>
  <si>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</si>
  <si>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</si>
  <si>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</si>
  <si>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</si>
  <si>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</si>
  <si>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</si>
  <si>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</si>
  <si>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</si>
  <si>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</si>
  <si>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</si>
  <si>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</si>
  <si>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</si>
  <si>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</si>
  <si>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</si>
  <si>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</si>
  <si>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</si>
  <si>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</si>
  <si>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</si>
  <si>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</si>
  <si>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</si>
  <si>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</si>
  <si>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</si>
  <si>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</si>
  <si>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</si>
  <si>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</si>
  <si>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</si>
  <si>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</si>
  <si>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</si>
  <si>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</si>
  <si>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</si>
  <si>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</si>
  <si>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</si>
  <si>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</si>
  <si>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</si>
  <si>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</si>
  <si>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</si>
  <si>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</si>
  <si>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</si>
  <si>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</si>
  <si>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</si>
  <si>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</si>
  <si>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</si>
  <si>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</si>
  <si>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</si>
  <si>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</si>
  <si>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</si>
  <si>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</si>
  <si>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</si>
  <si>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</si>
  <si>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</si>
  <si>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</si>
  <si>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</si>
  <si>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</si>
  <si>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</si>
  <si>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</si>
  <si>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</si>
  <si>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</si>
  <si>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</si>
  <si>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</si>
  <si>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</si>
  <si>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</si>
  <si>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</si>
  <si>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</si>
  <si>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</si>
  <si>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</si>
  <si>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</si>
  <si>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</si>
  <si>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</si>
  <si>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</si>
  <si>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</si>
  <si>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</si>
  <si>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</si>
  <si>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</si>
  <si>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</si>
  <si>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</si>
  <si>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</si>
  <si>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</si>
  <si>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</si>
  <si>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</si>
  <si>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</si>
  <si>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</si>
  <si>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</si>
  <si>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</si>
  <si>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</si>
  <si>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</si>
  <si>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</si>
  <si>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</si>
  <si>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</si>
  <si>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</si>
  <si>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</si>
  <si>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</si>
  <si>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</si>
  <si>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</si>
  <si>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</si>
  <si>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</si>
  <si>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</si>
  <si>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</si>
  <si>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</si>
  <si>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</si>
  <si>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</si>
  <si>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</si>
  <si>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</si>
  <si>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</si>
  <si>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</si>
  <si>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</si>
  <si>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</si>
  <si>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</si>
  <si>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</si>
  <si>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</si>
  <si>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</si>
  <si>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</si>
  <si>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</si>
  <si>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</si>
  <si>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</si>
  <si>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</si>
  <si>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</si>
  <si>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</si>
  <si>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</si>
  <si>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</si>
  <si>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</si>
  <si>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</si>
  <si>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</si>
  <si>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</si>
  <si>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</si>
  <si>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</si>
  <si>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</si>
  <si>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</si>
  <si>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</si>
  <si>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</si>
  <si>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</si>
  <si>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</si>
  <si>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</si>
  <si>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</si>
  <si>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</si>
  <si>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</si>
  <si>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</si>
  <si>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</si>
  <si>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</si>
  <si>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</si>
  <si>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</si>
  <si>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</si>
  <si>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</si>
  <si>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</si>
  <si>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</si>
  <si>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</si>
  <si>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</si>
  <si>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</si>
  <si>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</si>
  <si>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</si>
  <si>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</si>
  <si>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</si>
  <si>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</si>
  <si>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</si>
  <si>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</si>
  <si>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</si>
  <si>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</si>
  <si>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</si>
  <si>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</si>
  <si>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</si>
  <si>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</si>
  <si>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</si>
  <si>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</si>
  <si>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</si>
  <si>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</si>
  <si>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</si>
  <si>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</si>
  <si>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</si>
  <si>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</si>
  <si>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</si>
  <si>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</si>
  <si>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</si>
  <si>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</si>
  <si>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</si>
  <si>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</si>
  <si>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</si>
  <si>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</si>
  <si>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</si>
  <si>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</si>
  <si>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</si>
  <si>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</si>
  <si>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</si>
  <si>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</si>
  <si>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</si>
  <si>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</si>
  <si>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</si>
  <si>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</si>
  <si>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</si>
  <si>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</si>
  <si>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</si>
  <si>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</si>
  <si>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</si>
  <si>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</si>
  <si>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</si>
  <si>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</si>
  <si>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</si>
  <si>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</si>
  <si>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</si>
  <si>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</si>
  <si>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</si>
  <si>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</si>
  <si>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</si>
  <si>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</si>
  <si>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</si>
  <si>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</si>
  <si>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</si>
  <si>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</si>
  <si>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</si>
  <si>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</si>
  <si>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</si>
  <si>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</si>
  <si>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</si>
  <si>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</si>
  <si>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</si>
  <si>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</si>
  <si>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</si>
  <si>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</si>
  <si>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</si>
  <si>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</si>
  <si>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</si>
  <si>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</si>
  <si>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</si>
  <si>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</si>
  <si>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</si>
  <si>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</si>
  <si>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</si>
  <si>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</si>
  <si>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</si>
  <si>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 xml:space="preserve"> </t>
  </si>
  <si>
    <t xml:space="preserve">Public Holiday on </t>
  </si>
  <si>
    <t>management meeting</t>
  </si>
  <si>
    <t>review contracts</t>
  </si>
  <si>
    <t>management reporting, 2025 achievements, PPT for reporting, discuss with yeguan re. numbers</t>
  </si>
  <si>
    <t>discussions with Pongming on annual return, email DPW</t>
  </si>
  <si>
    <t>discussions  with Cat and comsec re. SSV project</t>
  </si>
  <si>
    <t>review TPP draw documents</t>
  </si>
  <si>
    <t>review of script and BR</t>
  </si>
  <si>
    <t>discussions with Siqi and David on new contracts</t>
  </si>
  <si>
    <t>reviewing final PPT and draft questions, discuss with Lin</t>
  </si>
  <si>
    <t>Fusion - discuss with Charlton re. new officers, discuss with Calvin on status, discuss with Yan</t>
  </si>
  <si>
    <t>discussions with Peony on structure chart</t>
  </si>
  <si>
    <t>discussions with Amy re. separate of loan agreements, discuss with Eva re. guarantee</t>
  </si>
  <si>
    <t>discuss with Mariati and Anderson on capital injection analysis</t>
  </si>
  <si>
    <t>review group discussions re. injection of capital, review TAML articles</t>
  </si>
  <si>
    <t>GCTSM update meeting</t>
  </si>
  <si>
    <t>revising guarantee template for circulation to business group</t>
  </si>
  <si>
    <t>AL/SL/Other Leave on 4 Nov (pm)</t>
  </si>
  <si>
    <t>managing bills</t>
  </si>
  <si>
    <t>review BR for litigation case, review HSBC forms, review documents re. change of directorship for FB, review new directors' bio, review BR for lost certificate</t>
  </si>
  <si>
    <t>advising Sarah re. debt to equity conversions in the US, review Andrea's advice re. reduction of share premium reserve and convey to finance team</t>
  </si>
  <si>
    <t>respond to email and review Spring's new work order, discussions with Jiawen on deployment letter, reviewing OA requests and conveying to Siqi comments</t>
  </si>
  <si>
    <t>discuss with procurement team re. uploaded agreement</t>
  </si>
  <si>
    <t>discussions re. management of investee group policy</t>
  </si>
  <si>
    <t>respond to litigation team re. POA process, discussions with Kim re THL POA</t>
  </si>
  <si>
    <t>review Lux BR and discuss with Anderson</t>
  </si>
  <si>
    <t>review treasury policy and discuss with Maria and David, discussing with Ceci re. obtaining signature</t>
  </si>
  <si>
    <t>draft email to HKMA officers to inform them of board change, draft summary of the DPS confirmation to RP for his thoughts</t>
  </si>
  <si>
    <t>review lease related documents and Ces, changes to BR re. authorisation, review revised BR for leases</t>
  </si>
  <si>
    <t>structure chart request</t>
  </si>
  <si>
    <t>review office equipment order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</si>
</sst>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1"/>
      <color theme="1"/>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65"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64" fontId="25" fillId="0" borderId="1" xfId="0" applyNumberFormat="1" applyFont="1" applyBorder="1" applyAlignment="1">
      <alignment vertical="center" wrapText="1"/>
    </xf>
    <xf numFmtId="164"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64" fontId="25" fillId="0" borderId="4" xfId="0" applyNumberFormat="1" applyFont="1" applyBorder="1" applyAlignment="1">
      <alignment horizontal="left" vertical="center" wrapText="1"/>
    </xf>
    <xf numFmtId="164"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64" fontId="23" fillId="0" borderId="1" xfId="0" applyNumberFormat="1" applyFont="1" applyBorder="1" applyAlignment="1">
      <alignment vertical="center" wrapText="1"/>
    </xf>
    <xf numFmtId="164"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64"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165" fontId="2" fillId="0" borderId="0" xfId="0" applyNumberFormat="1" applyFont="1">
      <alignment vertical="center"/>
    </xf>
    <xf numFmtId="0" fontId="1" fillId="0" borderId="0" xfId="0" applyFont="1">
      <alignment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65" fontId="4" fillId="0" borderId="12" xfId="0" applyNumberFormat="1" applyFont="1" applyBorder="1" applyAlignment="1">
      <alignment horizontal="left" vertical="center"/>
    </xf>
    <xf numFmtId="165" fontId="4" fillId="0" borderId="10" xfId="0" applyNumberFormat="1" applyFont="1" applyBorder="1" applyAlignment="1">
      <alignment horizontal="left" vertical="center"/>
    </xf>
    <xf numFmtId="165" fontId="4" fillId="0" borderId="15" xfId="0" applyNumberFormat="1" applyFont="1" applyBorder="1" applyAlignment="1">
      <alignment horizontal="left"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2" fillId="0" borderId="18" xfId="0" applyFont="1" applyBorder="1">
      <alignment vertical="center"/>
    </xf>
    <xf numFmtId="0" fontId="22" fillId="0" borderId="19" xfId="0" applyFont="1" applyBorder="1">
      <alignment vertical="center"/>
    </xf>
    <xf numFmtId="0" fontId="22" fillId="0" borderId="20" xfId="0" applyFont="1" applyBorder="1">
      <alignment vertical="center"/>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3" fillId="7" borderId="22" xfId="0" applyFont="1" applyFill="1" applyBorder="1" applyAlignment="1">
      <alignment horizontal="left" vertical="center" wrapText="1"/>
    </xf>
    <xf numFmtId="0" fontId="22" fillId="0" borderId="23" xfId="0" applyFont="1" applyBorder="1">
      <alignment vertical="center"/>
    </xf>
    <xf numFmtId="0" fontId="23" fillId="7" borderId="1" xfId="0" applyFont="1" applyFill="1" applyBorder="1" applyAlignment="1">
      <alignment horizontal="center" vertical="center" wrapText="1"/>
    </xf>
    <xf numFmtId="0" fontId="24" fillId="6" borderId="0" xfId="0" applyFont="1" applyFill="1" applyAlignment="1">
      <alignment horizontal="center" vertical="center"/>
    </xf>
    <xf numFmtId="0" fontId="25" fillId="0" borderId="24" xfId="0" applyFont="1" applyBorder="1" applyAlignment="1">
      <alignment horizontal="left"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3" fillId="0" borderId="4" xfId="0" applyFont="1" applyBorder="1" applyAlignment="1">
      <alignment horizontal="left" vertical="center" wrapText="1"/>
    </xf>
    <xf numFmtId="0" fontId="23" fillId="0" borderId="4" xfId="0" applyFont="1" applyBorder="1" applyAlignment="1"/>
    <xf numFmtId="0" fontId="25" fillId="0" borderId="1" xfId="0" applyFont="1" applyBorder="1" applyAlignment="1">
      <alignment vertical="center" wrapText="1"/>
    </xf>
    <xf numFmtId="0" fontId="22" fillId="8" borderId="1" xfId="0" applyFont="1" applyFill="1" applyBorder="1" applyAlignment="1">
      <alignment vertical="center" wrapText="1"/>
    </xf>
    <xf numFmtId="0" fontId="22" fillId="8" borderId="22" xfId="0" applyFont="1" applyFill="1" applyBorder="1" applyAlignment="1">
      <alignment vertical="center" wrapText="1"/>
    </xf>
    <xf numFmtId="0" fontId="25" fillId="0" borderId="16" xfId="0" applyFont="1" applyBorder="1" applyAlignment="1">
      <alignment horizontal="left" vertical="center" wrapText="1"/>
    </xf>
    <xf numFmtId="0" fontId="22" fillId="8" borderId="21" xfId="0" applyFont="1" applyFill="1" applyBorder="1" applyAlignment="1">
      <alignment horizontal="lef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21" xfId="0" applyFont="1" applyBorder="1">
      <alignment vertical="center"/>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3" fillId="0" borderId="21" xfId="0" applyFont="1" applyBorder="1" applyAlignment="1">
      <alignment horizontal="left" vertical="center" wrapText="1"/>
    </xf>
    <xf numFmtId="0" fontId="22"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
  <sheetViews>
    <sheetView tabSelected="1" topLeftCell="B5" zoomScale="80" zoomScaleNormal="80" workbookViewId="0">
      <selection activeCell="C25" sqref="C2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337</v>
      </c>
      <c r="C6" s="9" t="s">
        <v>44</v>
      </c>
      <c r="D6" s="10" t="s">
        <v>51</v>
      </c>
      <c r="E6" s="10" t="s">
        <v>30</v>
      </c>
      <c r="F6" s="9" t="s">
        <v>323</v>
      </c>
      <c r="G6" s="11">
        <v>0.9</v>
      </c>
      <c r="H6" s="9" t="s">
        <v>27</v>
      </c>
      <c r="I6" s="16" t="s">
        <v>347</v>
      </c>
    </row>
    <row r="7" spans="1:9" s="2" customFormat="1" ht="26">
      <c r="B7" s="8" t="s">
        <v>337</v>
      </c>
      <c r="C7" s="9" t="s">
        <v>44</v>
      </c>
      <c r="D7" s="10" t="s">
        <v>51</v>
      </c>
      <c r="E7" s="10" t="s">
        <v>30</v>
      </c>
      <c r="F7" s="9" t="s">
        <v>323</v>
      </c>
      <c r="G7" s="11">
        <v>0.8</v>
      </c>
      <c r="H7" s="9" t="s">
        <v>73</v>
      </c>
      <c r="I7" s="16" t="s">
        <v>348</v>
      </c>
    </row>
    <row r="8" spans="1:9" s="2" customFormat="1" ht="52">
      <c r="B8" s="8" t="s">
        <v>337</v>
      </c>
      <c r="C8" s="9" t="s">
        <v>43</v>
      </c>
      <c r="D8" s="10" t="s">
        <v>47</v>
      </c>
      <c r="E8" s="10" t="s">
        <v>30</v>
      </c>
      <c r="F8" s="9" t="s">
        <v>332</v>
      </c>
      <c r="G8" s="11">
        <v>1</v>
      </c>
      <c r="H8" s="9" t="s">
        <v>27</v>
      </c>
      <c r="I8" s="16" t="s">
        <v>346</v>
      </c>
    </row>
    <row r="9" spans="1:9" s="2" customFormat="1" ht="52">
      <c r="B9" s="8" t="s">
        <v>337</v>
      </c>
      <c r="C9" s="9" t="s">
        <v>43</v>
      </c>
      <c r="D9" s="10" t="s">
        <v>47</v>
      </c>
      <c r="E9" s="10" t="s">
        <v>30</v>
      </c>
      <c r="F9" s="9" t="s">
        <v>332</v>
      </c>
      <c r="G9" s="11">
        <v>0.9</v>
      </c>
      <c r="H9" s="9" t="s">
        <v>73</v>
      </c>
      <c r="I9" s="16" t="s">
        <v>349</v>
      </c>
    </row>
    <row r="10" spans="1:9" s="2" customFormat="1" ht="52">
      <c r="B10" s="8" t="s">
        <v>337</v>
      </c>
      <c r="C10" s="9" t="s">
        <v>43</v>
      </c>
      <c r="D10" s="10" t="s">
        <v>49</v>
      </c>
      <c r="E10" s="10" t="s">
        <v>30</v>
      </c>
      <c r="F10" s="9" t="s">
        <v>332</v>
      </c>
      <c r="G10" s="11">
        <v>0.6</v>
      </c>
      <c r="H10" s="9" t="s">
        <v>73</v>
      </c>
      <c r="I10" s="16" t="s">
        <v>344</v>
      </c>
    </row>
    <row r="11" spans="1:9" s="2" customFormat="1" ht="26">
      <c r="B11" s="8" t="s">
        <v>337</v>
      </c>
      <c r="C11" s="9" t="s">
        <v>28</v>
      </c>
      <c r="D11" s="10" t="s">
        <v>31</v>
      </c>
      <c r="E11" s="10" t="s">
        <v>34</v>
      </c>
      <c r="F11" s="9" t="s">
        <v>41</v>
      </c>
      <c r="G11" s="11">
        <v>4</v>
      </c>
      <c r="H11" s="9" t="s">
        <v>75</v>
      </c>
      <c r="I11" s="16" t="s">
        <v>345</v>
      </c>
    </row>
    <row r="12" spans="1:9" s="2" customFormat="1" ht="52">
      <c r="B12" s="8" t="s">
        <v>337</v>
      </c>
      <c r="C12" s="9" t="s">
        <v>43</v>
      </c>
      <c r="D12" s="10" t="s">
        <v>49</v>
      </c>
      <c r="E12" s="10" t="s">
        <v>30</v>
      </c>
      <c r="F12" s="9" t="s">
        <v>332</v>
      </c>
      <c r="G12" s="11">
        <v>0.8</v>
      </c>
      <c r="H12" s="9" t="s">
        <v>27</v>
      </c>
      <c r="I12" s="16" t="s">
        <v>350</v>
      </c>
    </row>
    <row r="13" spans="1:9" s="2" customFormat="1" ht="26">
      <c r="B13" s="8" t="s">
        <v>337</v>
      </c>
      <c r="C13" s="9" t="s">
        <v>28</v>
      </c>
      <c r="D13" s="10" t="s">
        <v>31</v>
      </c>
      <c r="E13" s="10" t="s">
        <v>34</v>
      </c>
      <c r="F13" s="9" t="s">
        <v>41</v>
      </c>
      <c r="G13" s="11">
        <v>2.5</v>
      </c>
      <c r="H13" s="9" t="s">
        <v>75</v>
      </c>
      <c r="I13" s="16" t="s">
        <v>351</v>
      </c>
    </row>
    <row r="14" spans="1:9" s="2" customFormat="1" ht="52">
      <c r="B14" s="8" t="s">
        <v>337</v>
      </c>
      <c r="C14" s="9" t="s">
        <v>22</v>
      </c>
      <c r="D14" s="10" t="s">
        <v>60</v>
      </c>
      <c r="E14" s="10" t="s">
        <v>30</v>
      </c>
      <c r="F14" s="9" t="s">
        <v>335</v>
      </c>
      <c r="G14" s="11">
        <v>0.8</v>
      </c>
      <c r="H14" s="9" t="s">
        <v>27</v>
      </c>
      <c r="I14" s="16" t="s">
        <v>352</v>
      </c>
    </row>
    <row r="15" spans="1:9" s="2" customFormat="1" ht="26">
      <c r="B15" s="8" t="s">
        <v>337</v>
      </c>
      <c r="C15" s="9" t="s">
        <v>44</v>
      </c>
      <c r="D15" s="10" t="s">
        <v>51</v>
      </c>
      <c r="E15" s="10" t="s">
        <v>30</v>
      </c>
      <c r="F15" s="9" t="s">
        <v>323</v>
      </c>
      <c r="G15" s="11">
        <v>0.8</v>
      </c>
      <c r="H15" s="9" t="s">
        <v>73</v>
      </c>
      <c r="I15" s="16" t="s">
        <v>356</v>
      </c>
    </row>
    <row r="16" spans="1:9" s="2" customFormat="1" ht="26">
      <c r="B16" s="8" t="s">
        <v>337</v>
      </c>
      <c r="C16" s="9" t="s">
        <v>44</v>
      </c>
      <c r="D16" s="10" t="s">
        <v>51</v>
      </c>
      <c r="E16" s="10" t="s">
        <v>30</v>
      </c>
      <c r="F16" s="9" t="s">
        <v>323</v>
      </c>
      <c r="G16" s="11">
        <v>1.4</v>
      </c>
      <c r="H16" s="9" t="s">
        <v>27</v>
      </c>
      <c r="I16" s="16" t="s">
        <v>354</v>
      </c>
    </row>
    <row r="17" spans="2:14" s="2" customFormat="1" ht="26">
      <c r="B17" s="8" t="s">
        <v>337</v>
      </c>
      <c r="C17" s="9" t="s">
        <v>43</v>
      </c>
      <c r="D17" s="10" t="s">
        <v>47</v>
      </c>
      <c r="E17" s="10" t="s">
        <v>30</v>
      </c>
      <c r="F17" s="9" t="s">
        <v>326</v>
      </c>
      <c r="G17" s="11">
        <v>0.6</v>
      </c>
      <c r="H17" s="9" t="s">
        <v>27</v>
      </c>
      <c r="I17" s="16" t="s">
        <v>353</v>
      </c>
    </row>
    <row r="18" spans="2:14" s="2" customFormat="1" ht="26">
      <c r="B18" s="8" t="s">
        <v>337</v>
      </c>
      <c r="C18" s="9" t="s">
        <v>43</v>
      </c>
      <c r="D18" s="10" t="s">
        <v>57</v>
      </c>
      <c r="E18" s="10" t="s">
        <v>30</v>
      </c>
      <c r="F18" s="9" t="s">
        <v>326</v>
      </c>
      <c r="G18" s="11">
        <v>0.7</v>
      </c>
      <c r="H18" s="9" t="s">
        <v>73</v>
      </c>
      <c r="I18" s="16" t="s">
        <v>355</v>
      </c>
    </row>
    <row r="19" spans="2:14" s="2" customFormat="1" ht="52">
      <c r="B19" s="8" t="s">
        <v>337</v>
      </c>
      <c r="C19" s="9" t="s">
        <v>43</v>
      </c>
      <c r="D19" s="10" t="s">
        <v>50</v>
      </c>
      <c r="E19" s="10" t="s">
        <v>30</v>
      </c>
      <c r="F19" s="9" t="s">
        <v>332</v>
      </c>
      <c r="G19" s="11">
        <v>0.5</v>
      </c>
      <c r="H19" s="9" t="s">
        <v>78</v>
      </c>
      <c r="I19" s="16" t="s">
        <v>357</v>
      </c>
    </row>
    <row r="20" spans="2:14" s="2" customFormat="1" ht="52">
      <c r="B20" s="8" t="s">
        <v>337</v>
      </c>
      <c r="C20" s="9" t="s">
        <v>43</v>
      </c>
      <c r="D20" s="10" t="s">
        <v>47</v>
      </c>
      <c r="E20" s="10" t="s">
        <v>30</v>
      </c>
      <c r="F20" s="9" t="s">
        <v>332</v>
      </c>
      <c r="G20" s="11">
        <v>2.2999999999999998</v>
      </c>
      <c r="H20" s="9" t="s">
        <v>73</v>
      </c>
      <c r="I20" s="16" t="s">
        <v>361</v>
      </c>
    </row>
    <row r="21" spans="2:14" s="2" customFormat="1" ht="52">
      <c r="B21" s="8" t="s">
        <v>337</v>
      </c>
      <c r="C21" s="9" t="s">
        <v>43</v>
      </c>
      <c r="D21" s="10" t="s">
        <v>57</v>
      </c>
      <c r="E21" s="10" t="s">
        <v>30</v>
      </c>
      <c r="F21" s="9" t="s">
        <v>332</v>
      </c>
      <c r="G21" s="11">
        <v>1.4</v>
      </c>
      <c r="H21" s="9" t="s">
        <v>27</v>
      </c>
      <c r="I21" s="16" t="s">
        <v>362</v>
      </c>
    </row>
    <row r="22" spans="2:14" s="2" customFormat="1" ht="52">
      <c r="B22" s="8" t="s">
        <v>337</v>
      </c>
      <c r="C22" s="9" t="s">
        <v>43</v>
      </c>
      <c r="D22" s="10" t="s">
        <v>49</v>
      </c>
      <c r="E22" s="10" t="s">
        <v>30</v>
      </c>
      <c r="F22" s="9" t="s">
        <v>332</v>
      </c>
      <c r="G22" s="11">
        <v>1.4</v>
      </c>
      <c r="H22" s="9" t="s">
        <v>73</v>
      </c>
      <c r="I22" s="16" t="s">
        <v>363</v>
      </c>
    </row>
    <row r="23" spans="2:14" s="2" customFormat="1" ht="26">
      <c r="B23" s="8" t="s">
        <v>337</v>
      </c>
      <c r="C23" s="9" t="s">
        <v>44</v>
      </c>
      <c r="D23" s="10" t="s">
        <v>51</v>
      </c>
      <c r="E23" s="10" t="s">
        <v>30</v>
      </c>
      <c r="F23" s="9" t="s">
        <v>323</v>
      </c>
      <c r="G23" s="11">
        <v>0.7</v>
      </c>
      <c r="H23" s="9" t="s">
        <v>73</v>
      </c>
      <c r="I23" s="16" t="s">
        <v>358</v>
      </c>
    </row>
    <row r="24" spans="2:14" s="2" customFormat="1" ht="26">
      <c r="B24" s="8" t="s">
        <v>337</v>
      </c>
      <c r="C24" s="9" t="s">
        <v>44</v>
      </c>
      <c r="D24" s="10" t="s">
        <v>51</v>
      </c>
      <c r="E24" s="10" t="s">
        <v>30</v>
      </c>
      <c r="F24" s="9" t="s">
        <v>323</v>
      </c>
      <c r="G24" s="11">
        <v>1.2</v>
      </c>
      <c r="H24" s="9" t="s">
        <v>27</v>
      </c>
      <c r="I24" s="16" t="s">
        <v>368</v>
      </c>
      <c r="L24" s="75"/>
    </row>
    <row r="25" spans="2:14" s="2" customFormat="1" ht="52">
      <c r="B25" s="8" t="s">
        <v>337</v>
      </c>
      <c r="C25" s="9" t="s">
        <v>22</v>
      </c>
      <c r="D25" s="10" t="s">
        <v>60</v>
      </c>
      <c r="E25" s="10" t="s">
        <v>30</v>
      </c>
      <c r="F25" s="9" t="s">
        <v>335</v>
      </c>
      <c r="G25" s="11">
        <v>1.4</v>
      </c>
      <c r="H25" s="9" t="s">
        <v>73</v>
      </c>
      <c r="I25" s="16" t="s">
        <v>369</v>
      </c>
    </row>
    <row r="26" spans="2:14" s="2" customFormat="1" ht="13">
      <c r="B26" s="8" t="s">
        <v>337</v>
      </c>
      <c r="C26" s="9" t="s">
        <v>28</v>
      </c>
      <c r="D26" s="10" t="s">
        <v>31</v>
      </c>
      <c r="E26" s="10" t="s">
        <v>34</v>
      </c>
      <c r="F26" s="9" t="s">
        <v>37</v>
      </c>
      <c r="G26" s="11">
        <v>1.5</v>
      </c>
      <c r="H26" s="9" t="s">
        <v>75</v>
      </c>
      <c r="I26" s="16" t="s">
        <v>360</v>
      </c>
    </row>
    <row r="27" spans="2:14" s="2" customFormat="1" ht="52">
      <c r="B27" s="8" t="s">
        <v>337</v>
      </c>
      <c r="C27" s="9" t="s">
        <v>43</v>
      </c>
      <c r="D27" s="10" t="s">
        <v>50</v>
      </c>
      <c r="E27" s="10" t="s">
        <v>30</v>
      </c>
      <c r="F27" s="9" t="s">
        <v>332</v>
      </c>
      <c r="G27" s="11">
        <v>0.6</v>
      </c>
      <c r="H27" s="9" t="s">
        <v>27</v>
      </c>
      <c r="I27" s="16" t="s">
        <v>366</v>
      </c>
    </row>
    <row r="28" spans="2:14" s="2" customFormat="1" ht="52">
      <c r="B28" s="8" t="s">
        <v>337</v>
      </c>
      <c r="C28" s="9" t="s">
        <v>43</v>
      </c>
      <c r="D28" s="10" t="s">
        <v>49</v>
      </c>
      <c r="E28" s="10" t="s">
        <v>30</v>
      </c>
      <c r="F28" s="9" t="s">
        <v>332</v>
      </c>
      <c r="G28" s="11">
        <v>0.5</v>
      </c>
      <c r="H28" s="9" t="s">
        <v>27</v>
      </c>
      <c r="I28" s="16" t="s">
        <v>364</v>
      </c>
    </row>
    <row r="29" spans="2:14" s="2" customFormat="1" ht="52">
      <c r="B29" s="8" t="s">
        <v>337</v>
      </c>
      <c r="C29" s="9" t="s">
        <v>43</v>
      </c>
      <c r="D29" s="10" t="s">
        <v>47</v>
      </c>
      <c r="E29" s="10" t="s">
        <v>30</v>
      </c>
      <c r="F29" s="9" t="s">
        <v>332</v>
      </c>
      <c r="G29" s="11">
        <v>0.3</v>
      </c>
      <c r="H29" s="9" t="s">
        <v>73</v>
      </c>
      <c r="I29" s="16" t="s">
        <v>371</v>
      </c>
    </row>
    <row r="30" spans="2:14" s="2" customFormat="1" ht="52">
      <c r="B30" s="8" t="s">
        <v>337</v>
      </c>
      <c r="C30" s="9" t="s">
        <v>43</v>
      </c>
      <c r="D30" s="10" t="s">
        <v>46</v>
      </c>
      <c r="E30" s="10" t="s">
        <v>30</v>
      </c>
      <c r="F30" s="9" t="s">
        <v>332</v>
      </c>
      <c r="G30" s="11">
        <v>0.3</v>
      </c>
      <c r="H30" s="9" t="s">
        <v>27</v>
      </c>
      <c r="I30" s="16" t="s">
        <v>365</v>
      </c>
    </row>
    <row r="31" spans="2:14" s="2" customFormat="1" ht="52">
      <c r="B31" s="8" t="s">
        <v>337</v>
      </c>
      <c r="C31" s="9" t="s">
        <v>43</v>
      </c>
      <c r="D31" s="10" t="s">
        <v>57</v>
      </c>
      <c r="E31" s="10" t="s">
        <v>30</v>
      </c>
      <c r="F31" s="9" t="s">
        <v>332</v>
      </c>
      <c r="G31" s="11">
        <v>0.8</v>
      </c>
      <c r="H31" s="9" t="s">
        <v>73</v>
      </c>
      <c r="I31" s="16" t="s">
        <v>367</v>
      </c>
    </row>
    <row r="32" spans="2:14" s="2" customFormat="1" ht="52">
      <c r="B32" s="8" t="s">
        <v>337</v>
      </c>
      <c r="C32" s="9" t="s">
        <v>43</v>
      </c>
      <c r="D32" s="10" t="s">
        <v>47</v>
      </c>
      <c r="E32" s="10" t="s">
        <v>30</v>
      </c>
      <c r="F32" s="9" t="s">
        <v>332</v>
      </c>
      <c r="G32" s="11">
        <v>2</v>
      </c>
      <c r="H32" s="9" t="s">
        <v>73</v>
      </c>
      <c r="I32" s="16" t="s">
        <v>370</v>
      </c>
      <c r="N32" s="2" t="s">
        <v>341</v>
      </c>
    </row>
    <row r="33" spans="2:9" s="2" customFormat="1" ht="13">
      <c r="B33" s="8" t="s">
        <v>337</v>
      </c>
      <c r="C33" s="9" t="s">
        <v>28</v>
      </c>
      <c r="D33" s="10" t="s">
        <v>31</v>
      </c>
      <c r="E33" s="10" t="s">
        <v>34</v>
      </c>
      <c r="F33" s="9" t="s">
        <v>80</v>
      </c>
      <c r="G33" s="11">
        <v>1</v>
      </c>
      <c r="H33" s="9" t="s">
        <v>21</v>
      </c>
      <c r="I33" s="16" t="s">
        <v>343</v>
      </c>
    </row>
    <row r="34" spans="2:9" s="2" customFormat="1" ht="52">
      <c r="B34" s="8" t="s">
        <v>337</v>
      </c>
      <c r="C34" s="9" t="s">
        <v>43</v>
      </c>
      <c r="D34" s="10" t="s">
        <v>49</v>
      </c>
      <c r="E34" s="10" t="s">
        <v>30</v>
      </c>
      <c r="F34" s="9" t="s">
        <v>332</v>
      </c>
      <c r="G34" s="11">
        <v>0.6</v>
      </c>
      <c r="H34" s="9" t="s">
        <v>73</v>
      </c>
      <c r="I34" s="16" t="s">
        <v>372</v>
      </c>
    </row>
    <row r="35" spans="2:9" s="2" customFormat="1" ht="26">
      <c r="B35" s="8" t="s">
        <v>337</v>
      </c>
      <c r="C35" s="9" t="s">
        <v>28</v>
      </c>
      <c r="D35" s="10" t="s">
        <v>31</v>
      </c>
      <c r="E35" s="10" t="s">
        <v>33</v>
      </c>
      <c r="F35" s="9" t="s">
        <v>39</v>
      </c>
      <c r="G35" s="11">
        <v>1.5</v>
      </c>
      <c r="H35" s="9" t="s">
        <v>31</v>
      </c>
      <c r="I35" s="16" t="s">
        <v>339</v>
      </c>
    </row>
    <row r="36" spans="2:9" s="2" customFormat="1" ht="14.5" customHeight="1" thickBot="1">
      <c r="B36" s="81" t="s">
        <v>32</v>
      </c>
      <c r="C36" s="82"/>
      <c r="D36" s="83"/>
      <c r="E36" s="12"/>
      <c r="F36" s="12"/>
      <c r="G36" s="84">
        <f>SUM(G6:G35)</f>
        <v>33.799999999999997</v>
      </c>
      <c r="H36" s="85"/>
      <c r="I36" s="86"/>
    </row>
    <row r="39" spans="2:9" ht="29">
      <c r="B39" s="17" t="s">
        <v>81</v>
      </c>
      <c r="C39" s="18" t="s">
        <v>359</v>
      </c>
    </row>
    <row r="40" spans="2:9">
      <c r="C40" s="18" t="s">
        <v>342</v>
      </c>
    </row>
    <row r="43" spans="2:9">
      <c r="F43" s="76" t="s">
        <v>341</v>
      </c>
    </row>
  </sheetData>
  <mergeCells count="4">
    <mergeCell ref="B1:I1"/>
    <mergeCell ref="B2:H2"/>
    <mergeCell ref="B36:D36"/>
    <mergeCell ref="G36:I36"/>
  </mergeCells>
  <phoneticPr fontId="11" type="noConversion"/>
  <dataValidations count="3">
    <dataValidation type="list" errorStyle="warning" allowBlank="1" sqref="C21:C35" xr:uid="{00000000-0002-0000-0000-000005000000}">
      <formula1>项目事项分类项目名称</formula1>
    </dataValidation>
    <dataValidation type="list" allowBlank="1" showInputMessage="1" showErrorMessage="1" sqref="H6:H35" xr:uid="{00000000-0002-0000-0000-000006000000}">
      <formula1>事项分类指定内容</formula1>
    </dataValidation>
    <dataValidation type="list" allowBlank="1" showInputMessage="1" showErrorMessage="1" sqref="F6:F35"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C6:C20</xm:sqref>
        </x14:dataValidation>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186"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48"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310"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23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41"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5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2025-11-14T10:50:31Z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