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359FF816-9B44-4EFF-B5E9-0F5942EE45EB}" xr6:coauthVersionLast="47" xr6:coauthVersionMax="47" xr10:uidLastSave="{00000000-0000-0000-0000-000000000000}"/>
  <bookViews>
    <workbookView xWindow="-57720" yWindow="-2445"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<sst xmlns="http://schemas.openxmlformats.org/spreadsheetml/2006/main" count="596" uniqueCount="363">
  <si>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</si>
  <si>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</si>
  <si>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</si>
  <si>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</si>
  <si>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</si>
  <si>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</si>
  <si>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</si>
  <si>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</si>
  <si>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</si>
  <si>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</si>
  <si>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</si>
  <si>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</si>
  <si>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</si>
  <si>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</si>
  <si>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</si>
  <si>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</si>
  <si>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</si>
  <si>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</si>
  <si>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</si>
  <si>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</si>
  <si>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</si>
  <si>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</si>
  <si>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</si>
  <si>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</si>
  <si>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</si>
  <si>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</si>
  <si>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</si>
  <si>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</si>
  <si>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</si>
  <si>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</si>
  <si>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</si>
  <si>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</si>
  <si>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</si>
  <si>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</si>
  <si>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</si>
  <si>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</si>
  <si>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</si>
  <si>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</si>
  <si>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</si>
  <si>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</si>
  <si>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</si>
  <si>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</si>
  <si>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</si>
  <si>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</si>
  <si>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</si>
  <si>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</si>
  <si>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</si>
  <si>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</si>
  <si>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</si>
  <si>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</si>
  <si>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</si>
  <si>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</si>
  <si>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</si>
  <si>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</si>
  <si>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</si>
  <si>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</si>
  <si>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</si>
  <si>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</si>
  <si>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</si>
  <si>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</si>
  <si>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</si>
  <si>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</si>
  <si>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</si>
  <si>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</si>
  <si>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</si>
  <si>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</si>
  <si>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</si>
  <si>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</si>
  <si>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</si>
  <si>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</si>
  <si>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</si>
  <si>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</si>
  <si>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</si>
  <si>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</si>
  <si>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</si>
  <si>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</si>
  <si>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</si>
  <si>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</si>
  <si>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</si>
  <si>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</si>
  <si>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</si>
  <si>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1"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</si>
  <si>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</si>
  <si>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</si>
  <si>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</si>
  <si>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</si>
  <si>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</si>
  <si>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</si>
  <si>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</si>
  <si>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</si>
  <si>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</si>
  <si>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</si>
  <si>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</si>
  <si>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</si>
  <si>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</si>
  <si>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</si>
  <si>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</si>
  <si>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</si>
  <si>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</si>
  <si>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2"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</si>
  <si>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</si>
  <si>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</si>
  <si>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</si>
  <si>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</si>
  <si>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</si>
  <si>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2"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</si>
  <si>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</si>
  <si>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</si>
  <si>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</si>
  <si>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</si>
  <si>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</si>
  <si>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</si>
  <si>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</si>
  <si>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</si>
  <si>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</si>
  <si>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</si>
  <si>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</si>
  <si>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</si>
  <si>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</si>
  <si>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</si>
  <si>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</si>
  <si>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</si>
  <si>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</si>
  <si>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</si>
  <si>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2"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</si>
  <si>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</si>
  <si>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</si>
  <si>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</si>
  <si>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</si>
  <si>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</si>
  <si>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</si>
  <si>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</si>
  <si>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</si>
  <si>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</si>
  <si>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</si>
  <si>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</si>
  <si>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</si>
  <si>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</si>
  <si>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</si>
  <si>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</si>
  <si>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</si>
  <si>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</si>
  <si>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</si>
  <si>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2"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</si>
  <si>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</si>
  <si>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</si>
  <si>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</si>
  <si>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</si>
  <si>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</si>
  <si>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</si>
  <si>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</si>
  <si>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</si>
  <si>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</si>
  <si>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</si>
  <si>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</si>
  <si>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</si>
  <si>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</si>
  <si>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</si>
  <si>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</si>
  <si>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</si>
  <si>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</si>
  <si>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</si>
  <si>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</si>
  <si>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</si>
  <si>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</si>
  <si>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</si>
  <si>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</si>
  <si>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</si>
  <si>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</si>
  <si>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</si>
  <si>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</si>
  <si>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</si>
  <si>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</si>
  <si>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</si>
  <si>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</si>
  <si>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</si>
  <si>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</si>
  <si>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</si>
  <si>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</si>
  <si>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</si>
  <si>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</si>
  <si>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</si>
  <si>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</si>
  <si>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</si>
  <si>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</si>
  <si>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</si>
  <si>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</si>
  <si>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</si>
  <si>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</si>
  <si>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</si>
  <si>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</si>
  <si>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</si>
  <si>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</si>
  <si>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2"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</si>
  <si>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</si>
  <si>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</si>
  <si>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</si>
  <si>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</si>
  <si>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</si>
  <si>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</si>
  <si>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</si>
  <si>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</si>
  <si>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</si>
  <si>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</si>
  <si>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</si>
  <si>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</si>
  <si>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</si>
  <si>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</si>
  <si>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</si>
  <si>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</si>
  <si>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</si>
  <si>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</si>
  <si>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</si>
  <si>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</si>
  <si>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</si>
  <si>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</si>
  <si>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</si>
  <si>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</si>
  <si>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</si>
  <si>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2"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</si>
  <si>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</si>
  <si>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</si>
  <si>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</si>
  <si>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</si>
  <si>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</si>
  <si>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</si>
  <si>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</si>
  <si>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</si>
  <si>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</si>
  <si>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</si>
  <si>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</si>
  <si>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</si>
  <si>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</si>
  <si>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</si>
  <si>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</si>
  <si>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</si>
  <si>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</si>
  <si>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</si>
  <si>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</si>
  <si>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</si>
  <si>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</si>
  <si>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</si>
  <si>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</si>
  <si>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</si>
  <si>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</si>
  <si>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</si>
  <si>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</si>
  <si>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</si>
  <si>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</si>
  <si>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</si>
  <si>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</si>
  <si>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</si>
  <si>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</si>
  <si>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</si>
  <si>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</si>
  <si>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</si>
  <si>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</si>
  <si>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</si>
  <si>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</si>
  <si>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2"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</si>
  <si>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</si>
  <si>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</si>
  <si>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</si>
  <si>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</si>
  <si>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</si>
  <si>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</si>
  <si>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</si>
  <si>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</si>
  <si>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</si>
  <si>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</si>
  <si>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</si>
  <si>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</si>
  <si>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</si>
  <si>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</si>
  <si>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</si>
  <si>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</si>
  <si>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</si>
  <si>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</si>
  <si>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</si>
  <si>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</si>
  <si>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</si>
  <si>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</si>
  <si>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</si>
  <si>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</si>
  <si>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</si>
  <si>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</si>
  <si>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</si>
  <si>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</si>
  <si>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</si>
  <si>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</si>
  <si>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</si>
  <si>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</si>
  <si>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</si>
  <si>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</si>
  <si>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</si>
  <si>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</si>
  <si>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</si>
  <si>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</si>
  <si>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</si>
  <si>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</si>
  <si>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</si>
  <si>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</si>
  <si>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</si>
  <si>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2"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</si>
  <si>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</si>
  <si>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</si>
  <si>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</si>
  <si>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</si>
  <si>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</si>
  <si>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</si>
  <si>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</si>
  <si>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</si>
  <si>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</si>
  <si>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</si>
  <si>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</si>
  <si>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</si>
  <si>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</si>
  <si>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</si>
  <si>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</si>
  <si>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</si>
  <si>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</si>
  <si>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</si>
  <si>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</si>
  <si>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</si>
  <si>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</si>
  <si>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</si>
  <si>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</si>
  <si>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</si>
  <si>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</si>
  <si>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</si>
  <si>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</si>
  <si>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</si>
  <si>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</si>
  <si>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</si>
  <si>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</si>
  <si>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</si>
  <si>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</si>
  <si>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</si>
  <si>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</si>
  <si>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Timesheets  and Imanage</t>
  </si>
  <si>
    <r>
      <t>Date: 2025</t>
    </r>
    <r>
      <rPr>
        <b/>
        <sz val="10"/>
        <color theme="0"/>
        <rFont val="等线"/>
        <charset val="134"/>
      </rPr>
      <t xml:space="preserve"> - </t>
    </r>
    <r>
      <rPr>
        <b/>
        <sz val="10"/>
        <color theme="0"/>
        <rFont val="Calibri"/>
        <family val="2"/>
        <scheme val="minor"/>
      </rPr>
      <t>06 - 30</t>
    </r>
    <r>
      <rPr>
        <b/>
        <sz val="10"/>
        <color theme="0"/>
        <rFont val="新細明體"/>
        <family val="1"/>
        <charset val="136"/>
      </rPr>
      <t xml:space="preserve"> - </t>
    </r>
    <r>
      <rPr>
        <b/>
        <sz val="10"/>
        <color theme="0"/>
        <rFont val="Calibri"/>
        <family val="2"/>
        <scheme val="minor"/>
      </rPr>
      <t>2025 - 07 - 06</t>
    </r>
  </si>
  <si>
    <t xml:space="preserve"> </t>
  </si>
  <si>
    <t xml:space="preserve">Public Holiday on </t>
  </si>
  <si>
    <t>bills</t>
  </si>
  <si>
    <t xml:space="preserve">AL/SL/Other Leave on 25/11 </t>
  </si>
  <si>
    <t>Conducting interview and providing feedback</t>
  </si>
  <si>
    <t>discussions with Cat and Karen re. SSV mandate</t>
  </si>
  <si>
    <t>draft cover email re. capital injection, reflect comments</t>
  </si>
  <si>
    <t>discussions and review of bank documents to assist with KYC requests</t>
  </si>
  <si>
    <t>training</t>
  </si>
  <si>
    <t>review documents</t>
  </si>
  <si>
    <t>discussion with Mindy re. guarantee</t>
  </si>
  <si>
    <t>review comsec documents, structure chart queries</t>
  </si>
  <si>
    <t>review Lux advice and respond to GCTSM re. cap injection requriements</t>
  </si>
  <si>
    <t>review contracts</t>
  </si>
  <si>
    <t>update call with GCTSM</t>
  </si>
  <si>
    <t>meet up with 2Birds</t>
  </si>
  <si>
    <t>review template and discussions with Glenn re new template</t>
  </si>
  <si>
    <t>discussions with Viv on thai structure</t>
  </si>
  <si>
    <t>discussions with Celine and Mindy and Jeff re. requirements</t>
  </si>
  <si>
    <t>review of ROM and discussions on share par value</t>
  </si>
  <si>
    <t>discussions with Mindy re. new guarantee arrangement, review draft and discussions with Jeff re. supplemental agreement, further discussions with Jeff</t>
  </si>
  <si>
    <t>reviewing comsec documents, discussions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</si>
</sst>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1"/>
      <color theme="1"/>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2" fillId="0" borderId="0" xfId="0" applyFont="1">
      <alignment vertical="center"/>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5" fillId="4" borderId="0" xfId="0" applyFont="1" applyFill="1" applyAlignment="1">
      <alignment horizontal="right" vertical="center"/>
    </xf>
    <xf numFmtId="0" fontId="6" fillId="4" borderId="8" xfId="0" applyFont="1" applyFill="1" applyBorder="1" applyAlignment="1">
      <alignment vertical="center" wrapText="1"/>
    </xf>
    <xf numFmtId="0" fontId="6" fillId="4" borderId="1" xfId="0" applyFont="1" applyFill="1" applyBorder="1" applyAlignment="1">
      <alignment vertical="center" wrapText="1"/>
    </xf>
    <xf numFmtId="0" fontId="7" fillId="5" borderId="8" xfId="0" applyFont="1" applyFill="1" applyBorder="1">
      <alignment vertical="center"/>
    </xf>
    <xf numFmtId="0" fontId="7" fillId="5" borderId="1" xfId="0" applyFont="1" applyFill="1" applyBorder="1" applyAlignment="1">
      <alignment vertical="center" wrapText="1"/>
    </xf>
    <xf numFmtId="0" fontId="7" fillId="5" borderId="1" xfId="0" applyFont="1" applyFill="1" applyBorder="1">
      <alignment vertical="center"/>
    </xf>
    <xf numFmtId="165" fontId="7" fillId="5" borderId="1" xfId="0" applyNumberFormat="1" applyFont="1" applyFill="1" applyBorder="1" applyAlignment="1">
      <alignment horizontal="center" vertical="center"/>
    </xf>
    <xf numFmtId="0" fontId="4" fillId="0" borderId="10" xfId="0" applyFont="1" applyBorder="1" applyAlignment="1">
      <alignment horizontal="right" vertical="center"/>
    </xf>
    <xf numFmtId="0" fontId="8" fillId="3" borderId="13" xfId="0" applyFont="1" applyFill="1" applyBorder="1" applyAlignment="1">
      <alignment horizontal="right" vertical="center"/>
    </xf>
    <xf numFmtId="0" fontId="9" fillId="0" borderId="14" xfId="0" applyFont="1" applyBorder="1" applyAlignment="1">
      <alignment horizontal="center" vertical="center"/>
    </xf>
    <xf numFmtId="0" fontId="6" fillId="4" borderId="14" xfId="0" applyFont="1" applyFill="1" applyBorder="1" applyAlignment="1">
      <alignment vertical="center" wrapText="1"/>
    </xf>
    <xf numFmtId="0" fontId="7" fillId="5" borderId="14" xfId="0" applyFont="1" applyFill="1" applyBorder="1" applyAlignment="1">
      <alignment vertical="center" wrapText="1"/>
    </xf>
    <xf numFmtId="0" fontId="12" fillId="0" borderId="0" xfId="0" applyFont="1">
      <alignment vertical="center"/>
    </xf>
    <xf numFmtId="0" fontId="12" fillId="0" borderId="0" xfId="0" applyFont="1" applyAlignment="1">
      <alignment vertical="center" wrapText="1"/>
    </xf>
    <xf numFmtId="0" fontId="14" fillId="6" borderId="0" xfId="0" applyFont="1" applyFill="1">
      <alignment vertical="center"/>
    </xf>
    <xf numFmtId="0" fontId="20" fillId="2" borderId="1" xfId="0" applyFont="1" applyFill="1" applyBorder="1" applyAlignment="1">
      <alignment horizontal="center" vertical="center" wrapText="1"/>
    </xf>
    <xf numFmtId="0" fontId="23" fillId="7" borderId="1" xfId="0" applyFont="1" applyFill="1" applyBorder="1" applyAlignment="1">
      <alignment horizontal="left" vertical="center" wrapText="1"/>
    </xf>
    <xf numFmtId="0" fontId="23" fillId="7" borderId="24" xfId="0" applyFont="1" applyFill="1" applyBorder="1" applyAlignment="1">
      <alignment horizontal="left" vertical="center" wrapText="1"/>
    </xf>
    <xf numFmtId="0" fontId="24" fillId="6" borderId="0" xfId="0" applyFont="1" applyFill="1">
      <alignment vertical="center"/>
    </xf>
    <xf numFmtId="0" fontId="24" fillId="6" borderId="0" xfId="0" applyFont="1" applyFill="1" applyAlignment="1">
      <alignment horizontal="center" vertical="center"/>
    </xf>
    <xf numFmtId="0" fontId="25" fillId="0" borderId="4" xfId="0" applyFont="1" applyBorder="1" applyAlignment="1">
      <alignment horizontal="left" vertical="center" wrapText="1"/>
    </xf>
    <xf numFmtId="0" fontId="25" fillId="0" borderId="26" xfId="0" applyFont="1" applyBorder="1" applyAlignment="1">
      <alignment horizontal="left" vertical="center" wrapText="1"/>
    </xf>
    <xf numFmtId="0" fontId="25" fillId="0" borderId="1" xfId="0" applyFont="1" applyBorder="1" applyAlignment="1">
      <alignment horizontal="left" vertical="center" wrapText="1"/>
    </xf>
    <xf numFmtId="0" fontId="25" fillId="0" borderId="27" xfId="0" applyFont="1" applyBorder="1" applyAlignment="1">
      <alignment horizontal="center" vertical="center" wrapText="1"/>
    </xf>
    <xf numFmtId="164" fontId="25" fillId="0" borderId="1" xfId="0" applyNumberFormat="1" applyFont="1" applyBorder="1" applyAlignment="1">
      <alignment vertical="center" wrapText="1"/>
    </xf>
    <xf numFmtId="164" fontId="25" fillId="0" borderId="1" xfId="0" applyNumberFormat="1" applyFont="1" applyBorder="1">
      <alignment vertical="center"/>
    </xf>
    <xf numFmtId="0" fontId="25" fillId="0" borderId="1" xfId="0" applyFont="1" applyBorder="1">
      <alignment vertical="center"/>
    </xf>
    <xf numFmtId="0" fontId="25" fillId="0" borderId="16" xfId="0" applyFont="1" applyBorder="1" applyAlignment="1">
      <alignment horizontal="left" vertical="center" wrapText="1"/>
    </xf>
    <xf numFmtId="0" fontId="25" fillId="0" borderId="0" xfId="0" applyFont="1" applyAlignment="1">
      <alignment vertical="center" wrapText="1"/>
    </xf>
    <xf numFmtId="0" fontId="25" fillId="0" borderId="0" xfId="0" applyFont="1" applyAlignment="1">
      <alignment horizontal="center" vertical="center"/>
    </xf>
    <xf numFmtId="0" fontId="25" fillId="0" borderId="1" xfId="0" applyFont="1" applyBorder="1" applyAlignment="1">
      <alignment horizontal="center" vertical="center" wrapText="1"/>
    </xf>
    <xf numFmtId="164" fontId="25" fillId="0" borderId="4" xfId="0" applyNumberFormat="1" applyFont="1" applyBorder="1" applyAlignment="1">
      <alignment horizontal="left" vertical="center" wrapText="1"/>
    </xf>
    <xf numFmtId="164" fontId="25" fillId="0" borderId="4" xfId="0" applyNumberFormat="1" applyFont="1" applyBorder="1" applyAlignment="1">
      <alignment horizontal="left" vertical="center"/>
    </xf>
    <xf numFmtId="0" fontId="25" fillId="0" borderId="28" xfId="0" applyFont="1" applyBorder="1" applyAlignment="1">
      <alignment vertical="center" wrapText="1"/>
    </xf>
    <xf numFmtId="0" fontId="25" fillId="0" borderId="4" xfId="0" applyFont="1" applyBorder="1" applyAlignment="1">
      <alignment vertical="center" wrapText="1"/>
    </xf>
    <xf numFmtId="0" fontId="25" fillId="0" borderId="21" xfId="0" applyFont="1" applyBorder="1" applyAlignment="1">
      <alignment horizontal="left" vertical="center" wrapText="1"/>
    </xf>
    <xf numFmtId="0" fontId="25" fillId="0" borderId="27" xfId="0" applyFont="1" applyBorder="1" applyAlignment="1">
      <alignment horizontal="left" vertical="center" wrapText="1"/>
    </xf>
    <xf numFmtId="0" fontId="25" fillId="0" borderId="1" xfId="0" applyFont="1" applyBorder="1" applyAlignment="1">
      <alignment horizontal="center" vertical="center"/>
    </xf>
    <xf numFmtId="0" fontId="25" fillId="0" borderId="23" xfId="0" applyFont="1" applyBorder="1" applyAlignment="1">
      <alignment horizontal="left" vertical="center" wrapText="1"/>
    </xf>
    <xf numFmtId="0" fontId="25" fillId="0" borderId="1" xfId="0" applyFont="1" applyBorder="1" applyAlignment="1">
      <alignment vertical="center" wrapText="1"/>
    </xf>
    <xf numFmtId="0" fontId="25" fillId="0" borderId="28" xfId="0" applyFont="1" applyBorder="1">
      <alignment vertical="center"/>
    </xf>
    <xf numFmtId="0" fontId="25" fillId="0" borderId="20" xfId="0" applyFont="1" applyBorder="1" applyAlignment="1">
      <alignment horizontal="left" vertical="center" wrapText="1"/>
    </xf>
    <xf numFmtId="0" fontId="23" fillId="0" borderId="1" xfId="0" applyFont="1" applyBorder="1" applyAlignment="1">
      <alignment horizontal="left" vertical="center" wrapText="1"/>
    </xf>
    <xf numFmtId="164" fontId="23" fillId="0" borderId="1" xfId="0" applyNumberFormat="1" applyFont="1" applyBorder="1" applyAlignment="1">
      <alignment vertical="center" wrapText="1"/>
    </xf>
    <xf numFmtId="164" fontId="25" fillId="0" borderId="28" xfId="0" applyNumberFormat="1" applyFont="1" applyBorder="1" applyAlignment="1">
      <alignment horizontal="left" vertical="center" wrapText="1"/>
    </xf>
    <xf numFmtId="0" fontId="25" fillId="0" borderId="27" xfId="0" applyFont="1" applyBorder="1" applyAlignment="1">
      <alignment vertical="center" wrapText="1"/>
    </xf>
    <xf numFmtId="0" fontId="25" fillId="0" borderId="3" xfId="0" applyFont="1" applyBorder="1" applyAlignment="1">
      <alignment vertical="center" wrapText="1"/>
    </xf>
    <xf numFmtId="0" fontId="25" fillId="0" borderId="2" xfId="0" applyFont="1" applyBorder="1" applyAlignment="1">
      <alignment vertical="center" wrapText="1"/>
    </xf>
    <xf numFmtId="0" fontId="25" fillId="0" borderId="29" xfId="0" applyFont="1" applyBorder="1" applyAlignment="1">
      <alignment vertical="center" wrapText="1"/>
    </xf>
    <xf numFmtId="0" fontId="25" fillId="0" borderId="21" xfId="0" applyFont="1" applyBorder="1" applyAlignment="1">
      <alignment vertical="center" wrapText="1"/>
    </xf>
    <xf numFmtId="164" fontId="23" fillId="9" borderId="1" xfId="0" applyNumberFormat="1" applyFont="1" applyFill="1" applyBorder="1" applyAlignment="1">
      <alignment vertical="center" wrapText="1"/>
    </xf>
    <xf numFmtId="0" fontId="25" fillId="0" borderId="1" xfId="0" applyFont="1" applyBorder="1" applyAlignment="1">
      <alignment horizontal="left" vertical="center"/>
    </xf>
    <xf numFmtId="0" fontId="26" fillId="6" borderId="0" xfId="0" applyFont="1" applyFill="1" applyAlignment="1">
      <alignment horizontal="center" vertical="center"/>
    </xf>
    <xf numFmtId="0" fontId="27" fillId="6" borderId="0" xfId="0" applyFont="1" applyFill="1" applyAlignment="1">
      <alignment horizontal="center"/>
    </xf>
    <xf numFmtId="0" fontId="28" fillId="6" borderId="0" xfId="0" applyFont="1" applyFill="1" applyAlignment="1">
      <alignment horizontal="left" vertical="top"/>
    </xf>
    <xf numFmtId="0" fontId="28" fillId="6" borderId="0" xfId="0" applyFont="1" applyFill="1" applyAlignment="1">
      <alignment horizontal="left" vertical="center"/>
    </xf>
    <xf numFmtId="0" fontId="27" fillId="6" borderId="30" xfId="0" applyFont="1" applyFill="1" applyBorder="1" applyAlignment="1">
      <alignment wrapText="1"/>
    </xf>
    <xf numFmtId="0" fontId="27" fillId="6" borderId="0" xfId="0" applyFont="1" applyFill="1" applyAlignment="1">
      <alignment wrapText="1"/>
    </xf>
    <xf numFmtId="0" fontId="28" fillId="6" borderId="0" xfId="0" applyFont="1" applyFill="1">
      <alignment vertical="center"/>
    </xf>
    <xf numFmtId="0" fontId="24" fillId="6" borderId="0" xfId="0" applyFont="1" applyFill="1" applyAlignment="1">
      <alignment horizontal="left" vertical="top"/>
    </xf>
    <xf numFmtId="0" fontId="24" fillId="6" borderId="0" xfId="0" applyFont="1" applyFill="1" applyAlignment="1">
      <alignment horizontal="left" vertical="center"/>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30" fillId="0" borderId="33" xfId="0" applyFont="1" applyBorder="1" applyAlignment="1">
      <alignment horizontal="center" vertical="center" wrapText="1"/>
    </xf>
    <xf numFmtId="0" fontId="30" fillId="0" borderId="34" xfId="0" applyFont="1" applyBorder="1" applyAlignment="1">
      <alignment horizontal="center" vertical="center" wrapText="1"/>
    </xf>
    <xf numFmtId="0" fontId="30" fillId="0" borderId="35" xfId="0" applyFont="1" applyBorder="1" applyAlignment="1">
      <alignment horizontal="center" vertical="center" wrapText="1"/>
    </xf>
    <xf numFmtId="0" fontId="30" fillId="0" borderId="36" xfId="0" applyFont="1" applyBorder="1" applyAlignment="1">
      <alignment horizontal="center" vertical="center" wrapText="1"/>
    </xf>
    <xf numFmtId="0" fontId="14" fillId="6" borderId="0" xfId="0" applyFont="1" applyFill="1" applyAlignment="1"/>
    <xf numFmtId="0" fontId="14" fillId="0" borderId="0" xfId="0" applyFont="1">
      <alignment vertical="center"/>
    </xf>
    <xf numFmtId="0" fontId="14" fillId="0" borderId="0" xfId="0" applyFont="1" applyAlignment="1">
      <alignment horizontal="center"/>
    </xf>
    <xf numFmtId="165" fontId="2" fillId="0" borderId="0" xfId="0" applyNumberFormat="1" applyFont="1">
      <alignment vertical="center"/>
    </xf>
    <xf numFmtId="0" fontId="1" fillId="0" borderId="0" xfId="0" applyFont="1">
      <alignment vertical="center"/>
    </xf>
    <xf numFmtId="0" fontId="3" fillId="3" borderId="5" xfId="0" applyFont="1" applyFill="1" applyBorder="1" applyAlignment="1">
      <alignment horizontal="center" vertical="center"/>
    </xf>
    <xf numFmtId="0" fontId="3" fillId="3" borderId="0" xfId="0" applyFont="1" applyFill="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165" fontId="4" fillId="0" borderId="12" xfId="0" applyNumberFormat="1" applyFont="1" applyBorder="1" applyAlignment="1">
      <alignment horizontal="left" vertical="center"/>
    </xf>
    <xf numFmtId="165" fontId="4" fillId="0" borderId="10" xfId="0" applyNumberFormat="1" applyFont="1" applyBorder="1" applyAlignment="1">
      <alignment horizontal="left" vertical="center"/>
    </xf>
    <xf numFmtId="165" fontId="4" fillId="0" borderId="15" xfId="0" applyNumberFormat="1" applyFont="1" applyBorder="1" applyAlignment="1">
      <alignment horizontal="left" vertical="center"/>
    </xf>
    <xf numFmtId="0" fontId="25" fillId="0" borderId="1" xfId="0" applyFont="1" applyBorder="1" applyAlignment="1">
      <alignment vertical="center" wrapText="1"/>
    </xf>
    <xf numFmtId="0" fontId="22" fillId="0" borderId="1" xfId="0" applyFont="1" applyBorder="1" applyAlignment="1">
      <alignment vertical="center" wrapText="1"/>
    </xf>
    <xf numFmtId="0" fontId="25" fillId="0" borderId="4" xfId="0" applyFont="1" applyBorder="1" applyAlignment="1">
      <alignment horizontal="left" vertical="center" wrapText="1"/>
    </xf>
    <xf numFmtId="0" fontId="23" fillId="0" borderId="4" xfId="0" applyFont="1" applyBorder="1">
      <alignment vertical="center"/>
    </xf>
    <xf numFmtId="0" fontId="25" fillId="0" borderId="16" xfId="0" applyFont="1" applyBorder="1" applyAlignment="1">
      <alignment horizontal="left" vertical="center" wrapText="1"/>
    </xf>
    <xf numFmtId="0" fontId="23" fillId="0" borderId="21" xfId="0" applyFont="1" applyBorder="1" applyAlignment="1">
      <alignment horizontal="left" vertical="center" wrapText="1"/>
    </xf>
    <xf numFmtId="0" fontId="24" fillId="6" borderId="0" xfId="0" applyFont="1" applyFill="1" applyAlignment="1">
      <alignment horizontal="center" vertical="center"/>
    </xf>
    <xf numFmtId="0" fontId="22" fillId="8" borderId="1" xfId="0" applyFont="1" applyFill="1" applyBorder="1" applyAlignment="1">
      <alignment vertical="center" wrapText="1"/>
    </xf>
    <xf numFmtId="0" fontId="25" fillId="0" borderId="24" xfId="0" applyFont="1" applyBorder="1" applyAlignment="1">
      <alignment horizontal="left" vertical="center" wrapText="1"/>
    </xf>
    <xf numFmtId="0" fontId="22" fillId="8" borderId="16" xfId="0" applyFont="1" applyFill="1" applyBorder="1" applyAlignment="1">
      <alignment horizontal="left" vertical="center" wrapText="1"/>
    </xf>
    <xf numFmtId="0" fontId="22" fillId="8" borderId="21" xfId="0" applyFont="1" applyFill="1" applyBorder="1" applyAlignment="1">
      <alignment horizontal="left" vertical="center" wrapText="1"/>
    </xf>
    <xf numFmtId="0" fontId="22" fillId="8" borderId="22" xfId="0" applyFont="1" applyFill="1" applyBorder="1" applyAlignment="1">
      <alignment vertical="center" wrapText="1"/>
    </xf>
    <xf numFmtId="0" fontId="25" fillId="0" borderId="22" xfId="0" applyFont="1" applyBorder="1" applyAlignment="1">
      <alignment vertical="center" wrapText="1"/>
    </xf>
    <xf numFmtId="0" fontId="22" fillId="0" borderId="27" xfId="0" applyFont="1" applyBorder="1">
      <alignment vertical="center"/>
    </xf>
    <xf numFmtId="0" fontId="25" fillId="0" borderId="25" xfId="0" applyFont="1" applyBorder="1" applyAlignment="1">
      <alignment vertical="center" wrapText="1"/>
    </xf>
    <xf numFmtId="0" fontId="22" fillId="0" borderId="23" xfId="0" applyFont="1" applyBorder="1">
      <alignment vertical="center"/>
    </xf>
    <xf numFmtId="0" fontId="25" fillId="0" borderId="4" xfId="0" applyFont="1" applyBorder="1" applyAlignment="1">
      <alignment vertical="center" wrapText="1"/>
    </xf>
    <xf numFmtId="0" fontId="22" fillId="0" borderId="4" xfId="0" applyFont="1" applyBorder="1">
      <alignment vertical="center"/>
    </xf>
    <xf numFmtId="0" fontId="25" fillId="0" borderId="17" xfId="0" applyFont="1" applyBorder="1" applyAlignment="1">
      <alignment vertical="center" wrapText="1"/>
    </xf>
    <xf numFmtId="0" fontId="22" fillId="0" borderId="19" xfId="0" applyFont="1" applyBorder="1">
      <alignment vertical="center"/>
    </xf>
    <xf numFmtId="0" fontId="22" fillId="0" borderId="18" xfId="0" applyFont="1" applyBorder="1">
      <alignment vertical="center"/>
    </xf>
    <xf numFmtId="0" fontId="22" fillId="0" borderId="21" xfId="0" applyFont="1" applyBorder="1">
      <alignment vertical="center"/>
    </xf>
    <xf numFmtId="0" fontId="23" fillId="7" borderId="22" xfId="0" applyFont="1" applyFill="1" applyBorder="1" applyAlignment="1">
      <alignment horizontal="left" vertical="center" wrapText="1"/>
    </xf>
    <xf numFmtId="0" fontId="23" fillId="7" borderId="1" xfId="0" applyFont="1" applyFill="1" applyBorder="1" applyAlignment="1">
      <alignment horizontal="center" vertical="center" wrapText="1"/>
    </xf>
    <xf numFmtId="0" fontId="22" fillId="0" borderId="16" xfId="0" applyFont="1" applyBorder="1">
      <alignment vertical="center"/>
    </xf>
    <xf numFmtId="0" fontId="22" fillId="0" borderId="17" xfId="0" applyFont="1" applyBorder="1">
      <alignment vertical="center"/>
    </xf>
    <xf numFmtId="0" fontId="25" fillId="0" borderId="17" xfId="0" applyFont="1" applyBorder="1" applyAlignment="1">
      <alignment horizontal="left" vertical="center" wrapText="1"/>
    </xf>
    <xf numFmtId="0" fontId="25" fillId="0" borderId="25" xfId="0" applyFont="1" applyBorder="1" applyAlignment="1">
      <alignment horizontal="left" vertical="center" wrapText="1"/>
    </xf>
    <xf numFmtId="0" fontId="25" fillId="0" borderId="2" xfId="0" applyFont="1" applyBorder="1" applyAlignment="1">
      <alignment horizontal="left" vertical="center" wrapText="1"/>
    </xf>
    <xf numFmtId="0" fontId="22" fillId="0" borderId="3" xfId="0" applyFont="1" applyBorder="1">
      <alignment vertical="center"/>
    </xf>
    <xf numFmtId="0" fontId="25" fillId="0" borderId="19" xfId="0" applyFont="1" applyBorder="1" applyAlignment="1">
      <alignment horizontal="left" vertical="center" wrapText="1"/>
    </xf>
    <xf numFmtId="0" fontId="22" fillId="0" borderId="20" xfId="0" applyFont="1" applyBorder="1">
      <alignment vertical="center"/>
    </xf>
    <xf numFmtId="0" fontId="23" fillId="0" borderId="4" xfId="0" applyFont="1" applyBorder="1" applyAlignment="1">
      <alignment horizontal="left" vertical="center" wrapText="1"/>
    </xf>
    <xf numFmtId="0" fontId="23" fillId="0" borderId="4" xfId="0" applyFont="1" applyBorder="1" applyAlignment="1"/>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0" fontId="20" fillId="2" borderId="16" xfId="0" applyFont="1" applyFill="1" applyBorder="1" applyAlignment="1">
      <alignment horizontal="center" vertical="center" wrapText="1"/>
    </xf>
    <xf numFmtId="0" fontId="20" fillId="2" borderId="21" xfId="0" applyFont="1" applyFill="1" applyBorder="1" applyAlignment="1">
      <alignment horizontal="center" vertical="center" wrapText="1"/>
    </xf>
    <xf numFmtId="0" fontId="20" fillId="2" borderId="17" xfId="0" applyFont="1" applyFill="1" applyBorder="1" applyAlignment="1">
      <alignment horizontal="center" vertical="center" wrapText="1"/>
    </xf>
    <xf numFmtId="0" fontId="21" fillId="2" borderId="16" xfId="0" applyFont="1" applyFill="1" applyBorder="1" applyAlignment="1">
      <alignment horizontal="center" vertical="center" wrapText="1"/>
    </xf>
    <xf numFmtId="0" fontId="20" fillId="2" borderId="19"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
  <sheetViews>
    <sheetView tabSelected="1" zoomScale="80" zoomScaleNormal="80" workbookViewId="0">
      <selection activeCell="L27" sqref="L27"/>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337</v>
      </c>
      <c r="C6" s="9" t="s">
        <v>44</v>
      </c>
      <c r="D6" s="10" t="s">
        <v>51</v>
      </c>
      <c r="E6" s="10" t="s">
        <v>30</v>
      </c>
      <c r="F6" s="9" t="s">
        <v>323</v>
      </c>
      <c r="G6" s="11">
        <v>0.7</v>
      </c>
      <c r="H6" s="9" t="s">
        <v>27</v>
      </c>
      <c r="I6" s="16" t="s">
        <v>346</v>
      </c>
    </row>
    <row r="7" spans="1:9" s="2" customFormat="1" ht="26">
      <c r="B7" s="8" t="s">
        <v>337</v>
      </c>
      <c r="C7" s="9" t="s">
        <v>44</v>
      </c>
      <c r="D7" s="10" t="s">
        <v>51</v>
      </c>
      <c r="E7" s="10" t="s">
        <v>30</v>
      </c>
      <c r="F7" s="9" t="s">
        <v>323</v>
      </c>
      <c r="G7" s="11">
        <v>0.8</v>
      </c>
      <c r="H7" s="9" t="s">
        <v>73</v>
      </c>
      <c r="I7" s="16" t="s">
        <v>347</v>
      </c>
    </row>
    <row r="8" spans="1:9" s="2" customFormat="1" ht="52">
      <c r="B8" s="8" t="s">
        <v>337</v>
      </c>
      <c r="C8" s="9" t="s">
        <v>43</v>
      </c>
      <c r="D8" s="10" t="s">
        <v>57</v>
      </c>
      <c r="E8" s="10" t="s">
        <v>30</v>
      </c>
      <c r="F8" s="9" t="s">
        <v>332</v>
      </c>
      <c r="G8" s="11">
        <v>1.3</v>
      </c>
      <c r="H8" s="9" t="s">
        <v>27</v>
      </c>
      <c r="I8" s="16" t="s">
        <v>348</v>
      </c>
    </row>
    <row r="9" spans="1:9" s="2" customFormat="1" ht="13">
      <c r="B9" s="8" t="s">
        <v>337</v>
      </c>
      <c r="C9" s="9" t="s">
        <v>28</v>
      </c>
      <c r="D9" s="10" t="s">
        <v>31</v>
      </c>
      <c r="E9" s="10" t="s">
        <v>33</v>
      </c>
      <c r="F9" s="9" t="s">
        <v>35</v>
      </c>
      <c r="G9" s="11">
        <v>2.2999999999999998</v>
      </c>
      <c r="H9" s="9" t="s">
        <v>77</v>
      </c>
      <c r="I9" s="16" t="s">
        <v>349</v>
      </c>
    </row>
    <row r="10" spans="1:9" s="2" customFormat="1" ht="52">
      <c r="B10" s="8" t="s">
        <v>337</v>
      </c>
      <c r="C10" s="9" t="s">
        <v>43</v>
      </c>
      <c r="D10" s="10" t="s">
        <v>47</v>
      </c>
      <c r="E10" s="10" t="s">
        <v>30</v>
      </c>
      <c r="F10" s="9" t="s">
        <v>332</v>
      </c>
      <c r="G10" s="11">
        <v>0.6</v>
      </c>
      <c r="H10" s="9" t="s">
        <v>73</v>
      </c>
      <c r="I10" s="16" t="s">
        <v>350</v>
      </c>
    </row>
    <row r="11" spans="1:9" s="2" customFormat="1" ht="52">
      <c r="B11" s="8" t="s">
        <v>337</v>
      </c>
      <c r="C11" s="9" t="s">
        <v>43</v>
      </c>
      <c r="D11" s="10" t="s">
        <v>49</v>
      </c>
      <c r="E11" s="10" t="s">
        <v>30</v>
      </c>
      <c r="F11" s="9" t="s">
        <v>332</v>
      </c>
      <c r="G11" s="11">
        <v>0.8</v>
      </c>
      <c r="H11" s="9" t="s">
        <v>73</v>
      </c>
      <c r="I11" s="16" t="s">
        <v>354</v>
      </c>
    </row>
    <row r="12" spans="1:9" s="2" customFormat="1" ht="52">
      <c r="B12" s="8" t="s">
        <v>337</v>
      </c>
      <c r="C12" s="9" t="s">
        <v>22</v>
      </c>
      <c r="D12" s="10" t="s">
        <v>61</v>
      </c>
      <c r="E12" s="10" t="s">
        <v>30</v>
      </c>
      <c r="F12" s="9" t="s">
        <v>335</v>
      </c>
      <c r="G12" s="11">
        <v>1.9</v>
      </c>
      <c r="H12" s="9" t="s">
        <v>31</v>
      </c>
      <c r="I12" s="16" t="s">
        <v>345</v>
      </c>
    </row>
    <row r="13" spans="1:9" s="2" customFormat="1" ht="52">
      <c r="B13" s="8" t="s">
        <v>337</v>
      </c>
      <c r="C13" s="9" t="s">
        <v>43</v>
      </c>
      <c r="D13" s="10" t="s">
        <v>50</v>
      </c>
      <c r="E13" s="10" t="s">
        <v>30</v>
      </c>
      <c r="F13" s="9" t="s">
        <v>332</v>
      </c>
      <c r="G13" s="11">
        <v>0.6</v>
      </c>
      <c r="H13" s="9" t="s">
        <v>73</v>
      </c>
      <c r="I13" s="16" t="s">
        <v>353</v>
      </c>
    </row>
    <row r="14" spans="1:9" s="2" customFormat="1" ht="26">
      <c r="B14" s="8" t="s">
        <v>337</v>
      </c>
      <c r="C14" s="9" t="s">
        <v>44</v>
      </c>
      <c r="D14" s="10" t="s">
        <v>51</v>
      </c>
      <c r="E14" s="10" t="s">
        <v>30</v>
      </c>
      <c r="F14" s="9" t="s">
        <v>323</v>
      </c>
      <c r="G14" s="11">
        <v>0.5</v>
      </c>
      <c r="H14" s="9" t="s">
        <v>27</v>
      </c>
      <c r="I14" s="16" t="s">
        <v>351</v>
      </c>
    </row>
    <row r="15" spans="1:9" s="2" customFormat="1" ht="26">
      <c r="B15" s="8" t="s">
        <v>337</v>
      </c>
      <c r="C15" s="9" t="s">
        <v>43</v>
      </c>
      <c r="D15" s="10" t="s">
        <v>47</v>
      </c>
      <c r="E15" s="10" t="s">
        <v>30</v>
      </c>
      <c r="F15" s="9" t="s">
        <v>326</v>
      </c>
      <c r="G15" s="11">
        <v>1.6</v>
      </c>
      <c r="H15" s="9" t="s">
        <v>73</v>
      </c>
      <c r="I15" s="16" t="s">
        <v>352</v>
      </c>
    </row>
    <row r="16" spans="1:9" s="2" customFormat="1" ht="52">
      <c r="B16" s="8" t="s">
        <v>337</v>
      </c>
      <c r="C16" s="9" t="s">
        <v>43</v>
      </c>
      <c r="D16" s="10" t="s">
        <v>50</v>
      </c>
      <c r="E16" s="10" t="s">
        <v>30</v>
      </c>
      <c r="F16" s="9" t="s">
        <v>332</v>
      </c>
      <c r="G16" s="11">
        <v>0.8</v>
      </c>
      <c r="H16" s="9" t="s">
        <v>27</v>
      </c>
      <c r="I16" s="16" t="s">
        <v>358</v>
      </c>
    </row>
    <row r="17" spans="2:14" s="2" customFormat="1" ht="52">
      <c r="B17" s="8" t="s">
        <v>337</v>
      </c>
      <c r="C17" s="9" t="s">
        <v>43</v>
      </c>
      <c r="D17" s="10" t="s">
        <v>49</v>
      </c>
      <c r="E17" s="10" t="s">
        <v>30</v>
      </c>
      <c r="F17" s="9" t="s">
        <v>332</v>
      </c>
      <c r="G17" s="11">
        <v>1.7</v>
      </c>
      <c r="H17" s="9" t="s">
        <v>27</v>
      </c>
      <c r="I17" s="16" t="s">
        <v>354</v>
      </c>
    </row>
    <row r="18" spans="2:14" s="2" customFormat="1" ht="26">
      <c r="B18" s="8" t="s">
        <v>337</v>
      </c>
      <c r="C18" s="9" t="s">
        <v>44</v>
      </c>
      <c r="D18" s="10" t="s">
        <v>51</v>
      </c>
      <c r="E18" s="10" t="s">
        <v>30</v>
      </c>
      <c r="F18" s="9" t="s">
        <v>323</v>
      </c>
      <c r="G18" s="11">
        <v>1</v>
      </c>
      <c r="H18" s="9" t="s">
        <v>27</v>
      </c>
      <c r="I18" s="16" t="s">
        <v>359</v>
      </c>
    </row>
    <row r="19" spans="2:14" s="2" customFormat="1" ht="52">
      <c r="B19" s="8" t="s">
        <v>337</v>
      </c>
      <c r="C19" s="9" t="s">
        <v>44</v>
      </c>
      <c r="D19" s="10" t="s">
        <v>51</v>
      </c>
      <c r="E19" s="10" t="s">
        <v>30</v>
      </c>
      <c r="F19" s="9" t="s">
        <v>323</v>
      </c>
      <c r="G19" s="11">
        <v>2.1</v>
      </c>
      <c r="H19" s="9" t="s">
        <v>27</v>
      </c>
      <c r="I19" s="16" t="s">
        <v>361</v>
      </c>
      <c r="L19" s="75"/>
    </row>
    <row r="20" spans="2:14" s="2" customFormat="1" ht="13">
      <c r="B20" s="8" t="s">
        <v>337</v>
      </c>
      <c r="C20" s="9" t="s">
        <v>28</v>
      </c>
      <c r="D20" s="10" t="s">
        <v>31</v>
      </c>
      <c r="E20" s="10" t="s">
        <v>34</v>
      </c>
      <c r="F20" s="9" t="s">
        <v>42</v>
      </c>
      <c r="G20" s="11">
        <v>1.3</v>
      </c>
      <c r="H20" s="9" t="s">
        <v>31</v>
      </c>
      <c r="I20" s="16" t="s">
        <v>356</v>
      </c>
    </row>
    <row r="21" spans="2:14" s="2" customFormat="1" ht="52">
      <c r="B21" s="8" t="s">
        <v>337</v>
      </c>
      <c r="C21" s="9" t="s">
        <v>43</v>
      </c>
      <c r="D21" s="10" t="s">
        <v>50</v>
      </c>
      <c r="E21" s="10" t="s">
        <v>30</v>
      </c>
      <c r="F21" s="9" t="s">
        <v>332</v>
      </c>
      <c r="G21" s="11">
        <v>0.7</v>
      </c>
      <c r="H21" s="9" t="s">
        <v>78</v>
      </c>
      <c r="I21" s="16" t="s">
        <v>355</v>
      </c>
    </row>
    <row r="22" spans="2:14" s="2" customFormat="1" ht="52">
      <c r="B22" s="8" t="s">
        <v>337</v>
      </c>
      <c r="C22" s="9" t="s">
        <v>43</v>
      </c>
      <c r="D22" s="10" t="s">
        <v>57</v>
      </c>
      <c r="E22" s="10" t="s">
        <v>30</v>
      </c>
      <c r="F22" s="9" t="s">
        <v>332</v>
      </c>
      <c r="G22" s="11">
        <v>1.6</v>
      </c>
      <c r="H22" s="9" t="s">
        <v>27</v>
      </c>
      <c r="I22" s="16" t="s">
        <v>357</v>
      </c>
    </row>
    <row r="23" spans="2:14" s="2" customFormat="1" ht="52">
      <c r="B23" s="8" t="s">
        <v>337</v>
      </c>
      <c r="C23" s="9" t="s">
        <v>43</v>
      </c>
      <c r="D23" s="10" t="s">
        <v>47</v>
      </c>
      <c r="E23" s="10" t="s">
        <v>30</v>
      </c>
      <c r="F23" s="9" t="s">
        <v>332</v>
      </c>
      <c r="G23" s="11">
        <v>0.8</v>
      </c>
      <c r="H23" s="9" t="s">
        <v>73</v>
      </c>
      <c r="I23" s="16" t="s">
        <v>350</v>
      </c>
      <c r="N23" s="2" t="s">
        <v>341</v>
      </c>
    </row>
    <row r="24" spans="2:14" s="2" customFormat="1" ht="52">
      <c r="B24" s="8" t="s">
        <v>337</v>
      </c>
      <c r="C24" s="9" t="s">
        <v>43</v>
      </c>
      <c r="D24" s="10" t="s">
        <v>57</v>
      </c>
      <c r="E24" s="10" t="s">
        <v>30</v>
      </c>
      <c r="F24" s="9" t="s">
        <v>332</v>
      </c>
      <c r="G24" s="11">
        <v>1</v>
      </c>
      <c r="H24" s="9" t="s">
        <v>27</v>
      </c>
      <c r="I24" s="16" t="s">
        <v>360</v>
      </c>
    </row>
    <row r="25" spans="2:14" s="2" customFormat="1" ht="52">
      <c r="B25" s="8" t="s">
        <v>337</v>
      </c>
      <c r="C25" s="9" t="s">
        <v>43</v>
      </c>
      <c r="D25" s="10" t="s">
        <v>47</v>
      </c>
      <c r="E25" s="10" t="s">
        <v>30</v>
      </c>
      <c r="F25" s="9" t="s">
        <v>332</v>
      </c>
      <c r="G25" s="11">
        <v>1.8</v>
      </c>
      <c r="H25" s="9" t="s">
        <v>73</v>
      </c>
      <c r="I25" s="16" t="s">
        <v>362</v>
      </c>
    </row>
    <row r="26" spans="2:14" s="2" customFormat="1" ht="13">
      <c r="B26" s="8" t="s">
        <v>337</v>
      </c>
      <c r="C26" s="9" t="s">
        <v>28</v>
      </c>
      <c r="D26" s="10" t="s">
        <v>31</v>
      </c>
      <c r="E26" s="10" t="s">
        <v>34</v>
      </c>
      <c r="F26" s="9" t="s">
        <v>37</v>
      </c>
      <c r="G26" s="11">
        <v>1.6</v>
      </c>
      <c r="H26" s="9" t="s">
        <v>75</v>
      </c>
      <c r="I26" s="16" t="s">
        <v>343</v>
      </c>
    </row>
    <row r="27" spans="2:14" s="2" customFormat="1" ht="26">
      <c r="B27" s="8" t="s">
        <v>337</v>
      </c>
      <c r="C27" s="9" t="s">
        <v>28</v>
      </c>
      <c r="D27" s="10" t="s">
        <v>31</v>
      </c>
      <c r="E27" s="10" t="s">
        <v>33</v>
      </c>
      <c r="F27" s="9" t="s">
        <v>39</v>
      </c>
      <c r="G27" s="11">
        <v>1.5</v>
      </c>
      <c r="H27" s="9" t="s">
        <v>31</v>
      </c>
      <c r="I27" s="16" t="s">
        <v>339</v>
      </c>
    </row>
    <row r="28" spans="2:14" s="2" customFormat="1" ht="14.5" customHeight="1" thickBot="1">
      <c r="B28" s="81" t="s">
        <v>32</v>
      </c>
      <c r="C28" s="82"/>
      <c r="D28" s="83"/>
      <c r="E28" s="12"/>
      <c r="F28" s="12"/>
      <c r="G28" s="84">
        <f>SUM(G6:G27)</f>
        <v>27.000000000000004</v>
      </c>
      <c r="H28" s="85"/>
      <c r="I28" s="86"/>
    </row>
    <row r="31" spans="2:14">
      <c r="B31" s="17" t="s">
        <v>81</v>
      </c>
      <c r="C31" s="18" t="s">
        <v>344</v>
      </c>
    </row>
    <row r="32" spans="2:14">
      <c r="C32" s="18" t="s">
        <v>342</v>
      </c>
    </row>
    <row r="35" spans="6:6">
      <c r="F35" s="76" t="s">
        <v>341</v>
      </c>
    </row>
  </sheetData>
  <mergeCells count="4">
    <mergeCell ref="B1:I1"/>
    <mergeCell ref="B2:H2"/>
    <mergeCell ref="B28:D28"/>
    <mergeCell ref="G28:I28"/>
  </mergeCells>
  <phoneticPr fontId="11" type="noConversion"/>
  <dataValidations count="3">
    <dataValidation type="list" errorStyle="warning" allowBlank="1" sqref="C17:C27" xr:uid="{00000000-0002-0000-0000-000005000000}">
      <formula1>项目事项分类项目名称</formula1>
    </dataValidation>
    <dataValidation type="list" allowBlank="1" showInputMessage="1" showErrorMessage="1" sqref="H6:H27" xr:uid="{00000000-0002-0000-0000-000006000000}">
      <formula1>事项分类指定内容</formula1>
    </dataValidation>
    <dataValidation type="list" allowBlank="1" showInputMessage="1" showErrorMessage="1" sqref="F6:F27" xr:uid="{00000000-0002-0000-0000-000002000000}">
      <formula1>INDIRECT($E6)</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C6:C16</xm:sqref>
        </x14:dataValidation>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108.5" outlineLevel="1">
      <c r="C5" s="21" t="s">
        <v>100</v>
      </c>
      <c r="D5" s="109" t="s">
        <v>101</v>
      </c>
      <c r="E5" s="102"/>
      <c r="F5" s="22" t="s">
        <v>102</v>
      </c>
      <c r="G5" s="21" t="s">
        <v>103</v>
      </c>
      <c r="H5" s="21" t="s">
        <v>104</v>
      </c>
      <c r="I5" s="21" t="s">
        <v>105</v>
      </c>
      <c r="J5" s="21" t="s">
        <v>106</v>
      </c>
      <c r="K5" s="110" t="s">
        <v>107</v>
      </c>
      <c r="L5" s="110"/>
      <c r="M5" s="110"/>
      <c r="N5" s="110"/>
    </row>
    <row r="6" spans="2:14" s="23" customFormat="1" ht="186"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48"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310"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108.5"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23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41"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5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1"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2025-12-02T04:03:26Z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