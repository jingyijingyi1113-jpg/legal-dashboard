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18C46885-A3EC-4A9E-A1CA-B41C53267372}" xr6:coauthVersionLast="47" xr6:coauthVersionMax="47" xr10:uidLastSave="{00000000-0000-0000-0000-000000000000}"/>
  <bookViews>
    <workbookView xWindow="-28920" yWindow="171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1" l="1"/>
</calcChain>
</file>

<file path=xl/sharedStrings.xml><?xml version="1.0" encoding="utf-8"?>
<sst xmlns="http://schemas.openxmlformats.org/spreadsheetml/2006/main" count="457" uniqueCount="220">
  <si>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</si>
  <si>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</si>
  <si>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</si>
  <si>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</si>
  <si>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</si>
  <si>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</si>
  <si>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</si>
  <si>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</si>
  <si>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</si>
  <si>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</si>
  <si>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</si>
  <si>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</si>
  <si>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</si>
  <si>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</si>
  <si>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</si>
  <si>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</si>
  <si>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</si>
  <si>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</si>
  <si>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</si>
  <si>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</si>
  <si>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</si>
  <si>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</si>
  <si>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</si>
  <si>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</si>
  <si>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</si>
  <si>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</si>
  <si>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</si>
  <si>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</si>
  <si>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</si>
  <si>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</si>
  <si>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</si>
  <si>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</si>
  <si>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</si>
  <si>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</si>
  <si>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</si>
  <si>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</si>
  <si>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</si>
  <si>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</si>
  <si>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</si>
  <si>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</si>
  <si>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</si>
  <si>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</si>
  <si>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</si>
  <si>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</si>
  <si>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</si>
  <si>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</si>
  <si>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</si>
  <si>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</si>
  <si>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</si>
  <si>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</si>
  <si>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</si>
  <si>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</si>
  <si>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</si>
  <si>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</si>
  <si>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</si>
  <si>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</si>
  <si>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</si>
  <si>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</si>
  <si>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</si>
  <si>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</si>
  <si>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</si>
  <si>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</si>
  <si>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</si>
  <si>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</si>
  <si>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</si>
  <si>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</si>
  <si>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</si>
  <si>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</si>
  <si>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</si>
  <si>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</si>
  <si>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</si>
  <si>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</si>
  <si>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</si>
  <si>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</si>
  <si>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</si>
  <si>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</si>
  <si>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</si>
  <si>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</si>
  <si>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</si>
  <si>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</si>
  <si>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</si>
  <si>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</si>
  <si>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</si>
  <si>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</si>
  <si>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</si>
  <si>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</si>
  <si>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</si>
  <si>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</si>
  <si>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</si>
  <si>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</si>
  <si>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</si>
  <si>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</si>
  <si>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</si>
  <si>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</si>
  <si>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</si>
  <si>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</si>
  <si>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</si>
  <si>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</si>
  <si>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</si>
  <si>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</si>
  <si>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</si>
  <si>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</si>
  <si>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</si>
  <si>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</si>
  <si>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</si>
  <si>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</si>
  <si>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</si>
  <si>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</si>
  <si>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</si>
  <si>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</si>
  <si>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</si>
  <si>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</si>
  <si>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</si>
  <si>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</si>
  <si>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</si>
  <si>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</si>
  <si>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</si>
  <si>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</si>
  <si>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</si>
  <si>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</si>
  <si>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</si>
  <si>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</si>
  <si>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</si>
  <si>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</si>
  <si>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</si>
  <si>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</si>
  <si>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</si>
  <si>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</si>
  <si>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</si>
  <si>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</si>
  <si>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</si>
  <si>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</si>
  <si>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</si>
  <si>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</si>
  <si>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</si>
  <si>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</si>
  <si>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</si>
  <si>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</si>
  <si>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</si>
  <si>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</si>
  <si>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</si>
  <si>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</si>
  <si>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</si>
  <si>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</si>
  <si>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</si>
  <si>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</si>
  <si>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</si>
  <si>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</si>
  <si>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</si>
  <si>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</si>
  <si>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</si>
  <si>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</si>
  <si>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</si>
  <si>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</si>
  <si>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</si>
  <si>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</si>
  <si>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</si>
  <si>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</si>
  <si>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</si>
  <si>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</si>
  <si>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</si>
  <si>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</si>
  <si>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</si>
  <si>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</si>
  <si>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</si>
  <si>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</si>
  <si>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</si>
  <si>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</si>
  <si>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</si>
  <si>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</si>
  <si>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</si>
  <si>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</si>
  <si>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</si>
  <si>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</si>
  <si>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</si>
  <si>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</si>
  <si>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</si>
  <si>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</si>
  <si>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</si>
  <si>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Calibri"/>
        <family val="2"/>
        <scheme val="minor"/>
      </rPr>
      <t>2025 - 01 - 12</t>
    </r>
    <phoneticPr fontId="18" type="noConversion"/>
  </si>
  <si>
    <t>sallycheung</t>
  </si>
  <si>
    <t>Discuss with Queenie on legal effect of signatures</t>
  </si>
  <si>
    <t>Discussions with Amy on originals and CPs, check with Vivian on latest corporate documents, certify and arrange to send to counsel, discussion with Amy re. updates to interest rates to IEGG studios, certified CPs for BOCHK</t>
  </si>
  <si>
    <t>Review draft BRs for Indian entity - discuss with Pongming, certified copies</t>
  </si>
  <si>
    <t>Amended address confirmation letter</t>
  </si>
  <si>
    <t>Review draft KBR shareholders resolution</t>
  </si>
  <si>
    <t>Review KYC for custodian accounts and discuss with Floria and Yuntong, review draft, draft waiver document re. ProximaHK deregistration</t>
  </si>
  <si>
    <t>Interview, Management matters</t>
  </si>
  <si>
    <t>Email to Bakers re. Maples directorship, Email to maples, discussion with Kirstin</t>
  </si>
  <si>
    <t>Discuss with Bakers and circulate current ASL to tax, discuss with Kirstin</t>
  </si>
  <si>
    <t>Discuss with Candy on delivery of guarantee and correct date</t>
  </si>
  <si>
    <t>Gfunds Discussion with Kim re Wewin, discuss with Xiaohan on winding up</t>
  </si>
  <si>
    <t>NRC committee meetings and reviewing draft board minutes</t>
  </si>
  <si>
    <t>Review note terms, discuss impact of CMC inclusion with treasury team, discuss with Mindy re EUR loans</t>
  </si>
  <si>
    <t>concerto query on extension of accounting period</t>
  </si>
  <si>
    <t>Management meeting</t>
  </si>
  <si>
    <t>review waiver agreements for Glenn</t>
  </si>
  <si>
    <t>KBR resolutions, discuss with comsec</t>
  </si>
  <si>
    <t>discussion with Elsa re Part 16 registration, liasing with internal teams on wewin structure, discuss with Bakers re. provision of RO and Authorised Rep, discussion with Kirstin on structure</t>
  </si>
  <si>
    <t>Respond to IEGG query re. directors to sign agreement, approve final version</t>
  </si>
  <si>
    <t>ISDA review for BOC Macau</t>
  </si>
  <si>
    <t>Review SMO requirement for BNPP</t>
  </si>
  <si>
    <t>review VB disclosure list and discuss with pammy</t>
  </si>
  <si>
    <t>discuss with finance team re. contracting entities</t>
  </si>
  <si>
    <t>discuss with Kim. Re change in directorship</t>
  </si>
  <si>
    <t>discuss with Xiaoyun on recent non-compliance issues, discuss with Desiree and Ian and Liz on PB Thai, email to Ashurst</t>
  </si>
  <si>
    <t>discuss with Elsa re Part 16 registration, updated Ben, reviewed updated resolutions and maples checklist, circulate signed version</t>
  </si>
  <si>
    <t>CMC subsidiary applicability - Fusure and Fusion. Discuss with Ian, answer their questions</t>
  </si>
  <si>
    <t>Interview and admin</t>
  </si>
  <si>
    <t>Discuss with Maria re. guarantee, review Amy's DDA letter, discuss with Mindy re. CPs, tidied up changes to ISDA guarantee</t>
  </si>
  <si>
    <t>questions from Fusure and VB on questionnaire, chase comsec on the change to Success Field's RO</t>
  </si>
  <si>
    <t>Regulatory board update</t>
  </si>
  <si>
    <t>WeBank review of board summary and email</t>
  </si>
  <si>
    <t>review and respond to Comsec on senior management definition</t>
  </si>
  <si>
    <t>timesheet</t>
  </si>
  <si>
    <t>Discuss with Vivienne, draft confirmation letter for Cloud finance intragroup arrangement</t>
  </si>
  <si>
    <t>Thai affidavit discussion with finance, audit requirements for Canada</t>
  </si>
  <si>
    <t>PB thai discussions with Desiree and Ian</t>
  </si>
  <si>
    <t>treasury on BOC Macau confirmation and discuss with Mindy on Ces, handle CP</t>
  </si>
  <si>
    <t>review fusion board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</si>
</sst>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16" fontId="8" fillId="0" borderId="0" xfId="0" applyNumberFormat="1" applyFont="1">
      <alignment vertical="center"/>
    </xf>
    <xf numFmtId="165" fontId="0" fillId="0" borderId="0" xfId="0" applyNumberForma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zoomScale="95" zoomScaleNormal="95" workbookViewId="0">
      <selection activeCell="F56" sqref="F56"/>
    </sheetView>
  </sheetViews>
  <sheetFormatPr defaultColWidth="9" defaultRowHeight="15"/>
  <cols>
    <col min="2" max="2" width="12.85546875" customWidth="1"/>
    <col min="3" max="3" width="28.42578125" style="18" customWidth="1"/>
    <col min="4" max="4" width="18.42578125" customWidth="1"/>
    <col min="5" max="5" width="17.85546875" customWidth="1"/>
    <col min="6" max="6" width="32.42578125" customWidth="1"/>
    <col min="7" max="7" width="13.140625" customWidth="1"/>
    <col min="8" max="8" width="41" customWidth="1"/>
    <col min="9" max="9" width="42.7109375" customWidth="1"/>
  </cols>
  <sheetData>
    <row r="1" spans="1:9" ht="15.75">
      <c r="B1" s="40" t="s">
        <v>0</v>
      </c>
      <c r="C1" s="41"/>
      <c r="D1" s="41"/>
      <c r="E1" s="41"/>
      <c r="F1" s="41"/>
      <c r="G1" s="41"/>
      <c r="H1" s="41"/>
      <c r="I1" s="41"/>
    </row>
    <row r="2" spans="1:9" ht="15.75">
      <c r="B2" s="42"/>
      <c r="C2" s="43"/>
      <c r="D2" s="43"/>
      <c r="E2" s="43"/>
      <c r="F2" s="43"/>
      <c r="G2" s="43"/>
      <c r="H2" s="43"/>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165" customHeight="1">
      <c r="A5" s="24" t="s">
        <v>9</v>
      </c>
      <c r="B5" s="25" t="s">
        <v>10</v>
      </c>
      <c r="C5" s="26" t="s">
        <v>11</v>
      </c>
      <c r="D5" s="26" t="s">
        <v>12</v>
      </c>
      <c r="E5" s="26" t="s">
        <v>13</v>
      </c>
      <c r="F5" s="26" t="s">
        <v>14</v>
      </c>
      <c r="G5" s="26" t="s">
        <v>15</v>
      </c>
      <c r="H5" s="26" t="s">
        <v>16</v>
      </c>
      <c r="I5" s="34" t="s">
        <v>17</v>
      </c>
    </row>
    <row r="6" spans="1:9" s="21" customFormat="1" ht="25.5">
      <c r="A6" s="38"/>
      <c r="B6" s="27" t="s">
        <v>180</v>
      </c>
      <c r="C6" s="28" t="s">
        <v>61</v>
      </c>
      <c r="D6" s="29" t="s">
        <v>66</v>
      </c>
      <c r="E6" s="29" t="s">
        <v>25</v>
      </c>
      <c r="F6" s="28" t="s">
        <v>53</v>
      </c>
      <c r="G6" s="30">
        <v>1</v>
      </c>
      <c r="H6" s="28" t="s">
        <v>30</v>
      </c>
      <c r="I6" s="35" t="s">
        <v>188</v>
      </c>
    </row>
    <row r="7" spans="1:9" s="21" customFormat="1" ht="38.25">
      <c r="B7" s="27" t="s">
        <v>180</v>
      </c>
      <c r="C7" s="28" t="s">
        <v>23</v>
      </c>
      <c r="D7" s="29" t="s">
        <v>79</v>
      </c>
      <c r="E7" s="29" t="s">
        <v>25</v>
      </c>
      <c r="F7" s="28" t="s">
        <v>51</v>
      </c>
      <c r="G7" s="30">
        <v>0.6</v>
      </c>
      <c r="H7" s="28" t="s">
        <v>30</v>
      </c>
      <c r="I7" s="35" t="s">
        <v>181</v>
      </c>
    </row>
    <row r="8" spans="1:9" s="21" customFormat="1" ht="38.25">
      <c r="B8" s="27" t="s">
        <v>180</v>
      </c>
      <c r="C8" s="28" t="s">
        <v>61</v>
      </c>
      <c r="D8" s="29" t="s">
        <v>75</v>
      </c>
      <c r="E8" s="29" t="s">
        <v>25</v>
      </c>
      <c r="F8" s="28" t="s">
        <v>53</v>
      </c>
      <c r="G8" s="30">
        <v>1.4</v>
      </c>
      <c r="H8" s="28" t="s">
        <v>30</v>
      </c>
      <c r="I8" s="35" t="s">
        <v>186</v>
      </c>
    </row>
    <row r="9" spans="1:9" s="21" customFormat="1" ht="25.5">
      <c r="B9" s="27" t="s">
        <v>180</v>
      </c>
      <c r="C9" s="28" t="s">
        <v>61</v>
      </c>
      <c r="D9" s="29" t="s">
        <v>65</v>
      </c>
      <c r="E9" s="29" t="s">
        <v>25</v>
      </c>
      <c r="F9" s="28" t="s">
        <v>53</v>
      </c>
      <c r="G9" s="30">
        <v>0.5</v>
      </c>
      <c r="H9" s="28" t="s">
        <v>169</v>
      </c>
      <c r="I9" s="35" t="s">
        <v>183</v>
      </c>
    </row>
    <row r="10" spans="1:9" s="21" customFormat="1" ht="63.75">
      <c r="B10" s="27" t="s">
        <v>180</v>
      </c>
      <c r="C10" s="28" t="s">
        <v>62</v>
      </c>
      <c r="D10" s="29" t="s">
        <v>69</v>
      </c>
      <c r="E10" s="29" t="s">
        <v>25</v>
      </c>
      <c r="F10" s="28" t="s">
        <v>39</v>
      </c>
      <c r="G10" s="30">
        <v>1.4</v>
      </c>
      <c r="H10" s="28" t="s">
        <v>30</v>
      </c>
      <c r="I10" s="35" t="s">
        <v>182</v>
      </c>
    </row>
    <row r="11" spans="1:9" s="21" customFormat="1" ht="25.5">
      <c r="B11" s="27" t="s">
        <v>180</v>
      </c>
      <c r="C11" s="28" t="s">
        <v>61</v>
      </c>
      <c r="D11" s="29" t="s">
        <v>68</v>
      </c>
      <c r="E11" s="29" t="s">
        <v>25</v>
      </c>
      <c r="F11" s="28" t="s">
        <v>53</v>
      </c>
      <c r="G11" s="30">
        <v>0.6</v>
      </c>
      <c r="H11" s="28" t="s">
        <v>169</v>
      </c>
      <c r="I11" s="35" t="s">
        <v>184</v>
      </c>
    </row>
    <row r="12" spans="1:9" s="21" customFormat="1" ht="12.75">
      <c r="B12" s="27" t="s">
        <v>180</v>
      </c>
      <c r="C12" s="28" t="s">
        <v>62</v>
      </c>
      <c r="D12" s="29" t="s">
        <v>75</v>
      </c>
      <c r="E12" s="29" t="s">
        <v>25</v>
      </c>
      <c r="F12" s="28" t="s">
        <v>39</v>
      </c>
      <c r="G12" s="30">
        <v>0.9</v>
      </c>
      <c r="H12" s="28" t="s">
        <v>169</v>
      </c>
      <c r="I12" s="35" t="s">
        <v>185</v>
      </c>
    </row>
    <row r="13" spans="1:9" s="21" customFormat="1" ht="12.75">
      <c r="B13" s="27" t="s">
        <v>180</v>
      </c>
      <c r="C13" s="28" t="s">
        <v>31</v>
      </c>
      <c r="D13" s="29" t="s">
        <v>19</v>
      </c>
      <c r="E13" s="29" t="s">
        <v>37</v>
      </c>
      <c r="F13" s="28" t="s">
        <v>37</v>
      </c>
      <c r="G13" s="30">
        <v>0.8</v>
      </c>
      <c r="H13" s="28" t="s">
        <v>35</v>
      </c>
      <c r="I13" s="35" t="s">
        <v>187</v>
      </c>
    </row>
    <row r="14" spans="1:9" s="21" customFormat="1" ht="28.5" customHeight="1">
      <c r="B14" s="27"/>
      <c r="C14" s="28"/>
      <c r="D14" s="29"/>
      <c r="E14" s="29"/>
      <c r="F14" s="28"/>
      <c r="G14" s="30"/>
      <c r="H14" s="28"/>
      <c r="I14" s="35"/>
    </row>
    <row r="15" spans="1:9" s="21" customFormat="1" ht="25.5">
      <c r="A15" s="38"/>
      <c r="B15" s="27" t="s">
        <v>180</v>
      </c>
      <c r="C15" s="28" t="s">
        <v>62</v>
      </c>
      <c r="D15" s="29" t="s">
        <v>69</v>
      </c>
      <c r="E15" s="29" t="s">
        <v>25</v>
      </c>
      <c r="F15" s="28" t="s">
        <v>39</v>
      </c>
      <c r="G15" s="30">
        <v>1.6</v>
      </c>
      <c r="H15" s="28" t="s">
        <v>169</v>
      </c>
      <c r="I15" s="35" t="s">
        <v>193</v>
      </c>
    </row>
    <row r="16" spans="1:9" s="21" customFormat="1" ht="25.5">
      <c r="B16" s="27" t="s">
        <v>180</v>
      </c>
      <c r="C16" s="28" t="s">
        <v>61</v>
      </c>
      <c r="D16" s="29" t="s">
        <v>66</v>
      </c>
      <c r="E16" s="29" t="s">
        <v>25</v>
      </c>
      <c r="F16" s="28" t="s">
        <v>53</v>
      </c>
      <c r="G16" s="30">
        <v>0.9</v>
      </c>
      <c r="H16" s="28" t="s">
        <v>30</v>
      </c>
      <c r="I16" s="35" t="s">
        <v>189</v>
      </c>
    </row>
    <row r="17" spans="1:9" s="21" customFormat="1" ht="25.5">
      <c r="B17" s="27" t="s">
        <v>180</v>
      </c>
      <c r="C17" s="28" t="s">
        <v>62</v>
      </c>
      <c r="D17" s="29" t="s">
        <v>70</v>
      </c>
      <c r="E17" s="29" t="s">
        <v>25</v>
      </c>
      <c r="F17" s="28" t="s">
        <v>39</v>
      </c>
      <c r="G17" s="30">
        <v>0.3</v>
      </c>
      <c r="H17" s="28" t="s">
        <v>30</v>
      </c>
      <c r="I17" s="35" t="s">
        <v>190</v>
      </c>
    </row>
    <row r="18" spans="1:9" s="21" customFormat="1" ht="38.25">
      <c r="B18" s="27" t="s">
        <v>180</v>
      </c>
      <c r="C18" s="28" t="s">
        <v>23</v>
      </c>
      <c r="D18" s="29" t="s">
        <v>78</v>
      </c>
      <c r="E18" s="29" t="s">
        <v>25</v>
      </c>
      <c r="F18" s="28" t="s">
        <v>51</v>
      </c>
      <c r="G18" s="30">
        <v>2.2000000000000002</v>
      </c>
      <c r="H18" s="28" t="s">
        <v>22</v>
      </c>
      <c r="I18" s="35" t="s">
        <v>192</v>
      </c>
    </row>
    <row r="19" spans="1:9" s="21" customFormat="1" ht="25.5">
      <c r="B19" s="27" t="s">
        <v>180</v>
      </c>
      <c r="C19" s="28" t="s">
        <v>62</v>
      </c>
      <c r="D19" s="29" t="s">
        <v>71</v>
      </c>
      <c r="E19" s="29" t="s">
        <v>25</v>
      </c>
      <c r="F19" s="28" t="s">
        <v>39</v>
      </c>
      <c r="G19" s="30">
        <v>0.4</v>
      </c>
      <c r="H19" s="28" t="s">
        <v>30</v>
      </c>
      <c r="I19" s="35" t="s">
        <v>199</v>
      </c>
    </row>
    <row r="20" spans="1:9" s="21" customFormat="1" ht="25.5">
      <c r="B20" s="27" t="s">
        <v>180</v>
      </c>
      <c r="C20" s="28" t="s">
        <v>61</v>
      </c>
      <c r="D20" s="29" t="s">
        <v>68</v>
      </c>
      <c r="E20" s="29" t="s">
        <v>25</v>
      </c>
      <c r="F20" s="28" t="s">
        <v>53</v>
      </c>
      <c r="G20" s="30">
        <v>0.8</v>
      </c>
      <c r="H20" s="28" t="s">
        <v>30</v>
      </c>
      <c r="I20" s="35" t="s">
        <v>191</v>
      </c>
    </row>
    <row r="21" spans="1:9" s="21" customFormat="1" ht="25.5">
      <c r="B21" s="27" t="s">
        <v>180</v>
      </c>
      <c r="C21" s="28" t="s">
        <v>61</v>
      </c>
      <c r="D21" s="29" t="s">
        <v>75</v>
      </c>
      <c r="E21" s="29" t="s">
        <v>25</v>
      </c>
      <c r="F21" s="28" t="s">
        <v>53</v>
      </c>
      <c r="G21" s="30">
        <v>0.8</v>
      </c>
      <c r="H21" s="28" t="s">
        <v>30</v>
      </c>
      <c r="I21" s="35" t="s">
        <v>194</v>
      </c>
    </row>
    <row r="22" spans="1:9" s="21" customFormat="1" ht="31.5" customHeight="1">
      <c r="B22" s="27"/>
      <c r="C22" s="28"/>
      <c r="D22" s="29"/>
      <c r="E22" s="29"/>
      <c r="F22" s="28"/>
      <c r="G22" s="30"/>
      <c r="H22" s="28"/>
      <c r="I22" s="35"/>
    </row>
    <row r="23" spans="1:9" s="21" customFormat="1" ht="25.5">
      <c r="A23" s="38"/>
      <c r="B23" s="27" t="s">
        <v>180</v>
      </c>
      <c r="C23" s="28" t="s">
        <v>61</v>
      </c>
      <c r="D23" s="29" t="s">
        <v>75</v>
      </c>
      <c r="E23" s="29" t="s">
        <v>25</v>
      </c>
      <c r="F23" s="28" t="s">
        <v>53</v>
      </c>
      <c r="G23" s="30">
        <v>0.6</v>
      </c>
      <c r="H23" s="28" t="s">
        <v>30</v>
      </c>
      <c r="I23" s="35" t="s">
        <v>197</v>
      </c>
    </row>
    <row r="24" spans="1:9" s="21" customFormat="1" ht="12.75">
      <c r="B24" s="27" t="s">
        <v>180</v>
      </c>
      <c r="C24" s="28" t="s">
        <v>31</v>
      </c>
      <c r="D24" s="29" t="s">
        <v>35</v>
      </c>
      <c r="E24" s="29" t="s">
        <v>38</v>
      </c>
      <c r="F24" s="28" t="s">
        <v>177</v>
      </c>
      <c r="G24" s="30">
        <v>1</v>
      </c>
      <c r="H24" s="28" t="s">
        <v>35</v>
      </c>
      <c r="I24" s="35" t="s">
        <v>195</v>
      </c>
    </row>
    <row r="25" spans="1:9" s="21" customFormat="1" ht="51">
      <c r="B25" s="27" t="s">
        <v>180</v>
      </c>
      <c r="C25" s="28" t="s">
        <v>61</v>
      </c>
      <c r="D25" s="29" t="s">
        <v>66</v>
      </c>
      <c r="E25" s="29" t="s">
        <v>25</v>
      </c>
      <c r="F25" s="28" t="s">
        <v>53</v>
      </c>
      <c r="G25" s="30">
        <v>1.5</v>
      </c>
      <c r="H25" s="28" t="s">
        <v>30</v>
      </c>
      <c r="I25" s="35" t="s">
        <v>198</v>
      </c>
    </row>
    <row r="26" spans="1:9" s="21" customFormat="1" ht="25.5">
      <c r="B26" s="27" t="s">
        <v>180</v>
      </c>
      <c r="C26" s="28" t="s">
        <v>62</v>
      </c>
      <c r="D26" s="29" t="s">
        <v>75</v>
      </c>
      <c r="E26" s="29" t="s">
        <v>25</v>
      </c>
      <c r="F26" s="28" t="s">
        <v>53</v>
      </c>
      <c r="G26" s="30">
        <v>0.6</v>
      </c>
      <c r="H26" s="28" t="s">
        <v>169</v>
      </c>
      <c r="I26" s="35" t="s">
        <v>196</v>
      </c>
    </row>
    <row r="27" spans="1:9" s="21" customFormat="1" ht="25.5">
      <c r="B27" s="27" t="s">
        <v>180</v>
      </c>
      <c r="C27" s="28" t="s">
        <v>62</v>
      </c>
      <c r="D27" s="29" t="s">
        <v>75</v>
      </c>
      <c r="E27" s="29" t="s">
        <v>25</v>
      </c>
      <c r="F27" s="28" t="s">
        <v>39</v>
      </c>
      <c r="G27" s="30">
        <v>1.6</v>
      </c>
      <c r="H27" s="28" t="s">
        <v>169</v>
      </c>
      <c r="I27" s="35" t="s">
        <v>215</v>
      </c>
    </row>
    <row r="28" spans="1:9" s="21" customFormat="1" ht="25.5">
      <c r="B28" s="27" t="s">
        <v>180</v>
      </c>
      <c r="C28" s="28" t="s">
        <v>61</v>
      </c>
      <c r="D28" s="29" t="s">
        <v>75</v>
      </c>
      <c r="E28" s="29" t="s">
        <v>25</v>
      </c>
      <c r="F28" s="28" t="s">
        <v>53</v>
      </c>
      <c r="G28" s="30">
        <v>0.6</v>
      </c>
      <c r="H28" s="28" t="s">
        <v>30</v>
      </c>
      <c r="I28" s="35" t="s">
        <v>216</v>
      </c>
    </row>
    <row r="29" spans="1:9" s="21" customFormat="1" ht="25.5">
      <c r="B29" s="27" t="s">
        <v>180</v>
      </c>
      <c r="C29" s="28" t="s">
        <v>61</v>
      </c>
      <c r="D29" s="29" t="s">
        <v>65</v>
      </c>
      <c r="E29" s="29" t="s">
        <v>25</v>
      </c>
      <c r="F29" s="28" t="s">
        <v>53</v>
      </c>
      <c r="G29" s="30">
        <v>0.7</v>
      </c>
      <c r="H29" s="28" t="s">
        <v>169</v>
      </c>
      <c r="I29" s="35" t="s">
        <v>201</v>
      </c>
    </row>
    <row r="30" spans="1:9" s="21" customFormat="1" ht="12.75">
      <c r="B30" s="27" t="s">
        <v>180</v>
      </c>
      <c r="C30" s="28" t="s">
        <v>62</v>
      </c>
      <c r="D30" s="29" t="s">
        <v>69</v>
      </c>
      <c r="E30" s="29" t="s">
        <v>25</v>
      </c>
      <c r="F30" s="28" t="s">
        <v>39</v>
      </c>
      <c r="G30" s="30">
        <v>1.2</v>
      </c>
      <c r="H30" s="28" t="s">
        <v>169</v>
      </c>
      <c r="I30" s="35" t="s">
        <v>200</v>
      </c>
    </row>
    <row r="31" spans="1:9" s="21" customFormat="1" ht="38.25">
      <c r="B31" s="27" t="s">
        <v>180</v>
      </c>
      <c r="C31" s="28" t="s">
        <v>23</v>
      </c>
      <c r="D31" s="29" t="s">
        <v>78</v>
      </c>
      <c r="E31" s="29" t="s">
        <v>25</v>
      </c>
      <c r="F31" s="28" t="s">
        <v>51</v>
      </c>
      <c r="G31" s="30">
        <v>0.7</v>
      </c>
      <c r="H31" s="28" t="s">
        <v>30</v>
      </c>
      <c r="I31" s="35" t="s">
        <v>202</v>
      </c>
    </row>
    <row r="32" spans="1:9" s="21" customFormat="1" ht="45" customHeight="1">
      <c r="A32" s="38"/>
      <c r="B32" s="27"/>
      <c r="C32" s="28"/>
      <c r="D32" s="29"/>
      <c r="E32" s="29"/>
      <c r="F32" s="28"/>
      <c r="G32" s="30"/>
      <c r="H32" s="28"/>
      <c r="I32" s="35"/>
    </row>
    <row r="33" spans="1:9" s="21" customFormat="1" ht="38.25">
      <c r="A33" s="38"/>
      <c r="B33" s="27" t="s">
        <v>180</v>
      </c>
      <c r="C33" s="28" t="s">
        <v>62</v>
      </c>
      <c r="D33" s="29" t="s">
        <v>69</v>
      </c>
      <c r="E33" s="29" t="s">
        <v>25</v>
      </c>
      <c r="F33" s="28" t="s">
        <v>39</v>
      </c>
      <c r="G33" s="30">
        <v>1.8</v>
      </c>
      <c r="H33" s="28" t="s">
        <v>169</v>
      </c>
      <c r="I33" s="35" t="s">
        <v>209</v>
      </c>
    </row>
    <row r="34" spans="1:9" s="21" customFormat="1" ht="12.75">
      <c r="B34" s="27" t="s">
        <v>180</v>
      </c>
      <c r="C34" s="28" t="s">
        <v>31</v>
      </c>
      <c r="D34" s="29" t="s">
        <v>35</v>
      </c>
      <c r="E34" s="29" t="s">
        <v>37</v>
      </c>
      <c r="F34" s="28" t="s">
        <v>41</v>
      </c>
      <c r="G34" s="30">
        <v>1.2</v>
      </c>
      <c r="H34" s="28" t="s">
        <v>35</v>
      </c>
      <c r="I34" s="35" t="s">
        <v>208</v>
      </c>
    </row>
    <row r="35" spans="1:9" s="21" customFormat="1" ht="25.5">
      <c r="B35" s="27" t="s">
        <v>180</v>
      </c>
      <c r="C35" s="28" t="s">
        <v>61</v>
      </c>
      <c r="D35" s="29" t="s">
        <v>75</v>
      </c>
      <c r="E35" s="29" t="s">
        <v>25</v>
      </c>
      <c r="F35" s="28" t="s">
        <v>53</v>
      </c>
      <c r="G35" s="30">
        <v>0.3</v>
      </c>
      <c r="H35" s="28" t="s">
        <v>30</v>
      </c>
      <c r="I35" s="35" t="s">
        <v>203</v>
      </c>
    </row>
    <row r="36" spans="1:9" s="21" customFormat="1" ht="25.5">
      <c r="B36" s="27" t="s">
        <v>180</v>
      </c>
      <c r="C36" s="28" t="s">
        <v>61</v>
      </c>
      <c r="D36" s="29" t="s">
        <v>68</v>
      </c>
      <c r="E36" s="29" t="s">
        <v>25</v>
      </c>
      <c r="F36" s="28" t="s">
        <v>53</v>
      </c>
      <c r="G36" s="30">
        <v>0.3</v>
      </c>
      <c r="H36" s="28" t="s">
        <v>30</v>
      </c>
      <c r="I36" s="35" t="s">
        <v>204</v>
      </c>
    </row>
    <row r="37" spans="1:9" s="21" customFormat="1" ht="38.25">
      <c r="B37" s="27" t="s">
        <v>180</v>
      </c>
      <c r="C37" s="28" t="s">
        <v>61</v>
      </c>
      <c r="D37" s="29" t="s">
        <v>66</v>
      </c>
      <c r="E37" s="29" t="s">
        <v>25</v>
      </c>
      <c r="F37" s="28" t="s">
        <v>53</v>
      </c>
      <c r="G37" s="30">
        <v>1.1000000000000001</v>
      </c>
      <c r="H37" s="28" t="s">
        <v>30</v>
      </c>
      <c r="I37" s="35" t="s">
        <v>206</v>
      </c>
    </row>
    <row r="38" spans="1:9" s="21" customFormat="1" ht="38.25">
      <c r="B38" s="27" t="s">
        <v>180</v>
      </c>
      <c r="C38" s="28" t="s">
        <v>23</v>
      </c>
      <c r="D38" s="29" t="s">
        <v>79</v>
      </c>
      <c r="E38" s="29" t="s">
        <v>25</v>
      </c>
      <c r="F38" s="28" t="s">
        <v>51</v>
      </c>
      <c r="G38" s="30">
        <v>1.3</v>
      </c>
      <c r="H38" s="28" t="s">
        <v>30</v>
      </c>
      <c r="I38" s="35" t="s">
        <v>207</v>
      </c>
    </row>
    <row r="39" spans="1:9" s="21" customFormat="1" ht="38.25">
      <c r="B39" s="27" t="s">
        <v>180</v>
      </c>
      <c r="C39" s="28" t="s">
        <v>61</v>
      </c>
      <c r="D39" s="29" t="s">
        <v>68</v>
      </c>
      <c r="E39" s="29" t="s">
        <v>25</v>
      </c>
      <c r="F39" s="28" t="s">
        <v>53</v>
      </c>
      <c r="G39" s="30">
        <v>1.5</v>
      </c>
      <c r="H39" s="28" t="s">
        <v>30</v>
      </c>
      <c r="I39" s="35" t="s">
        <v>205</v>
      </c>
    </row>
    <row r="40" spans="1:9" s="21" customFormat="1" ht="36" customHeight="1">
      <c r="B40" s="27"/>
      <c r="C40" s="28"/>
      <c r="D40" s="29"/>
      <c r="E40" s="29"/>
      <c r="F40" s="28"/>
      <c r="G40" s="30"/>
      <c r="H40" s="28"/>
      <c r="I40" s="35"/>
    </row>
    <row r="41" spans="1:9" s="21" customFormat="1" ht="38.25">
      <c r="B41" s="27" t="s">
        <v>180</v>
      </c>
      <c r="C41" s="28" t="s">
        <v>23</v>
      </c>
      <c r="D41" s="29" t="s">
        <v>79</v>
      </c>
      <c r="E41" s="29" t="s">
        <v>25</v>
      </c>
      <c r="F41" s="28" t="s">
        <v>51</v>
      </c>
      <c r="G41" s="30">
        <v>2.2999999999999998</v>
      </c>
      <c r="H41" s="28" t="s">
        <v>30</v>
      </c>
      <c r="I41" s="35" t="s">
        <v>210</v>
      </c>
    </row>
    <row r="42" spans="1:9" s="21" customFormat="1" ht="25.5">
      <c r="B42" s="27" t="s">
        <v>180</v>
      </c>
      <c r="C42" s="28" t="s">
        <v>61</v>
      </c>
      <c r="D42" s="29" t="s">
        <v>68</v>
      </c>
      <c r="E42" s="29" t="s">
        <v>25</v>
      </c>
      <c r="F42" s="28" t="s">
        <v>53</v>
      </c>
      <c r="G42" s="30">
        <v>0.5</v>
      </c>
      <c r="H42" s="28" t="s">
        <v>30</v>
      </c>
      <c r="I42" s="35" t="s">
        <v>217</v>
      </c>
    </row>
    <row r="43" spans="1:9" s="21" customFormat="1" ht="25.5">
      <c r="B43" s="27" t="s">
        <v>180</v>
      </c>
      <c r="C43" s="28" t="s">
        <v>31</v>
      </c>
      <c r="D43" s="29" t="s">
        <v>35</v>
      </c>
      <c r="E43" s="29" t="s">
        <v>38</v>
      </c>
      <c r="F43" s="28" t="s">
        <v>52</v>
      </c>
      <c r="G43" s="30">
        <v>1.5</v>
      </c>
      <c r="H43" s="28" t="s">
        <v>175</v>
      </c>
      <c r="I43" s="35" t="s">
        <v>211</v>
      </c>
    </row>
    <row r="44" spans="1:9" s="21" customFormat="1" ht="25.5">
      <c r="B44" s="27" t="s">
        <v>180</v>
      </c>
      <c r="C44" s="28" t="s">
        <v>62</v>
      </c>
      <c r="D44" s="29" t="s">
        <v>69</v>
      </c>
      <c r="E44" s="29" t="s">
        <v>25</v>
      </c>
      <c r="F44" s="28" t="s">
        <v>39</v>
      </c>
      <c r="G44" s="30">
        <v>1.1000000000000001</v>
      </c>
      <c r="H44" s="28" t="s">
        <v>169</v>
      </c>
      <c r="I44" s="35" t="s">
        <v>218</v>
      </c>
    </row>
    <row r="45" spans="1:9" s="21" customFormat="1" ht="12.75">
      <c r="B45" s="27" t="s">
        <v>180</v>
      </c>
      <c r="C45" s="28" t="s">
        <v>62</v>
      </c>
      <c r="D45" s="29" t="s">
        <v>69</v>
      </c>
      <c r="E45" s="29" t="s">
        <v>25</v>
      </c>
      <c r="F45" s="28" t="s">
        <v>39</v>
      </c>
      <c r="G45" s="30">
        <v>1</v>
      </c>
      <c r="H45" s="28" t="s">
        <v>169</v>
      </c>
      <c r="I45" s="35" t="s">
        <v>212</v>
      </c>
    </row>
    <row r="46" spans="1:9" s="21" customFormat="1" ht="25.5">
      <c r="B46" s="27" t="s">
        <v>180</v>
      </c>
      <c r="C46" s="28" t="s">
        <v>61</v>
      </c>
      <c r="D46" s="29" t="s">
        <v>65</v>
      </c>
      <c r="E46" s="29" t="s">
        <v>25</v>
      </c>
      <c r="F46" s="28" t="s">
        <v>53</v>
      </c>
      <c r="G46" s="30">
        <v>0.3</v>
      </c>
      <c r="H46" s="28" t="s">
        <v>169</v>
      </c>
      <c r="I46" s="35" t="s">
        <v>213</v>
      </c>
    </row>
    <row r="47" spans="1:9" s="21" customFormat="1" ht="38.25">
      <c r="B47" s="27" t="s">
        <v>180</v>
      </c>
      <c r="C47" s="28" t="s">
        <v>23</v>
      </c>
      <c r="D47" s="29" t="s">
        <v>78</v>
      </c>
      <c r="E47" s="29" t="s">
        <v>25</v>
      </c>
      <c r="F47" s="28" t="s">
        <v>51</v>
      </c>
      <c r="G47" s="30">
        <v>0.4</v>
      </c>
      <c r="H47" s="28" t="s">
        <v>169</v>
      </c>
      <c r="I47" s="35" t="s">
        <v>219</v>
      </c>
    </row>
    <row r="48" spans="1:9" s="21" customFormat="1" ht="25.5">
      <c r="B48" s="27" t="s">
        <v>180</v>
      </c>
      <c r="C48" s="28" t="s">
        <v>31</v>
      </c>
      <c r="D48" s="29" t="s">
        <v>19</v>
      </c>
      <c r="E48" s="29" t="s">
        <v>37</v>
      </c>
      <c r="F48" s="28" t="s">
        <v>49</v>
      </c>
      <c r="G48" s="30">
        <v>0.7</v>
      </c>
      <c r="H48" s="28" t="s">
        <v>35</v>
      </c>
      <c r="I48" s="35" t="s">
        <v>214</v>
      </c>
    </row>
    <row r="49" spans="2:9" s="21" customFormat="1" ht="12.75">
      <c r="B49" s="27"/>
      <c r="C49" s="28"/>
      <c r="D49" s="29"/>
      <c r="E49" s="29"/>
      <c r="F49" s="28"/>
      <c r="G49" s="30"/>
      <c r="H49" s="28"/>
      <c r="I49" s="35"/>
    </row>
    <row r="50" spans="2:9" s="21" customFormat="1" ht="14.45" customHeight="1">
      <c r="B50" s="44" t="s">
        <v>36</v>
      </c>
      <c r="C50" s="45"/>
      <c r="D50" s="46"/>
      <c r="E50" s="31"/>
      <c r="F50" s="31"/>
      <c r="G50" s="47">
        <f>SUM(G6:G49)</f>
        <v>38.000000000000007</v>
      </c>
      <c r="H50" s="48"/>
      <c r="I50" s="49"/>
    </row>
    <row r="53" spans="2:9">
      <c r="B53" s="36" t="s">
        <v>178</v>
      </c>
      <c r="C53" s="37"/>
      <c r="G53" s="39"/>
    </row>
    <row r="54" spans="2:9">
      <c r="C54" s="37"/>
      <c r="G54" s="39"/>
    </row>
    <row r="55" spans="2:9">
      <c r="G55" s="39"/>
    </row>
    <row r="57" spans="2:9">
      <c r="G57" s="39"/>
    </row>
  </sheetData>
  <mergeCells count="4">
    <mergeCell ref="B1:I1"/>
    <mergeCell ref="B2:H2"/>
    <mergeCell ref="B50:D50"/>
    <mergeCell ref="G50:I50"/>
  </mergeCells>
  <phoneticPr fontId="18" type="noConversion"/>
  <dataValidations count="3">
    <dataValidation type="list" errorStyle="warning" allowBlank="1" sqref="C13:C49" xr:uid="{00000000-0002-0000-0000-000005000000}">
      <formula1>项目事项分类项目名称</formula1>
    </dataValidation>
    <dataValidation type="list" allowBlank="1" showInputMessage="1" showErrorMessage="1" sqref="H6:H49" xr:uid="{00000000-0002-0000-0000-000006000000}">
      <formula1>事项分类指定内容</formula1>
    </dataValidation>
    <dataValidation type="list" allowBlank="1" showInputMessage="1" showErrorMessage="1" sqref="F6:F4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D6:D20 D22:D49</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5546875" defaultRowHeight="15"/>
  <cols>
    <col min="2" max="2" width="33.7109375" customWidth="1"/>
    <col min="3" max="3" width="40.85546875" customWidth="1"/>
    <col min="4" max="4" width="27.42578125" customWidth="1"/>
    <col min="5" max="5" width="22.7109375" customWidth="1"/>
    <col min="6" max="6" width="17.7109375" customWidth="1"/>
  </cols>
  <sheetData>
    <row r="2" spans="2:6">
      <c r="B2" t="s">
        <v>25</v>
      </c>
      <c r="C2" t="s">
        <v>33</v>
      </c>
      <c r="D2" t="s">
        <v>37</v>
      </c>
      <c r="E2" t="s">
        <v>38</v>
      </c>
      <c r="F2" t="s">
        <v>20</v>
      </c>
    </row>
    <row r="3" spans="2:6" ht="36.6" customHeight="1">
      <c r="B3" s="18" t="s">
        <v>39</v>
      </c>
      <c r="C3" s="18" t="s">
        <v>40</v>
      </c>
      <c r="D3" s="18" t="s">
        <v>41</v>
      </c>
      <c r="E3" s="18" t="s">
        <v>177</v>
      </c>
      <c r="F3" s="18" t="s">
        <v>21</v>
      </c>
    </row>
    <row r="4" spans="2:6" ht="45">
      <c r="B4" s="18" t="s">
        <v>42</v>
      </c>
      <c r="C4" s="18" t="s">
        <v>43</v>
      </c>
      <c r="D4" s="18" t="s">
        <v>44</v>
      </c>
      <c r="E4" s="18" t="s">
        <v>45</v>
      </c>
      <c r="F4" s="18" t="s">
        <v>46</v>
      </c>
    </row>
    <row r="5" spans="2:6" ht="4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1" customHeight="1">
      <c r="B8" s="18" t="s">
        <v>56</v>
      </c>
      <c r="C8" s="18" t="s">
        <v>57</v>
      </c>
      <c r="D8" s="20"/>
      <c r="E8" s="18"/>
      <c r="F8" s="18"/>
    </row>
    <row r="9" spans="2:6" ht="45">
      <c r="B9" s="18" t="s">
        <v>29</v>
      </c>
      <c r="C9" s="18" t="s">
        <v>58</v>
      </c>
      <c r="D9" s="18"/>
      <c r="E9" s="18"/>
    </row>
    <row r="10" spans="2:6" ht="30">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42578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5"/>
  <cols>
    <col min="1" max="1" width="8.7109375" style="1"/>
    <col min="2" max="2" width="16.7109375" customWidth="1"/>
    <col min="3" max="3" width="19.425781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59" t="s">
        <v>80</v>
      </c>
      <c r="B1" s="62" t="s">
        <v>81</v>
      </c>
      <c r="C1" s="52" t="s">
        <v>82</v>
      </c>
      <c r="D1" s="52" t="s">
        <v>83</v>
      </c>
      <c r="E1" s="52" t="s">
        <v>84</v>
      </c>
      <c r="F1" s="52" t="s">
        <v>85</v>
      </c>
      <c r="G1" s="56" t="s">
        <v>86</v>
      </c>
      <c r="H1" s="57"/>
      <c r="I1" s="57"/>
      <c r="J1" s="58"/>
      <c r="K1" s="50" t="s">
        <v>87</v>
      </c>
      <c r="L1" s="52" t="s">
        <v>88</v>
      </c>
      <c r="M1" s="14"/>
      <c r="N1" s="14"/>
      <c r="O1" s="14"/>
      <c r="P1" s="14"/>
    </row>
    <row r="2" spans="1:16">
      <c r="A2" s="59"/>
      <c r="B2" s="63"/>
      <c r="C2" s="53"/>
      <c r="D2" s="53"/>
      <c r="E2" s="53"/>
      <c r="F2" s="53"/>
      <c r="G2" s="2" t="s">
        <v>89</v>
      </c>
      <c r="H2" s="2" t="s">
        <v>90</v>
      </c>
      <c r="I2" s="2" t="s">
        <v>91</v>
      </c>
      <c r="J2" s="2" t="s">
        <v>92</v>
      </c>
      <c r="K2" s="51"/>
      <c r="L2" s="53"/>
      <c r="M2" s="14"/>
      <c r="N2" s="14"/>
      <c r="O2" s="14"/>
      <c r="P2" s="14"/>
    </row>
    <row r="3" spans="1:16" ht="191.2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60"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67.75">
      <c r="A5" s="60"/>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60"/>
      <c r="B6" s="64" t="s">
        <v>123</v>
      </c>
      <c r="C6" s="9" t="s">
        <v>124</v>
      </c>
      <c r="D6" s="5" t="s">
        <v>125</v>
      </c>
      <c r="E6" s="66" t="s">
        <v>126</v>
      </c>
      <c r="F6" s="4" t="s">
        <v>127</v>
      </c>
      <c r="G6" s="4" t="s">
        <v>128</v>
      </c>
      <c r="H6" s="4" t="s">
        <v>129</v>
      </c>
      <c r="I6" s="4" t="s">
        <v>130</v>
      </c>
      <c r="J6" s="4" t="s">
        <v>131</v>
      </c>
      <c r="K6" s="13">
        <v>4</v>
      </c>
      <c r="L6" s="4" t="s">
        <v>132</v>
      </c>
      <c r="M6" s="15"/>
      <c r="N6" s="14"/>
      <c r="O6" s="14"/>
      <c r="P6" s="14"/>
    </row>
    <row r="7" spans="1:16" ht="165.75">
      <c r="A7" s="60"/>
      <c r="B7" s="65"/>
      <c r="C7" s="9" t="s">
        <v>133</v>
      </c>
      <c r="D7" s="5" t="s">
        <v>134</v>
      </c>
      <c r="E7" s="67"/>
      <c r="F7" s="4" t="s">
        <v>135</v>
      </c>
      <c r="G7" s="4" t="s">
        <v>136</v>
      </c>
      <c r="H7" s="4" t="s">
        <v>137</v>
      </c>
      <c r="I7" s="4" t="s">
        <v>137</v>
      </c>
      <c r="J7" s="4" t="s">
        <v>138</v>
      </c>
      <c r="K7" s="13">
        <v>4</v>
      </c>
      <c r="L7" s="4" t="s">
        <v>139</v>
      </c>
      <c r="M7" s="14"/>
      <c r="N7" s="14"/>
      <c r="O7" s="14"/>
      <c r="P7" s="14"/>
    </row>
    <row r="8" spans="1:16" ht="409.5">
      <c r="A8" s="61" t="s">
        <v>140</v>
      </c>
      <c r="B8" s="64" t="s">
        <v>141</v>
      </c>
      <c r="C8" s="4" t="s">
        <v>142</v>
      </c>
      <c r="D8" s="5" t="s">
        <v>143</v>
      </c>
      <c r="E8" s="66" t="s">
        <v>144</v>
      </c>
      <c r="F8" s="4" t="s">
        <v>145</v>
      </c>
      <c r="G8" s="4" t="s">
        <v>146</v>
      </c>
      <c r="H8" s="4" t="s">
        <v>147</v>
      </c>
      <c r="I8" s="4" t="s">
        <v>148</v>
      </c>
      <c r="J8" s="4" t="s">
        <v>149</v>
      </c>
      <c r="K8" s="13">
        <v>5</v>
      </c>
      <c r="L8" s="13" t="s">
        <v>150</v>
      </c>
      <c r="M8" s="14"/>
      <c r="N8" s="14"/>
      <c r="O8" s="14"/>
      <c r="P8" s="14"/>
    </row>
    <row r="9" spans="1:16" ht="255">
      <c r="A9" s="61"/>
      <c r="B9" s="65"/>
      <c r="C9" s="10" t="s">
        <v>151</v>
      </c>
      <c r="D9" s="5" t="s">
        <v>152</v>
      </c>
      <c r="E9" s="67"/>
      <c r="F9" s="4" t="s">
        <v>153</v>
      </c>
      <c r="G9" s="4" t="s">
        <v>154</v>
      </c>
      <c r="H9" s="4" t="s">
        <v>155</v>
      </c>
      <c r="I9" s="4" t="s">
        <v>156</v>
      </c>
      <c r="J9" s="4" t="s">
        <v>157</v>
      </c>
      <c r="K9" s="13"/>
      <c r="L9" s="13" t="s">
        <v>158</v>
      </c>
      <c r="M9" s="14"/>
      <c r="N9" s="14"/>
      <c r="O9" s="14"/>
      <c r="P9" s="14"/>
    </row>
    <row r="10" spans="1:16" ht="78.95" customHeight="1">
      <c r="A10" s="11" t="s">
        <v>159</v>
      </c>
      <c r="B10" s="12" t="s">
        <v>160</v>
      </c>
      <c r="C10" s="4" t="s">
        <v>161</v>
      </c>
      <c r="D10" s="13" t="s">
        <v>162</v>
      </c>
      <c r="E10" s="54" t="s">
        <v>163</v>
      </c>
      <c r="F10" s="54" t="s">
        <v>164</v>
      </c>
      <c r="G10" s="54" t="s">
        <v>165</v>
      </c>
      <c r="H10" s="54" t="s">
        <v>166</v>
      </c>
      <c r="I10" s="8" t="s">
        <v>167</v>
      </c>
      <c r="J10" s="8" t="s">
        <v>168</v>
      </c>
      <c r="K10" s="13"/>
      <c r="L10" s="16"/>
      <c r="M10" s="14"/>
      <c r="N10" s="14"/>
      <c r="O10" s="14"/>
      <c r="P10" s="14"/>
    </row>
    <row r="11" spans="1:16">
      <c r="B11" s="14"/>
      <c r="C11" s="14"/>
      <c r="D11" s="14"/>
      <c r="E11" s="55"/>
      <c r="F11" s="55"/>
      <c r="G11" s="55"/>
      <c r="H11" s="55"/>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5"/>
  <cols>
    <col min="1" max="1" width="82.42578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2025-01-10T11:03:30Z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