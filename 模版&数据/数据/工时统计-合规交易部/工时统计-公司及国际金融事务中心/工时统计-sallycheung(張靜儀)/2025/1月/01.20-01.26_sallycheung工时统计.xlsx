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1F2E74F2-BEFD-4956-A789-BCD4004C7EE5}" xr6:coauthVersionLast="47" xr6:coauthVersionMax="47" xr10:uidLastSave="{00000000-0000-0000-0000-000000000000}"/>
  <bookViews>
    <workbookView xWindow="-28920" yWindow="171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<sst xmlns="http://schemas.openxmlformats.org/spreadsheetml/2006/main" count="357" uniqueCount="206">
  <si>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</si>
  <si>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</si>
  <si>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</si>
  <si>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</si>
  <si>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</si>
  <si>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</si>
  <si>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</si>
  <si>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</si>
  <si>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</si>
  <si>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</si>
  <si>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</si>
  <si>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</si>
  <si>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</si>
  <si>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</si>
  <si>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</si>
  <si>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</si>
  <si>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</si>
  <si>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</si>
  <si>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</si>
  <si>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</si>
  <si>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</si>
  <si>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</si>
  <si>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</si>
  <si>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</si>
  <si>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</si>
  <si>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</si>
  <si>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</si>
  <si>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</si>
  <si>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</si>
  <si>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</si>
  <si>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</si>
  <si>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</si>
  <si>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</si>
  <si>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</si>
  <si>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</si>
  <si>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</si>
  <si>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</si>
  <si>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</si>
  <si>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</si>
  <si>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</si>
  <si>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</si>
  <si>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</si>
  <si>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</si>
  <si>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</si>
  <si>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</si>
  <si>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</si>
  <si>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</si>
  <si>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</si>
  <si>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</si>
  <si>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</si>
  <si>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</si>
  <si>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</si>
  <si>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</si>
  <si>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</si>
  <si>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</si>
  <si>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</si>
  <si>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</si>
  <si>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</si>
  <si>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</si>
  <si>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</si>
  <si>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</si>
  <si>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</si>
  <si>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</si>
  <si>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</si>
  <si>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</si>
  <si>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</si>
  <si>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</si>
  <si>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</si>
  <si>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</si>
  <si>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</si>
  <si>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</si>
  <si>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</si>
  <si>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</si>
  <si>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</si>
  <si>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</si>
  <si>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</si>
  <si>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</si>
  <si>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</si>
  <si>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</si>
  <si>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</si>
  <si>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</si>
  <si>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</si>
  <si>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</si>
  <si>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</si>
  <si>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</si>
  <si>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</si>
  <si>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</si>
  <si>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</si>
  <si>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</si>
  <si>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</si>
  <si>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</si>
  <si>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</si>
  <si>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</si>
  <si>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</si>
  <si>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</si>
  <si>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</si>
  <si>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</si>
  <si>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</si>
  <si>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</si>
  <si>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</si>
  <si>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</si>
  <si>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</si>
  <si>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</si>
  <si>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</si>
  <si>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</si>
  <si>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</si>
  <si>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</si>
  <si>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</si>
  <si>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</si>
  <si>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</si>
  <si>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</si>
  <si>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</si>
  <si>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</si>
  <si>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</si>
  <si>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</si>
  <si>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</si>
  <si>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</si>
  <si>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</si>
  <si>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</si>
  <si>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</si>
  <si>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</si>
  <si>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</si>
  <si>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</si>
  <si>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</si>
  <si>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</si>
  <si>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</si>
  <si>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</si>
  <si>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</si>
  <si>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</si>
  <si>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</si>
  <si>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</si>
  <si>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</si>
  <si>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</si>
  <si>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</si>
  <si>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</si>
  <si>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</si>
  <si>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</si>
  <si>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</si>
  <si>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</si>
  <si>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</si>
  <si>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</si>
  <si>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</si>
  <si>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</si>
  <si>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</si>
  <si>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</si>
  <si>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</si>
  <si>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</si>
  <si>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</si>
  <si>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</si>
  <si>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</si>
  <si>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</si>
  <si>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</si>
  <si>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</si>
  <si>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</si>
  <si>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</si>
  <si>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</si>
  <si>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</si>
  <si>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</si>
  <si>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</si>
  <si>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</si>
  <si>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</si>
  <si>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</si>
  <si>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</si>
  <si>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</si>
  <si>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</si>
  <si>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</si>
  <si>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</si>
  <si>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</si>
  <si>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</si>
  <si>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</si>
  <si>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</si>
  <si>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</si>
  <si>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</si>
  <si>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</si>
  <si>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</si>
  <si>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</si>
  <si>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</si>
  <si>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</si>
  <si>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</si>
  <si>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sallycheung</t>
  </si>
  <si>
    <t>timesheet</t>
  </si>
  <si>
    <t>discuss with Frank re. investee list</t>
  </si>
  <si>
    <t>Confirmed the change of ROM, fwd email re. handover list to comsec</t>
  </si>
  <si>
    <t>Discussions with comsec and Chen re. completion of AR, discuss with Cynthia, sign as witness to specimen, discuss with Carmen on nominee director</t>
  </si>
  <si>
    <t>discuss with Mariati on waiver arrangements, summary of conversation</t>
  </si>
  <si>
    <t>discuss with Amy re. IEGG update email, send email, discuss with Maria re. BOC Macau's request, discussion with Cat re. custodian arrangement</t>
  </si>
  <si>
    <t>revise timesheets, discuss with Katie on mirroring 2025 new BSC, speak to Austor re collation of data on law firms</t>
  </si>
  <si>
    <t>Review summary on bahrain needs on org chart</t>
  </si>
  <si>
    <t>Discuss with Mindy re. NDRC approval, review BOC Macau ISDA agreement, discuss with Cat and Stephen re. custody agreement</t>
  </si>
  <si>
    <t>Annual meeting</t>
  </si>
  <si>
    <t>Review Hank's draft declaration interest letter, respond to Pwc on s70 review</t>
  </si>
  <si>
    <t>review hsbc account opening documents, discuss with Wendy re. AR content, chase TT on review of the part 16 BR, email to maples re CR forms</t>
  </si>
  <si>
    <t>discuss re. director swap for VB shareholder, discuss Headstand directorship change</t>
  </si>
  <si>
    <t>Respond to questions from comsec teams, discuss with Christy re. the signing of the CDA, discuss with Stephen on the custodian agreement, discuss with Ian re. sanctions letter</t>
  </si>
  <si>
    <t>review KYC responses for MA finance</t>
  </si>
  <si>
    <t>discuss with Iris on Bahrain issue</t>
  </si>
  <si>
    <t>discussions with Carol and Cat on custodian arrangement. Discuss with Anderson re. prc counsel legal opinon, review BNPP termsheet, discuss with Mind and amend term sheet again, review steps plan for Concerto release, discuss Concerto fees, discuss with comsec re. fresh COGSs to be issued</t>
  </si>
  <si>
    <t>review consent and authorisation letter for DMTT registration, discuss with Iris</t>
  </si>
  <si>
    <t>discuss with Charity re. description of charge in AR, discuss with Christy re. HSBC, discuss with Ming re. Malaysia AR</t>
  </si>
  <si>
    <t>rating law firms, meeting with CC to discuss secondment, discuss with Liz</t>
  </si>
  <si>
    <t>Review BOC steps plan and discuss with Javy, translate table for DPW, email to DPW, discuss with Stephen re. HSBC matter</t>
  </si>
  <si>
    <t>discussions re. certifications, VB emails</t>
  </si>
  <si>
    <t>discuss re. Russian issue</t>
  </si>
  <si>
    <t>discuss with Amy re. BOC and Concerto release, discuss on fee quotes, email to Claudia re. steps plan, discuss with Mindy re. BNP's ask, email Bakers, meeting with all parties to discuss steps plan</t>
  </si>
  <si>
    <t>reviewed Maples revised service agreement, email Maples re. submission of registration application, review Elsa's comments on the draft letters, review Russian advice and summarise</t>
  </si>
  <si>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20 - </t>
    </r>
    <r>
      <rPr>
        <b/>
        <sz val="10"/>
        <color theme="0"/>
        <rFont val="Calibri"/>
        <family val="2"/>
        <scheme val="minor"/>
      </rPr>
      <t>2025 - 01 - 26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</si>
</sst>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16" fontId="8" fillId="0" borderId="0" xfId="0" applyNumberFormat="1" applyFont="1">
      <alignment vertical="center"/>
    </xf>
    <xf numFmtId="165" fontId="0" fillId="0" borderId="0" xfId="0" applyNumberFormat="1">
      <alignment vertical="center"/>
    </xf>
    <xf numFmtId="165"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tabSelected="1" topLeftCell="A27" zoomScale="90" zoomScaleNormal="90" workbookViewId="0">
      <selection activeCell="M5" sqref="M5"/>
    </sheetView>
  </sheetViews>
  <sheetFormatPr defaultColWidth="9" defaultRowHeight="15"/>
  <cols>
    <col min="2" max="2" width="12.85546875" customWidth="1"/>
    <col min="3" max="3" width="28.42578125" style="18" customWidth="1"/>
    <col min="4" max="4" width="18.42578125" customWidth="1"/>
    <col min="5" max="5" width="17.85546875" customWidth="1"/>
    <col min="6" max="6" width="32.42578125" customWidth="1"/>
    <col min="7" max="7" width="13.140625" customWidth="1"/>
    <col min="8" max="8" width="41" customWidth="1"/>
    <col min="9" max="9" width="42.7109375" customWidth="1"/>
  </cols>
  <sheetData>
    <row r="1" spans="1:11" ht="15.75">
      <c r="B1" s="41" t="s">
        <v>0</v>
      </c>
      <c r="C1" s="42"/>
      <c r="D1" s="42"/>
      <c r="E1" s="42"/>
      <c r="F1" s="42"/>
      <c r="G1" s="42"/>
      <c r="H1" s="42"/>
      <c r="I1" s="42"/>
    </row>
    <row r="2" spans="1:11" ht="15.75">
      <c r="B2" s="43"/>
      <c r="C2" s="44"/>
      <c r="D2" s="44"/>
      <c r="E2" s="44"/>
      <c r="F2" s="44"/>
      <c r="G2" s="44"/>
      <c r="H2" s="44"/>
      <c r="I2" s="32" t="s">
        <v>205</v>
      </c>
    </row>
    <row r="3" spans="1:11">
      <c r="B3" s="22" t="s">
        <v>1</v>
      </c>
      <c r="C3" s="23" t="s">
        <v>2</v>
      </c>
      <c r="D3" s="23" t="s">
        <v>3</v>
      </c>
      <c r="E3" s="23" t="s">
        <v>4</v>
      </c>
      <c r="F3" s="23" t="s">
        <v>5</v>
      </c>
      <c r="G3" s="23" t="s">
        <v>6</v>
      </c>
      <c r="H3" s="23" t="s">
        <v>7</v>
      </c>
      <c r="I3" s="33" t="s">
        <v>8</v>
      </c>
    </row>
    <row r="4" spans="1:11">
      <c r="B4" s="22"/>
      <c r="C4" s="23"/>
      <c r="D4" s="23"/>
      <c r="E4" s="23"/>
      <c r="F4" s="23"/>
      <c r="G4" s="23"/>
      <c r="H4" s="23"/>
      <c r="I4" s="33"/>
    </row>
    <row r="5" spans="1:11" s="21" customFormat="1" ht="165" customHeight="1">
      <c r="A5" s="24" t="s">
        <v>9</v>
      </c>
      <c r="B5" s="25" t="s">
        <v>10</v>
      </c>
      <c r="C5" s="26" t="s">
        <v>11</v>
      </c>
      <c r="D5" s="26" t="s">
        <v>12</v>
      </c>
      <c r="E5" s="26" t="s">
        <v>13</v>
      </c>
      <c r="F5" s="26" t="s">
        <v>14</v>
      </c>
      <c r="G5" s="26" t="s">
        <v>15</v>
      </c>
      <c r="H5" s="26" t="s">
        <v>16</v>
      </c>
      <c r="I5" s="34" t="s">
        <v>17</v>
      </c>
    </row>
    <row r="6" spans="1:11" s="21" customFormat="1" ht="38.25">
      <c r="B6" s="27" t="s">
        <v>179</v>
      </c>
      <c r="C6" s="28" t="s">
        <v>23</v>
      </c>
      <c r="D6" s="29" t="s">
        <v>79</v>
      </c>
      <c r="E6" s="29" t="s">
        <v>25</v>
      </c>
      <c r="F6" s="28" t="s">
        <v>51</v>
      </c>
      <c r="G6" s="30">
        <v>0.4</v>
      </c>
      <c r="H6" s="28" t="s">
        <v>30</v>
      </c>
      <c r="I6" s="35" t="s">
        <v>182</v>
      </c>
    </row>
    <row r="7" spans="1:11" s="21" customFormat="1" ht="25.5">
      <c r="B7" s="27" t="s">
        <v>179</v>
      </c>
      <c r="C7" s="28" t="s">
        <v>62</v>
      </c>
      <c r="D7" s="29" t="s">
        <v>75</v>
      </c>
      <c r="E7" s="29" t="s">
        <v>25</v>
      </c>
      <c r="F7" s="28" t="s">
        <v>53</v>
      </c>
      <c r="G7" s="30">
        <v>1.2</v>
      </c>
      <c r="H7" s="28" t="s">
        <v>30</v>
      </c>
      <c r="I7" s="35" t="s">
        <v>184</v>
      </c>
    </row>
    <row r="8" spans="1:11" s="21" customFormat="1" ht="38.25">
      <c r="B8" s="27" t="s">
        <v>179</v>
      </c>
      <c r="C8" s="28" t="s">
        <v>61</v>
      </c>
      <c r="D8" s="29" t="s">
        <v>65</v>
      </c>
      <c r="E8" s="29" t="s">
        <v>25</v>
      </c>
      <c r="F8" s="28" t="s">
        <v>53</v>
      </c>
      <c r="G8" s="30">
        <v>1.5</v>
      </c>
      <c r="H8" s="28" t="s">
        <v>30</v>
      </c>
      <c r="I8" s="35" t="s">
        <v>183</v>
      </c>
    </row>
    <row r="9" spans="1:11" s="21" customFormat="1" ht="38.25">
      <c r="B9" s="27" t="s">
        <v>179</v>
      </c>
      <c r="C9" s="28" t="s">
        <v>62</v>
      </c>
      <c r="D9" s="29" t="s">
        <v>69</v>
      </c>
      <c r="E9" s="29" t="s">
        <v>25</v>
      </c>
      <c r="F9" s="28" t="s">
        <v>39</v>
      </c>
      <c r="G9" s="30">
        <v>1.3</v>
      </c>
      <c r="H9" s="28" t="s">
        <v>169</v>
      </c>
      <c r="I9" s="35" t="s">
        <v>185</v>
      </c>
    </row>
    <row r="10" spans="1:11" s="21" customFormat="1" ht="38.25">
      <c r="B10" s="27" t="s">
        <v>179</v>
      </c>
      <c r="C10" s="28" t="s">
        <v>31</v>
      </c>
      <c r="D10" s="29" t="s">
        <v>19</v>
      </c>
      <c r="E10" s="29" t="s">
        <v>37</v>
      </c>
      <c r="F10" s="28" t="s">
        <v>37</v>
      </c>
      <c r="G10" s="30">
        <v>2.5</v>
      </c>
      <c r="H10" s="28" t="s">
        <v>35</v>
      </c>
      <c r="I10" s="35" t="s">
        <v>186</v>
      </c>
    </row>
    <row r="11" spans="1:11" s="21" customFormat="1" ht="28.5" customHeight="1">
      <c r="B11" s="27"/>
      <c r="C11" s="28"/>
      <c r="D11" s="29"/>
      <c r="E11" s="29"/>
      <c r="F11" s="28"/>
      <c r="G11" s="30"/>
      <c r="H11" s="28"/>
      <c r="I11" s="35"/>
      <c r="K11" s="40"/>
    </row>
    <row r="12" spans="1:11" s="21" customFormat="1" ht="38.25">
      <c r="A12" s="38"/>
      <c r="B12" s="27" t="s">
        <v>179</v>
      </c>
      <c r="C12" s="28" t="s">
        <v>62</v>
      </c>
      <c r="D12" s="29" t="s">
        <v>69</v>
      </c>
      <c r="E12" s="29" t="s">
        <v>25</v>
      </c>
      <c r="F12" s="28" t="s">
        <v>39</v>
      </c>
      <c r="G12" s="30">
        <v>1.7</v>
      </c>
      <c r="H12" s="28" t="s">
        <v>169</v>
      </c>
      <c r="I12" s="35" t="s">
        <v>188</v>
      </c>
    </row>
    <row r="13" spans="1:11" s="21" customFormat="1" ht="25.5">
      <c r="B13" s="27" t="s">
        <v>179</v>
      </c>
      <c r="C13" s="28" t="s">
        <v>61</v>
      </c>
      <c r="D13" s="29" t="s">
        <v>66</v>
      </c>
      <c r="E13" s="29" t="s">
        <v>25</v>
      </c>
      <c r="F13" s="28" t="s">
        <v>53</v>
      </c>
      <c r="G13" s="30">
        <v>0.3</v>
      </c>
      <c r="H13" s="28" t="s">
        <v>169</v>
      </c>
      <c r="I13" s="35" t="s">
        <v>187</v>
      </c>
    </row>
    <row r="14" spans="1:11" s="21" customFormat="1" ht="38.25">
      <c r="B14" s="27" t="s">
        <v>179</v>
      </c>
      <c r="C14" s="28" t="s">
        <v>23</v>
      </c>
      <c r="D14" s="29" t="s">
        <v>78</v>
      </c>
      <c r="E14" s="29" t="s">
        <v>25</v>
      </c>
      <c r="F14" s="28" t="s">
        <v>51</v>
      </c>
      <c r="G14" s="30">
        <v>0.9</v>
      </c>
      <c r="H14" s="28" t="s">
        <v>30</v>
      </c>
      <c r="I14" s="35" t="s">
        <v>190</v>
      </c>
    </row>
    <row r="15" spans="1:11" s="21" customFormat="1" ht="38.25">
      <c r="B15" s="27" t="s">
        <v>179</v>
      </c>
      <c r="C15" s="28" t="s">
        <v>61</v>
      </c>
      <c r="D15" s="29" t="s">
        <v>65</v>
      </c>
      <c r="E15" s="29" t="s">
        <v>25</v>
      </c>
      <c r="F15" s="28" t="s">
        <v>53</v>
      </c>
      <c r="G15" s="30">
        <v>1.4</v>
      </c>
      <c r="H15" s="28" t="s">
        <v>169</v>
      </c>
      <c r="I15" s="35" t="s">
        <v>191</v>
      </c>
    </row>
    <row r="16" spans="1:11" s="21" customFormat="1" ht="12.75">
      <c r="B16" s="27" t="s">
        <v>179</v>
      </c>
      <c r="C16" s="28" t="s">
        <v>31</v>
      </c>
      <c r="D16" s="29"/>
      <c r="E16" s="29" t="s">
        <v>37</v>
      </c>
      <c r="F16" s="28" t="s">
        <v>41</v>
      </c>
      <c r="G16" s="30">
        <v>4</v>
      </c>
      <c r="H16" s="28" t="s">
        <v>35</v>
      </c>
      <c r="I16" s="35" t="s">
        <v>189</v>
      </c>
      <c r="K16" s="40"/>
    </row>
    <row r="17" spans="1:11" s="21" customFormat="1" ht="31.5" customHeight="1">
      <c r="B17" s="27"/>
      <c r="C17" s="28"/>
      <c r="D17" s="29"/>
      <c r="E17" s="29"/>
      <c r="F17" s="28"/>
      <c r="G17" s="30"/>
      <c r="H17" s="28"/>
      <c r="I17" s="35"/>
      <c r="K17" s="40"/>
    </row>
    <row r="18" spans="1:11" s="21" customFormat="1" ht="25.5">
      <c r="A18" s="38"/>
      <c r="B18" s="27" t="s">
        <v>179</v>
      </c>
      <c r="C18" s="28" t="s">
        <v>61</v>
      </c>
      <c r="D18" s="29" t="s">
        <v>75</v>
      </c>
      <c r="E18" s="29" t="s">
        <v>25</v>
      </c>
      <c r="F18" s="28" t="s">
        <v>53</v>
      </c>
      <c r="G18" s="30">
        <v>0.5</v>
      </c>
      <c r="H18" s="28" t="s">
        <v>169</v>
      </c>
      <c r="I18" s="35" t="s">
        <v>194</v>
      </c>
    </row>
    <row r="19" spans="1:11" s="21" customFormat="1" ht="25.5">
      <c r="B19" s="27" t="s">
        <v>179</v>
      </c>
      <c r="C19" s="28" t="s">
        <v>61</v>
      </c>
      <c r="D19" s="29" t="s">
        <v>68</v>
      </c>
      <c r="E19" s="29" t="s">
        <v>25</v>
      </c>
      <c r="F19" s="28" t="s">
        <v>53</v>
      </c>
      <c r="G19" s="30">
        <v>0.8</v>
      </c>
      <c r="H19" s="28" t="s">
        <v>30</v>
      </c>
      <c r="I19" s="35" t="s">
        <v>192</v>
      </c>
    </row>
    <row r="20" spans="1:11" s="21" customFormat="1" ht="51">
      <c r="B20" s="27" t="s">
        <v>179</v>
      </c>
      <c r="C20" s="28" t="s">
        <v>61</v>
      </c>
      <c r="D20" s="29" t="s">
        <v>65</v>
      </c>
      <c r="E20" s="29" t="s">
        <v>25</v>
      </c>
      <c r="F20" s="28" t="s">
        <v>53</v>
      </c>
      <c r="G20" s="30">
        <v>1.6</v>
      </c>
      <c r="H20" s="28" t="s">
        <v>169</v>
      </c>
      <c r="I20" s="35" t="s">
        <v>193</v>
      </c>
    </row>
    <row r="21" spans="1:11" s="21" customFormat="1" ht="25.5">
      <c r="B21" s="27"/>
      <c r="C21" s="28" t="s">
        <v>61</v>
      </c>
      <c r="D21" s="29" t="s">
        <v>66</v>
      </c>
      <c r="E21" s="29" t="s">
        <v>25</v>
      </c>
      <c r="F21" s="28" t="s">
        <v>53</v>
      </c>
      <c r="G21" s="30">
        <v>0.4</v>
      </c>
      <c r="H21" s="28" t="s">
        <v>30</v>
      </c>
      <c r="I21" s="35" t="s">
        <v>195</v>
      </c>
    </row>
    <row r="22" spans="1:11" s="21" customFormat="1" ht="76.5">
      <c r="B22" s="27" t="s">
        <v>179</v>
      </c>
      <c r="C22" s="28" t="s">
        <v>62</v>
      </c>
      <c r="D22" s="29" t="s">
        <v>69</v>
      </c>
      <c r="E22" s="29" t="s">
        <v>25</v>
      </c>
      <c r="F22" s="28" t="s">
        <v>39</v>
      </c>
      <c r="G22" s="30">
        <v>2.9</v>
      </c>
      <c r="H22" s="28" t="s">
        <v>169</v>
      </c>
      <c r="I22" s="35" t="s">
        <v>196</v>
      </c>
    </row>
    <row r="23" spans="1:11" s="21" customFormat="1" ht="25.5">
      <c r="B23" s="27" t="s">
        <v>179</v>
      </c>
      <c r="C23" s="28" t="s">
        <v>61</v>
      </c>
      <c r="D23" s="29" t="s">
        <v>66</v>
      </c>
      <c r="E23" s="29" t="s">
        <v>25</v>
      </c>
      <c r="F23" s="28" t="s">
        <v>53</v>
      </c>
      <c r="G23" s="30">
        <v>1.2</v>
      </c>
      <c r="H23" s="28" t="s">
        <v>169</v>
      </c>
      <c r="I23" s="35" t="s">
        <v>197</v>
      </c>
    </row>
    <row r="24" spans="1:11" s="21" customFormat="1" ht="45" customHeight="1">
      <c r="A24" s="38"/>
      <c r="B24" s="27"/>
      <c r="C24" s="28"/>
      <c r="D24" s="29"/>
      <c r="E24" s="29"/>
      <c r="F24" s="28"/>
      <c r="G24" s="30"/>
      <c r="H24" s="28"/>
      <c r="I24" s="35"/>
      <c r="K24" s="40"/>
    </row>
    <row r="25" spans="1:11" s="21" customFormat="1" ht="38.25">
      <c r="A25" s="38"/>
      <c r="B25" s="27" t="s">
        <v>179</v>
      </c>
      <c r="C25" s="28" t="s">
        <v>62</v>
      </c>
      <c r="D25" s="29" t="s">
        <v>69</v>
      </c>
      <c r="E25" s="29" t="s">
        <v>25</v>
      </c>
      <c r="F25" s="28" t="s">
        <v>39</v>
      </c>
      <c r="G25" s="30">
        <v>1.6</v>
      </c>
      <c r="H25" s="28" t="s">
        <v>169</v>
      </c>
      <c r="I25" s="35" t="s">
        <v>200</v>
      </c>
    </row>
    <row r="26" spans="1:11" s="21" customFormat="1" ht="25.5">
      <c r="B26" s="27" t="s">
        <v>179</v>
      </c>
      <c r="C26" s="28" t="s">
        <v>31</v>
      </c>
      <c r="D26" s="29" t="s">
        <v>35</v>
      </c>
      <c r="E26" s="29" t="s">
        <v>37</v>
      </c>
      <c r="F26" s="28" t="s">
        <v>37</v>
      </c>
      <c r="G26" s="30">
        <v>4.4000000000000004</v>
      </c>
      <c r="H26" s="28" t="s">
        <v>35</v>
      </c>
      <c r="I26" s="35" t="s">
        <v>199</v>
      </c>
    </row>
    <row r="27" spans="1:11" s="21" customFormat="1" ht="38.25">
      <c r="B27" s="27" t="s">
        <v>179</v>
      </c>
      <c r="C27" s="28" t="s">
        <v>61</v>
      </c>
      <c r="D27" s="29" t="s">
        <v>65</v>
      </c>
      <c r="E27" s="29" t="s">
        <v>25</v>
      </c>
      <c r="F27" s="28" t="s">
        <v>53</v>
      </c>
      <c r="G27" s="30">
        <v>0.8</v>
      </c>
      <c r="H27" s="28" t="s">
        <v>30</v>
      </c>
      <c r="I27" s="35" t="s">
        <v>198</v>
      </c>
    </row>
    <row r="28" spans="1:11" s="21" customFormat="1" ht="36" customHeight="1">
      <c r="B28" s="27"/>
      <c r="C28" s="28"/>
      <c r="D28" s="29"/>
      <c r="E28" s="29"/>
      <c r="F28" s="28"/>
      <c r="G28" s="30"/>
      <c r="H28" s="28"/>
      <c r="I28" s="35"/>
      <c r="K28" s="40"/>
    </row>
    <row r="29" spans="1:11" s="21" customFormat="1" ht="38.25">
      <c r="B29" s="27" t="s">
        <v>179</v>
      </c>
      <c r="C29" s="28" t="s">
        <v>61</v>
      </c>
      <c r="D29" s="29" t="s">
        <v>65</v>
      </c>
      <c r="E29" s="29" t="s">
        <v>25</v>
      </c>
      <c r="F29" s="28" t="s">
        <v>51</v>
      </c>
      <c r="G29" s="30">
        <v>0.6</v>
      </c>
      <c r="H29" s="28" t="s">
        <v>30</v>
      </c>
      <c r="I29" s="35" t="s">
        <v>202</v>
      </c>
    </row>
    <row r="30" spans="1:11" s="21" customFormat="1" ht="51">
      <c r="B30" s="27" t="s">
        <v>179</v>
      </c>
      <c r="C30" s="28" t="s">
        <v>61</v>
      </c>
      <c r="D30" s="29" t="s">
        <v>66</v>
      </c>
      <c r="E30" s="29" t="s">
        <v>25</v>
      </c>
      <c r="F30" s="28" t="s">
        <v>53</v>
      </c>
      <c r="G30" s="30">
        <v>2.4</v>
      </c>
      <c r="H30" s="28" t="s">
        <v>169</v>
      </c>
      <c r="I30" s="35" t="s">
        <v>204</v>
      </c>
    </row>
    <row r="31" spans="1:11" s="21" customFormat="1" ht="51">
      <c r="B31" s="27" t="s">
        <v>179</v>
      </c>
      <c r="C31" s="28" t="s">
        <v>62</v>
      </c>
      <c r="D31" s="29" t="s">
        <v>69</v>
      </c>
      <c r="E31" s="29" t="s">
        <v>25</v>
      </c>
      <c r="F31" s="28" t="s">
        <v>39</v>
      </c>
      <c r="G31" s="30">
        <v>2.9</v>
      </c>
      <c r="H31" s="28" t="s">
        <v>169</v>
      </c>
      <c r="I31" s="35" t="s">
        <v>203</v>
      </c>
    </row>
    <row r="32" spans="1:11" s="21" customFormat="1" ht="25.5">
      <c r="B32" s="27" t="s">
        <v>179</v>
      </c>
      <c r="C32" s="28" t="s">
        <v>61</v>
      </c>
      <c r="D32" s="29" t="s">
        <v>65</v>
      </c>
      <c r="E32" s="29" t="s">
        <v>25</v>
      </c>
      <c r="F32" s="28" t="s">
        <v>53</v>
      </c>
      <c r="G32" s="30">
        <v>0.6</v>
      </c>
      <c r="H32" s="28" t="s">
        <v>30</v>
      </c>
      <c r="I32" s="35" t="s">
        <v>201</v>
      </c>
    </row>
    <row r="33" spans="2:12" s="21" customFormat="1" ht="25.5">
      <c r="B33" s="27" t="s">
        <v>179</v>
      </c>
      <c r="C33" s="28" t="s">
        <v>23</v>
      </c>
      <c r="D33" s="29" t="s">
        <v>78</v>
      </c>
      <c r="E33" s="29" t="s">
        <v>25</v>
      </c>
      <c r="F33" s="28" t="s">
        <v>53</v>
      </c>
      <c r="G33" s="30">
        <v>0.3</v>
      </c>
      <c r="H33" s="28" t="s">
        <v>30</v>
      </c>
      <c r="I33" s="35" t="s">
        <v>181</v>
      </c>
    </row>
    <row r="34" spans="2:12" s="21" customFormat="1" ht="25.5">
      <c r="B34" s="27" t="s">
        <v>179</v>
      </c>
      <c r="C34" s="28" t="s">
        <v>31</v>
      </c>
      <c r="D34" s="29" t="s">
        <v>19</v>
      </c>
      <c r="E34" s="29" t="s">
        <v>37</v>
      </c>
      <c r="F34" s="28" t="s">
        <v>49</v>
      </c>
      <c r="G34" s="30">
        <v>1</v>
      </c>
      <c r="H34" s="28" t="s">
        <v>35</v>
      </c>
      <c r="I34" s="35" t="s">
        <v>180</v>
      </c>
      <c r="K34" s="40"/>
      <c r="L34" s="40"/>
    </row>
    <row r="35" spans="2:12" s="21" customFormat="1" ht="12.75">
      <c r="B35" s="27"/>
      <c r="C35" s="28"/>
      <c r="D35" s="29"/>
      <c r="E35" s="29"/>
      <c r="F35" s="28"/>
      <c r="G35" s="30"/>
      <c r="H35" s="28"/>
      <c r="I35" s="35"/>
    </row>
    <row r="36" spans="2:12" s="21" customFormat="1" ht="14.45" customHeight="1">
      <c r="B36" s="45" t="s">
        <v>36</v>
      </c>
      <c r="C36" s="46"/>
      <c r="D36" s="47"/>
      <c r="E36" s="31"/>
      <c r="F36" s="31"/>
      <c r="G36" s="48">
        <f>SUM(G6:G35)</f>
        <v>37.200000000000003</v>
      </c>
      <c r="H36" s="49"/>
      <c r="I36" s="50"/>
    </row>
    <row r="39" spans="2:12">
      <c r="B39" s="36" t="s">
        <v>178</v>
      </c>
      <c r="C39" s="37"/>
      <c r="G39" s="39"/>
    </row>
    <row r="40" spans="2:12">
      <c r="C40" s="37"/>
      <c r="G40" s="39"/>
    </row>
    <row r="41" spans="2:12">
      <c r="G41" s="39"/>
    </row>
    <row r="43" spans="2:12">
      <c r="G43" s="39"/>
    </row>
  </sheetData>
  <mergeCells count="4">
    <mergeCell ref="B1:I1"/>
    <mergeCell ref="B2:H2"/>
    <mergeCell ref="B36:D36"/>
    <mergeCell ref="G36:I36"/>
  </mergeCells>
  <phoneticPr fontId="18" type="noConversion"/>
  <dataValidations count="3">
    <dataValidation type="list" errorStyle="warning" allowBlank="1" sqref="C10:C35" xr:uid="{00000000-0002-0000-0000-000005000000}">
      <formula1>项目事项分类项目名称</formula1>
    </dataValidation>
    <dataValidation type="list" allowBlank="1" showInputMessage="1" showErrorMessage="1" sqref="H6:H35" xr:uid="{00000000-0002-0000-0000-000006000000}">
      <formula1>事项分类指定内容</formula1>
    </dataValidation>
    <dataValidation type="list" allowBlank="1" showInputMessage="1" showErrorMessage="1" sqref="F6:F35"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C6:C9</xm:sqref>
        </x14:dataValidation>
        <x14:dataValidation type="list" allowBlank="1" showInputMessage="1" showErrorMessage="1" xr:uid="{00000000-0002-0000-0000-000007000000}">
          <x14:formula1>
            <xm:f>Tag!$B$2:$F$2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C4" sqref="C4"/>
    </sheetView>
  </sheetViews>
  <sheetFormatPr defaultColWidth="8.85546875" defaultRowHeight="15"/>
  <cols>
    <col min="2" max="2" width="33.7109375" customWidth="1"/>
    <col min="3" max="3" width="40.85546875" customWidth="1"/>
    <col min="4" max="4" width="27.42578125" customWidth="1"/>
    <col min="5" max="5" width="22.7109375" customWidth="1"/>
    <col min="6" max="6" width="17.7109375" customWidth="1"/>
  </cols>
  <sheetData>
    <row r="2" spans="2:6">
      <c r="B2" t="s">
        <v>25</v>
      </c>
      <c r="C2" t="s">
        <v>33</v>
      </c>
      <c r="D2" t="s">
        <v>37</v>
      </c>
      <c r="E2" t="s">
        <v>38</v>
      </c>
      <c r="F2" t="s">
        <v>20</v>
      </c>
    </row>
    <row r="3" spans="2:6" ht="36.6" customHeight="1">
      <c r="B3" s="18" t="s">
        <v>39</v>
      </c>
      <c r="C3" s="18" t="s">
        <v>40</v>
      </c>
      <c r="D3" s="18" t="s">
        <v>41</v>
      </c>
      <c r="E3" s="18" t="s">
        <v>177</v>
      </c>
      <c r="F3" s="18" t="s">
        <v>21</v>
      </c>
    </row>
    <row r="4" spans="2:6" ht="45">
      <c r="B4" s="18" t="s">
        <v>42</v>
      </c>
      <c r="C4" s="18" t="s">
        <v>43</v>
      </c>
      <c r="D4" s="18" t="s">
        <v>44</v>
      </c>
      <c r="E4" s="18" t="s">
        <v>45</v>
      </c>
      <c r="F4" s="18" t="s">
        <v>46</v>
      </c>
    </row>
    <row r="5" spans="2:6" ht="4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1" customHeight="1">
      <c r="B8" s="18" t="s">
        <v>56</v>
      </c>
      <c r="C8" s="18" t="s">
        <v>57</v>
      </c>
      <c r="D8" s="20"/>
      <c r="E8" s="18"/>
      <c r="F8" s="18"/>
    </row>
    <row r="9" spans="2:6" ht="45">
      <c r="B9" s="18" t="s">
        <v>29</v>
      </c>
      <c r="C9" s="18" t="s">
        <v>58</v>
      </c>
      <c r="D9" s="18"/>
      <c r="E9" s="18"/>
    </row>
    <row r="10" spans="2:6" ht="30">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5"/>
  <cols>
    <col min="1" max="1" width="62.1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425781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5"/>
  <cols>
    <col min="1" max="1" width="8.7109375" style="1"/>
    <col min="2" max="2" width="16.7109375" customWidth="1"/>
    <col min="3" max="3" width="19.42578125" customWidth="1"/>
    <col min="5" max="5" width="20.85546875" customWidth="1"/>
    <col min="6" max="6" width="33.7109375" customWidth="1"/>
    <col min="7" max="7" width="18.28515625" customWidth="1"/>
    <col min="8" max="8" width="17.85546875" customWidth="1"/>
    <col min="9" max="9" width="18" customWidth="1"/>
    <col min="10" max="10" width="17.85546875" customWidth="1"/>
  </cols>
  <sheetData>
    <row r="1" spans="1:16">
      <c r="A1" s="60" t="s">
        <v>80</v>
      </c>
      <c r="B1" s="63" t="s">
        <v>81</v>
      </c>
      <c r="C1" s="53" t="s">
        <v>82</v>
      </c>
      <c r="D1" s="53" t="s">
        <v>83</v>
      </c>
      <c r="E1" s="53" t="s">
        <v>84</v>
      </c>
      <c r="F1" s="53" t="s">
        <v>85</v>
      </c>
      <c r="G1" s="57" t="s">
        <v>86</v>
      </c>
      <c r="H1" s="58"/>
      <c r="I1" s="58"/>
      <c r="J1" s="59"/>
      <c r="K1" s="51" t="s">
        <v>87</v>
      </c>
      <c r="L1" s="53" t="s">
        <v>88</v>
      </c>
      <c r="M1" s="14"/>
      <c r="N1" s="14"/>
      <c r="O1" s="14"/>
      <c r="P1" s="14"/>
    </row>
    <row r="2" spans="1:16">
      <c r="A2" s="60"/>
      <c r="B2" s="64"/>
      <c r="C2" s="54"/>
      <c r="D2" s="54"/>
      <c r="E2" s="54"/>
      <c r="F2" s="54"/>
      <c r="G2" s="2" t="s">
        <v>89</v>
      </c>
      <c r="H2" s="2" t="s">
        <v>90</v>
      </c>
      <c r="I2" s="2" t="s">
        <v>91</v>
      </c>
      <c r="J2" s="2" t="s">
        <v>92</v>
      </c>
      <c r="K2" s="52"/>
      <c r="L2" s="54"/>
      <c r="M2" s="14"/>
      <c r="N2" s="14"/>
      <c r="O2" s="14"/>
      <c r="P2" s="14"/>
    </row>
    <row r="3" spans="1:16" ht="191.2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61"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67.75">
      <c r="A5" s="61"/>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61"/>
      <c r="B6" s="65" t="s">
        <v>123</v>
      </c>
      <c r="C6" s="9" t="s">
        <v>124</v>
      </c>
      <c r="D6" s="5" t="s">
        <v>125</v>
      </c>
      <c r="E6" s="67" t="s">
        <v>126</v>
      </c>
      <c r="F6" s="4" t="s">
        <v>127</v>
      </c>
      <c r="G6" s="4" t="s">
        <v>128</v>
      </c>
      <c r="H6" s="4" t="s">
        <v>129</v>
      </c>
      <c r="I6" s="4" t="s">
        <v>130</v>
      </c>
      <c r="J6" s="4" t="s">
        <v>131</v>
      </c>
      <c r="K6" s="13">
        <v>4</v>
      </c>
      <c r="L6" s="4" t="s">
        <v>132</v>
      </c>
      <c r="M6" s="15"/>
      <c r="N6" s="14"/>
      <c r="O6" s="14"/>
      <c r="P6" s="14"/>
    </row>
    <row r="7" spans="1:16" ht="165.75">
      <c r="A7" s="61"/>
      <c r="B7" s="66"/>
      <c r="C7" s="9" t="s">
        <v>133</v>
      </c>
      <c r="D7" s="5" t="s">
        <v>134</v>
      </c>
      <c r="E7" s="68"/>
      <c r="F7" s="4" t="s">
        <v>135</v>
      </c>
      <c r="G7" s="4" t="s">
        <v>136</v>
      </c>
      <c r="H7" s="4" t="s">
        <v>137</v>
      </c>
      <c r="I7" s="4" t="s">
        <v>137</v>
      </c>
      <c r="J7" s="4" t="s">
        <v>138</v>
      </c>
      <c r="K7" s="13">
        <v>4</v>
      </c>
      <c r="L7" s="4" t="s">
        <v>139</v>
      </c>
      <c r="M7" s="14"/>
      <c r="N7" s="14"/>
      <c r="O7" s="14"/>
      <c r="P7" s="14"/>
    </row>
    <row r="8" spans="1:16" ht="409.5">
      <c r="A8" s="62" t="s">
        <v>140</v>
      </c>
      <c r="B8" s="65" t="s">
        <v>141</v>
      </c>
      <c r="C8" s="4" t="s">
        <v>142</v>
      </c>
      <c r="D8" s="5" t="s">
        <v>143</v>
      </c>
      <c r="E8" s="67" t="s">
        <v>144</v>
      </c>
      <c r="F8" s="4" t="s">
        <v>145</v>
      </c>
      <c r="G8" s="4" t="s">
        <v>146</v>
      </c>
      <c r="H8" s="4" t="s">
        <v>147</v>
      </c>
      <c r="I8" s="4" t="s">
        <v>148</v>
      </c>
      <c r="J8" s="4" t="s">
        <v>149</v>
      </c>
      <c r="K8" s="13">
        <v>5</v>
      </c>
      <c r="L8" s="13" t="s">
        <v>150</v>
      </c>
      <c r="M8" s="14"/>
      <c r="N8" s="14"/>
      <c r="O8" s="14"/>
      <c r="P8" s="14"/>
    </row>
    <row r="9" spans="1:16" ht="255">
      <c r="A9" s="62"/>
      <c r="B9" s="66"/>
      <c r="C9" s="10" t="s">
        <v>151</v>
      </c>
      <c r="D9" s="5" t="s">
        <v>152</v>
      </c>
      <c r="E9" s="68"/>
      <c r="F9" s="4" t="s">
        <v>153</v>
      </c>
      <c r="G9" s="4" t="s">
        <v>154</v>
      </c>
      <c r="H9" s="4" t="s">
        <v>155</v>
      </c>
      <c r="I9" s="4" t="s">
        <v>156</v>
      </c>
      <c r="J9" s="4" t="s">
        <v>157</v>
      </c>
      <c r="K9" s="13"/>
      <c r="L9" s="13" t="s">
        <v>158</v>
      </c>
      <c r="M9" s="14"/>
      <c r="N9" s="14"/>
      <c r="O9" s="14"/>
      <c r="P9" s="14"/>
    </row>
    <row r="10" spans="1:16" ht="78.95" customHeight="1">
      <c r="A10" s="11" t="s">
        <v>159</v>
      </c>
      <c r="B10" s="12" t="s">
        <v>160</v>
      </c>
      <c r="C10" s="4" t="s">
        <v>161</v>
      </c>
      <c r="D10" s="13" t="s">
        <v>162</v>
      </c>
      <c r="E10" s="55" t="s">
        <v>163</v>
      </c>
      <c r="F10" s="55" t="s">
        <v>164</v>
      </c>
      <c r="G10" s="55" t="s">
        <v>165</v>
      </c>
      <c r="H10" s="55" t="s">
        <v>166</v>
      </c>
      <c r="I10" s="8" t="s">
        <v>167</v>
      </c>
      <c r="J10" s="8" t="s">
        <v>168</v>
      </c>
      <c r="K10" s="13"/>
      <c r="L10" s="16"/>
      <c r="M10" s="14"/>
      <c r="N10" s="14"/>
      <c r="O10" s="14"/>
      <c r="P10" s="14"/>
    </row>
    <row r="11" spans="1:16">
      <c r="B11" s="14"/>
      <c r="C11" s="14"/>
      <c r="D11" s="14"/>
      <c r="E11" s="56"/>
      <c r="F11" s="56"/>
      <c r="G11" s="56"/>
      <c r="H11" s="56"/>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5"/>
  <cols>
    <col min="1" max="1" width="82.425781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2025-02-03T09:54:08Z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