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722D3B4A-BCC5-4DEE-9168-8BC799FA2E0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<sst xmlns="http://schemas.openxmlformats.org/spreadsheetml/2006/main" count="574" uniqueCount="362">
  <si>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</si>
  <si>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</si>
  <si>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</si>
  <si>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</si>
  <si>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</si>
  <si>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</si>
  <si>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</si>
  <si>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</si>
  <si>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</si>
  <si>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</si>
  <si>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</si>
  <si>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</si>
  <si>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</si>
  <si>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</si>
  <si>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</si>
  <si>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</si>
  <si>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</si>
  <si>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</si>
  <si>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</si>
  <si>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</si>
  <si>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</si>
  <si>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</si>
  <si>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</si>
  <si>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</si>
  <si>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</si>
  <si>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</si>
  <si>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</si>
  <si>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</si>
  <si>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</si>
  <si>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</si>
  <si>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</si>
  <si>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</si>
  <si>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</si>
  <si>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</si>
  <si>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</si>
  <si>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</si>
  <si>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</si>
  <si>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</si>
  <si>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</si>
  <si>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</si>
  <si>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</si>
  <si>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</si>
  <si>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</si>
  <si>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</si>
  <si>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</si>
  <si>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</si>
  <si>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</si>
  <si>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</si>
  <si>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</si>
  <si>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</si>
  <si>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</si>
  <si>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</si>
  <si>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</si>
  <si>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</si>
  <si>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</si>
  <si>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</si>
  <si>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</si>
  <si>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</si>
  <si>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</si>
  <si>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</si>
  <si>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</si>
  <si>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</si>
  <si>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</si>
  <si>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</si>
  <si>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</si>
  <si>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</si>
  <si>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</si>
  <si>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</si>
  <si>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</si>
  <si>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</si>
  <si>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</si>
  <si>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</si>
  <si>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</si>
  <si>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</si>
  <si>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</si>
  <si>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</si>
  <si>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</si>
  <si>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</si>
  <si>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</si>
  <si>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</si>
  <si>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</si>
  <si>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</si>
  <si>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</si>
  <si>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</si>
  <si>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</si>
  <si>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</si>
  <si>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</si>
  <si>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</si>
  <si>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</si>
  <si>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</si>
  <si>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</si>
  <si>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</si>
  <si>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</si>
  <si>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</si>
  <si>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</si>
  <si>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</si>
  <si>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</si>
  <si>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</si>
  <si>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</si>
  <si>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</si>
  <si>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</si>
  <si>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</si>
  <si>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</si>
  <si>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</si>
  <si>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</si>
  <si>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</si>
  <si>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</si>
  <si>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</si>
  <si>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</si>
  <si>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</si>
  <si>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</si>
  <si>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</si>
  <si>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</si>
  <si>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</si>
  <si>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</si>
  <si>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</si>
  <si>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</si>
  <si>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</si>
  <si>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</si>
  <si>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</si>
  <si>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</si>
  <si>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</si>
  <si>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</si>
  <si>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</si>
  <si>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</si>
  <si>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</si>
  <si>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</si>
  <si>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</si>
  <si>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</si>
  <si>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</si>
  <si>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</si>
  <si>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</si>
  <si>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</si>
  <si>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</si>
  <si>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</si>
  <si>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</si>
  <si>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</si>
  <si>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</si>
  <si>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</si>
  <si>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</si>
  <si>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</si>
  <si>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</si>
  <si>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</si>
  <si>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</si>
  <si>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</si>
  <si>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</si>
  <si>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</si>
  <si>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</si>
  <si>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</si>
  <si>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</si>
  <si>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</si>
  <si>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</si>
  <si>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</si>
  <si>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</si>
  <si>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</si>
  <si>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</si>
  <si>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</si>
  <si>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</si>
  <si>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</si>
  <si>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</si>
  <si>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</si>
  <si>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</si>
  <si>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</si>
  <si>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</si>
  <si>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</si>
  <si>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</si>
  <si>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</si>
  <si>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</si>
  <si>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</si>
  <si>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</si>
  <si>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</si>
  <si>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</si>
  <si>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</si>
  <si>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</si>
  <si>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</si>
  <si>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</si>
  <si>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</si>
  <si>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</si>
  <si>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</si>
  <si>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</si>
  <si>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</si>
  <si>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</si>
  <si>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</si>
  <si>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</si>
  <si>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</si>
  <si>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</si>
  <si>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</si>
  <si>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</si>
  <si>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</si>
  <si>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</si>
  <si>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</si>
  <si>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</si>
  <si>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</si>
  <si>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</si>
  <si>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</si>
  <si>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</si>
  <si>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</si>
  <si>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</si>
  <si>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</si>
  <si>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</si>
  <si>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</si>
  <si>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</si>
  <si>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</si>
  <si>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</si>
  <si>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</si>
  <si>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</si>
  <si>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</si>
  <si>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</si>
  <si>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</si>
  <si>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</si>
  <si>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</si>
  <si>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</si>
  <si>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</si>
  <si>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</si>
  <si>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</si>
  <si>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</si>
  <si>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</si>
  <si>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</si>
  <si>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</si>
  <si>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</si>
  <si>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</si>
  <si>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</si>
  <si>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</si>
  <si>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</si>
  <si>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</si>
  <si>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</si>
  <si>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</si>
  <si>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</si>
  <si>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</si>
  <si>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</si>
  <si>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</si>
  <si>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</si>
  <si>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</si>
  <si>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</si>
  <si>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</si>
  <si>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</si>
  <si>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</si>
  <si>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</si>
  <si>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</si>
  <si>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</si>
  <si>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</si>
  <si>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</si>
  <si>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</si>
  <si>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</si>
  <si>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</si>
  <si>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</si>
  <si>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</si>
  <si>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</si>
  <si>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</si>
  <si>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</si>
  <si>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</si>
  <si>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</si>
  <si>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</si>
  <si>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</si>
  <si>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</si>
  <si>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</si>
  <si>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</si>
  <si>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</si>
  <si>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</si>
  <si>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</si>
  <si>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</si>
  <si>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</si>
  <si>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</si>
  <si>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</si>
  <si>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</si>
  <si>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</si>
  <si>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</si>
  <si>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</si>
  <si>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</si>
  <si>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</si>
  <si>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</si>
  <si>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</si>
  <si>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</si>
  <si>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</si>
  <si>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</si>
  <si>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</si>
  <si>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</si>
  <si>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</si>
  <si>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</si>
  <si>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</si>
  <si>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</si>
  <si>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</si>
  <si>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</si>
  <si>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</si>
  <si>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</si>
  <si>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</si>
  <si>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</si>
  <si>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</si>
  <si>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</si>
  <si>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</si>
  <si>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</si>
  <si>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</si>
  <si>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</si>
  <si>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</si>
  <si>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</si>
  <si>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</si>
  <si>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</si>
  <si>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</si>
  <si>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</si>
  <si>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</si>
  <si>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</si>
  <si>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</si>
  <si>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</si>
  <si>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</si>
  <si>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</si>
  <si>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</si>
  <si>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</si>
  <si>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</si>
  <si>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</si>
  <si>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</si>
  <si>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</si>
  <si>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</si>
  <si>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</si>
  <si>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</si>
  <si>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</si>
  <si>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</si>
  <si>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</si>
  <si>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</si>
  <si>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</si>
  <si>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</si>
  <si>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</si>
  <si>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</si>
  <si>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</si>
  <si>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</si>
  <si>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</si>
  <si>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</si>
  <si>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</si>
  <si>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</si>
  <si>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</si>
  <si>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</si>
  <si>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</si>
  <si>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</si>
  <si>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</si>
  <si>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</si>
  <si>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</si>
  <si>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</si>
  <si>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</si>
  <si>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</si>
  <si>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</si>
  <si>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</si>
  <si>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</si>
  <si>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t xml:space="preserve">AL/SL/Other Leave on </t>
  </si>
  <si>
    <t>review funding assessment excel and discuss with Mariati re. possibility of not paying up share capital</t>
  </si>
  <si>
    <t>review BR</t>
  </si>
  <si>
    <t>discuss with Weigao re. ICBCA requirements, need for new BR, fee quote</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</si>
  <si>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</si>
  <si>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contact Alys, structure chart</t>
  </si>
  <si>
    <t>discussion with Viv re. audit questions</t>
  </si>
  <si>
    <t>billing and discuss with Katie re audit, description of roles</t>
  </si>
  <si>
    <t>Public Holiday on 1/7</t>
  </si>
  <si>
    <t>call with Lesley and Allison re. CEs and revised draft of the ICBCA agreement, agreement approval, review Yiche updates, review Jassys queries</t>
  </si>
  <si>
    <t>discuss with Katie re audit request</t>
  </si>
  <si>
    <t>discuss with Finance re. gfunds, review prepayment notices, respond to queries re. intragroup loans, review account amendment form for Yuntong</t>
  </si>
  <si>
    <t>discuss structure chart for internal use, discuss with Kim</t>
  </si>
  <si>
    <t>discuss with Kim re. structure chart provisions</t>
  </si>
  <si>
    <t>discuss with Ashurst and Mariati re. provision of credit rating in Indonesia re. intragroup loans</t>
  </si>
  <si>
    <t>discuss with Bell re. KYC queries, review documents</t>
  </si>
  <si>
    <t>discuss with Mindy re. new fee quote, COI, approve Darwave loan agreement, discuss with Jassy re gold trading, review edits to the Ces and revise for Catherine</t>
  </si>
  <si>
    <t>discussion with Tiffany re. candidates</t>
  </si>
  <si>
    <t>review Naspers risk factors</t>
  </si>
  <si>
    <t>discuss and draft proposed edits to the ToR</t>
  </si>
  <si>
    <t>discussion with Finance re. transfers via taiwan bank, loan to change functional currency, query re. intragroup arrangement, chase Ashurst re. indonesia intragroup filing, draft intragroup turkish sub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</si>
</sst>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tabSelected="1" zoomScale="80" zoomScaleNormal="80" workbookViewId="0">
      <selection activeCell="O10" sqref="O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1" ht="17">
      <c r="B1" s="76" t="s">
        <v>0</v>
      </c>
      <c r="C1" s="77"/>
      <c r="D1" s="77"/>
      <c r="E1" s="77"/>
      <c r="F1" s="77"/>
      <c r="G1" s="77"/>
      <c r="H1" s="77"/>
      <c r="I1" s="77"/>
    </row>
    <row r="2" spans="1:11" ht="17">
      <c r="B2" s="78"/>
      <c r="C2" s="79"/>
      <c r="D2" s="79"/>
      <c r="E2" s="79"/>
      <c r="F2" s="79"/>
      <c r="G2" s="79"/>
      <c r="H2" s="79"/>
      <c r="I2" s="13" t="s">
        <v>345</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27">
      <c r="B6" s="8" t="s">
        <v>337</v>
      </c>
      <c r="C6" s="9" t="s">
        <v>44</v>
      </c>
      <c r="D6" s="10" t="s">
        <v>51</v>
      </c>
      <c r="E6" s="10" t="s">
        <v>30</v>
      </c>
      <c r="F6" s="9" t="s">
        <v>323</v>
      </c>
      <c r="G6" s="11">
        <v>1.6</v>
      </c>
      <c r="H6" s="9" t="s">
        <v>73</v>
      </c>
      <c r="I6" s="16" t="s">
        <v>344</v>
      </c>
    </row>
    <row r="7" spans="1:11" s="2" customFormat="1" ht="27">
      <c r="B7" s="8" t="s">
        <v>337</v>
      </c>
      <c r="C7" s="9" t="s">
        <v>28</v>
      </c>
      <c r="D7" s="10" t="s">
        <v>31</v>
      </c>
      <c r="E7" s="10" t="s">
        <v>34</v>
      </c>
      <c r="F7" s="9" t="s">
        <v>42</v>
      </c>
      <c r="G7" s="11">
        <v>3.6</v>
      </c>
      <c r="H7" s="9" t="s">
        <v>31</v>
      </c>
      <c r="I7" s="16" t="s">
        <v>348</v>
      </c>
    </row>
    <row r="8" spans="1:11" s="2" customFormat="1" ht="54">
      <c r="B8" s="8" t="s">
        <v>337</v>
      </c>
      <c r="C8" s="9" t="s">
        <v>43</v>
      </c>
      <c r="D8" s="10" t="s">
        <v>57</v>
      </c>
      <c r="E8" s="10" t="s">
        <v>30</v>
      </c>
      <c r="F8" s="9" t="s">
        <v>332</v>
      </c>
      <c r="G8" s="11">
        <v>0.8</v>
      </c>
      <c r="H8" s="9" t="s">
        <v>73</v>
      </c>
      <c r="I8" s="16" t="s">
        <v>342</v>
      </c>
    </row>
    <row r="9" spans="1:11" s="2" customFormat="1" ht="54">
      <c r="B9" s="8" t="s">
        <v>337</v>
      </c>
      <c r="C9" s="9" t="s">
        <v>43</v>
      </c>
      <c r="D9" s="10" t="s">
        <v>47</v>
      </c>
      <c r="E9" s="10" t="s">
        <v>30</v>
      </c>
      <c r="F9" s="9" t="s">
        <v>332</v>
      </c>
      <c r="G9" s="11">
        <v>0.5</v>
      </c>
      <c r="H9" s="9" t="s">
        <v>73</v>
      </c>
      <c r="I9" s="16" t="s">
        <v>343</v>
      </c>
    </row>
    <row r="10" spans="1:11" s="2" customFormat="1" ht="40.5">
      <c r="B10" s="8" t="s">
        <v>337</v>
      </c>
      <c r="C10" s="9" t="s">
        <v>44</v>
      </c>
      <c r="D10" s="10" t="s">
        <v>51</v>
      </c>
      <c r="E10" s="10" t="s">
        <v>30</v>
      </c>
      <c r="F10" s="9" t="s">
        <v>323</v>
      </c>
      <c r="G10" s="11">
        <v>2.8</v>
      </c>
      <c r="H10" s="9" t="s">
        <v>27</v>
      </c>
      <c r="I10" s="16" t="s">
        <v>350</v>
      </c>
    </row>
    <row r="11" spans="1:11" s="2" customFormat="1" ht="27">
      <c r="B11" s="8" t="s">
        <v>337</v>
      </c>
      <c r="C11" s="9" t="s">
        <v>43</v>
      </c>
      <c r="D11" s="10" t="s">
        <v>47</v>
      </c>
      <c r="E11" s="10" t="s">
        <v>30</v>
      </c>
      <c r="F11" s="9" t="s">
        <v>326</v>
      </c>
      <c r="G11" s="11">
        <v>0.8</v>
      </c>
      <c r="H11" s="9" t="s">
        <v>27</v>
      </c>
      <c r="I11" s="16" t="s">
        <v>346</v>
      </c>
    </row>
    <row r="12" spans="1:11" s="2" customFormat="1" ht="40.5">
      <c r="B12" s="8" t="s">
        <v>337</v>
      </c>
      <c r="C12" s="9" t="s">
        <v>43</v>
      </c>
      <c r="D12" s="10" t="s">
        <v>57</v>
      </c>
      <c r="E12" s="10" t="s">
        <v>30</v>
      </c>
      <c r="F12" s="9" t="s">
        <v>326</v>
      </c>
      <c r="G12" s="11">
        <v>1.9</v>
      </c>
      <c r="H12" s="9" t="s">
        <v>73</v>
      </c>
      <c r="I12" s="16" t="s">
        <v>352</v>
      </c>
    </row>
    <row r="13" spans="1:11" s="2" customFormat="1" ht="27">
      <c r="B13" s="8" t="s">
        <v>337</v>
      </c>
      <c r="C13" s="9" t="s">
        <v>28</v>
      </c>
      <c r="D13" s="10" t="s">
        <v>31</v>
      </c>
      <c r="E13" s="10" t="s">
        <v>34</v>
      </c>
      <c r="F13" s="9" t="s">
        <v>42</v>
      </c>
      <c r="G13" s="11">
        <v>0.5</v>
      </c>
      <c r="H13" s="9" t="s">
        <v>27</v>
      </c>
      <c r="I13" s="16" t="s">
        <v>347</v>
      </c>
    </row>
    <row r="14" spans="1:11" s="2" customFormat="1" ht="54">
      <c r="B14" s="8" t="s">
        <v>337</v>
      </c>
      <c r="C14" s="9" t="s">
        <v>43</v>
      </c>
      <c r="D14" s="10" t="s">
        <v>50</v>
      </c>
      <c r="E14" s="10" t="s">
        <v>30</v>
      </c>
      <c r="F14" s="9" t="s">
        <v>332</v>
      </c>
      <c r="G14" s="11">
        <v>0.6</v>
      </c>
      <c r="H14" s="9" t="s">
        <v>27</v>
      </c>
      <c r="I14" s="16" t="s">
        <v>353</v>
      </c>
      <c r="K14" s="2" t="s">
        <v>339</v>
      </c>
    </row>
    <row r="15" spans="1:11" s="2" customFormat="1" ht="54">
      <c r="B15" s="8" t="s">
        <v>337</v>
      </c>
      <c r="C15" s="9" t="s">
        <v>43</v>
      </c>
      <c r="D15" s="10" t="s">
        <v>47</v>
      </c>
      <c r="E15" s="10" t="s">
        <v>30</v>
      </c>
      <c r="F15" s="9" t="s">
        <v>332</v>
      </c>
      <c r="G15" s="11">
        <v>0.8</v>
      </c>
      <c r="H15" s="9" t="s">
        <v>27</v>
      </c>
      <c r="I15" s="16" t="s">
        <v>356</v>
      </c>
    </row>
    <row r="16" spans="1:11" s="2" customFormat="1" ht="13.5">
      <c r="B16" s="8" t="s">
        <v>337</v>
      </c>
      <c r="C16" s="9" t="s">
        <v>28</v>
      </c>
      <c r="D16" s="10" t="s">
        <v>31</v>
      </c>
      <c r="E16" s="10" t="s">
        <v>34</v>
      </c>
      <c r="F16" s="9" t="s">
        <v>42</v>
      </c>
      <c r="G16" s="11">
        <v>0.7</v>
      </c>
      <c r="H16" s="9" t="s">
        <v>31</v>
      </c>
      <c r="I16" s="16" t="s">
        <v>351</v>
      </c>
    </row>
    <row r="17" spans="2:12" s="2" customFormat="1" ht="54">
      <c r="B17" s="8" t="s">
        <v>337</v>
      </c>
      <c r="C17" s="9" t="s">
        <v>43</v>
      </c>
      <c r="D17" s="10" t="s">
        <v>57</v>
      </c>
      <c r="E17" s="10" t="s">
        <v>30</v>
      </c>
      <c r="F17" s="9" t="s">
        <v>332</v>
      </c>
      <c r="G17" s="11">
        <v>0.7</v>
      </c>
      <c r="H17" s="9" t="s">
        <v>27</v>
      </c>
      <c r="I17" s="16" t="s">
        <v>355</v>
      </c>
    </row>
    <row r="18" spans="2:12" s="2" customFormat="1" ht="54">
      <c r="B18" s="8" t="s">
        <v>337</v>
      </c>
      <c r="C18" s="9" t="s">
        <v>43</v>
      </c>
      <c r="D18" s="10" t="s">
        <v>50</v>
      </c>
      <c r="E18" s="10" t="s">
        <v>30</v>
      </c>
      <c r="F18" s="9" t="s">
        <v>332</v>
      </c>
      <c r="G18" s="11">
        <v>0.2</v>
      </c>
      <c r="H18" s="9" t="s">
        <v>27</v>
      </c>
      <c r="I18" s="16" t="s">
        <v>354</v>
      </c>
    </row>
    <row r="19" spans="2:12" s="2" customFormat="1" ht="40.5">
      <c r="B19" s="8" t="s">
        <v>337</v>
      </c>
      <c r="C19" s="9" t="s">
        <v>44</v>
      </c>
      <c r="D19" s="10" t="s">
        <v>51</v>
      </c>
      <c r="E19" s="10" t="s">
        <v>30</v>
      </c>
      <c r="F19" s="9" t="s">
        <v>323</v>
      </c>
      <c r="G19" s="11">
        <v>3.3</v>
      </c>
      <c r="H19" s="9" t="s">
        <v>73</v>
      </c>
      <c r="I19" s="16" t="s">
        <v>357</v>
      </c>
      <c r="L19" s="75"/>
    </row>
    <row r="20" spans="2:12" s="2" customFormat="1" ht="40.5">
      <c r="B20" s="8" t="s">
        <v>337</v>
      </c>
      <c r="C20" s="9" t="s">
        <v>22</v>
      </c>
      <c r="D20" s="10" t="s">
        <v>61</v>
      </c>
      <c r="E20" s="10" t="s">
        <v>30</v>
      </c>
      <c r="F20" s="9" t="s">
        <v>335</v>
      </c>
      <c r="G20" s="11">
        <v>0.3</v>
      </c>
      <c r="H20" s="9" t="s">
        <v>27</v>
      </c>
      <c r="I20" s="16" t="s">
        <v>358</v>
      </c>
    </row>
    <row r="21" spans="2:12" s="2" customFormat="1" ht="27">
      <c r="B21" s="8" t="s">
        <v>337</v>
      </c>
      <c r="C21" s="9" t="s">
        <v>43</v>
      </c>
      <c r="D21" s="10" t="s">
        <v>18</v>
      </c>
      <c r="E21" s="10" t="s">
        <v>30</v>
      </c>
      <c r="F21" s="9" t="s">
        <v>323</v>
      </c>
      <c r="G21" s="11">
        <v>1</v>
      </c>
      <c r="H21" s="9" t="s">
        <v>73</v>
      </c>
      <c r="I21" s="16" t="s">
        <v>359</v>
      </c>
    </row>
    <row r="22" spans="2:12" s="2" customFormat="1" ht="54">
      <c r="B22" s="8" t="s">
        <v>337</v>
      </c>
      <c r="C22" s="9" t="s">
        <v>43</v>
      </c>
      <c r="D22" s="10" t="s">
        <v>57</v>
      </c>
      <c r="E22" s="10" t="s">
        <v>30</v>
      </c>
      <c r="F22" s="9" t="s">
        <v>332</v>
      </c>
      <c r="G22" s="11">
        <v>3.9</v>
      </c>
      <c r="H22" s="9" t="s">
        <v>27</v>
      </c>
      <c r="I22" s="16" t="s">
        <v>361</v>
      </c>
    </row>
    <row r="23" spans="2:12" s="2" customFormat="1" ht="40.5">
      <c r="B23" s="8" t="s">
        <v>337</v>
      </c>
      <c r="C23" s="9" t="s">
        <v>43</v>
      </c>
      <c r="D23" s="10" t="s">
        <v>61</v>
      </c>
      <c r="E23" s="10" t="s">
        <v>30</v>
      </c>
      <c r="F23" s="9" t="s">
        <v>335</v>
      </c>
      <c r="G23" s="11">
        <v>0.9</v>
      </c>
      <c r="H23" s="9" t="s">
        <v>27</v>
      </c>
      <c r="I23" s="16" t="s">
        <v>360</v>
      </c>
    </row>
    <row r="24" spans="2:12" s="2" customFormat="1" ht="27">
      <c r="B24" s="8" t="s">
        <v>337</v>
      </c>
      <c r="C24" s="9" t="s">
        <v>28</v>
      </c>
      <c r="D24" s="10" t="s">
        <v>31</v>
      </c>
      <c r="E24" s="10" t="s">
        <v>33</v>
      </c>
      <c r="F24" s="9" t="s">
        <v>39</v>
      </c>
      <c r="G24" s="11">
        <v>1.5</v>
      </c>
      <c r="H24" s="9" t="s">
        <v>31</v>
      </c>
      <c r="I24" s="16" t="s">
        <v>340</v>
      </c>
    </row>
    <row r="25" spans="2:12" s="2" customFormat="1" ht="14.5" customHeight="1">
      <c r="B25" s="80" t="s">
        <v>32</v>
      </c>
      <c r="C25" s="81"/>
      <c r="D25" s="82"/>
      <c r="E25" s="12"/>
      <c r="F25" s="12"/>
      <c r="G25" s="83">
        <f>SUM(G6:G24)</f>
        <v>26.4</v>
      </c>
      <c r="H25" s="84"/>
      <c r="I25" s="85"/>
    </row>
    <row r="28" spans="2:12">
      <c r="B28" s="17" t="s">
        <v>81</v>
      </c>
      <c r="C28" s="18" t="s">
        <v>341</v>
      </c>
    </row>
    <row r="29" spans="2:12">
      <c r="C29" s="18" t="s">
        <v>349</v>
      </c>
    </row>
  </sheetData>
  <mergeCells count="4">
    <mergeCell ref="B1:I1"/>
    <mergeCell ref="B2:H2"/>
    <mergeCell ref="B25:D25"/>
    <mergeCell ref="G25:I25"/>
  </mergeCells>
  <phoneticPr fontId="10" type="noConversion"/>
  <dataValidations count="3">
    <dataValidation type="list" errorStyle="warning" allowBlank="1" sqref="C16:C24" xr:uid="{00000000-0002-0000-0000-000005000000}">
      <formula1>项目事项分类项目名称</formula1>
    </dataValidation>
    <dataValidation type="list" allowBlank="1" showInputMessage="1" showErrorMessage="1" sqref="H6:H24" xr:uid="{00000000-0002-0000-0000-000006000000}">
      <formula1>事项分类指定内容</formula1>
    </dataValidation>
    <dataValidation type="list" allowBlank="1" showInputMessage="1" showErrorMessage="1" sqref="F6:F24"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C6:C15</xm:sqref>
        </x14:dataValidation>
        <x14:dataValidation type="list" allowBlank="1" showInputMessage="1" showErrorMessage="1" promptTitle="Internal Client" xr:uid="{00000000-0002-0000-0000-000004000000}">
          <x14:formula1>
            <xm:f>'Exhibit II - Internal Client'!$A$1:$A$20</xm:f>
          </x14:formula1>
          <xm:sqref>D6:D24</xm:sqref>
        </x14:dataValidation>
        <x14:dataValidation type="list" allowBlank="1" showInputMessage="1" showErrorMessage="1" xr:uid="{00000000-0002-0000-0000-000007000000}">
          <x14:formula1>
            <xm:f>Tag!$B$2:$E$2</xm:f>
          </x14:formula1>
          <xm:sqref>E6:E24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2025-08-12T06:10:18Z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