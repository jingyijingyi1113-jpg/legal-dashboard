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689A316F-C0C4-40BA-BBC7-1240C8983CB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<sst xmlns="http://schemas.openxmlformats.org/spreadsheetml/2006/main" count="601" uniqueCount="365">
  <si>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</si>
  <si>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</si>
  <si>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</si>
  <si>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</si>
  <si>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</si>
  <si>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</si>
  <si>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</si>
  <si>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</si>
  <si>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</si>
  <si>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</si>
  <si>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</si>
  <si>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</si>
  <si>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</si>
  <si>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</si>
  <si>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</si>
  <si>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</si>
  <si>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</si>
  <si>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</si>
  <si>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</si>
  <si>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</si>
  <si>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</si>
  <si>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</si>
  <si>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</si>
  <si>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</si>
  <si>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</si>
  <si>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</si>
  <si>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</si>
  <si>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</si>
  <si>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</si>
  <si>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</si>
  <si>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</si>
  <si>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</si>
  <si>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</si>
  <si>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</si>
  <si>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</si>
  <si>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</si>
  <si>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</si>
  <si>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</si>
  <si>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</si>
  <si>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</si>
  <si>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</si>
  <si>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</si>
  <si>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</si>
  <si>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</si>
  <si>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</si>
  <si>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</si>
  <si>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</si>
  <si>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</si>
  <si>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</si>
  <si>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</si>
  <si>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</si>
  <si>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</si>
  <si>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</si>
  <si>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</si>
  <si>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</si>
  <si>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</si>
  <si>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</si>
  <si>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</si>
  <si>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</si>
  <si>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</si>
  <si>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</si>
  <si>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</si>
  <si>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</si>
  <si>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</si>
  <si>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</si>
  <si>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</si>
  <si>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</si>
  <si>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</si>
  <si>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</si>
  <si>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</si>
  <si>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</si>
  <si>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</si>
  <si>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</si>
  <si>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</si>
  <si>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</si>
  <si>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</si>
  <si>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</si>
  <si>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</si>
  <si>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</si>
  <si>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</si>
  <si>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</si>
  <si>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</si>
  <si>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</si>
  <si>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</si>
  <si>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</si>
  <si>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</si>
  <si>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</si>
  <si>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</si>
  <si>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</si>
  <si>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</si>
  <si>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</si>
  <si>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</si>
  <si>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</si>
  <si>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</si>
  <si>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</si>
  <si>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</si>
  <si>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</si>
  <si>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</si>
  <si>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</si>
  <si>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</si>
  <si>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</si>
  <si>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</si>
  <si>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</si>
  <si>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</si>
  <si>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</si>
  <si>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</si>
  <si>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</si>
  <si>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</si>
  <si>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</si>
  <si>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</si>
  <si>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</si>
  <si>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</si>
  <si>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</si>
  <si>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</si>
  <si>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</si>
  <si>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</si>
  <si>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</si>
  <si>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</si>
  <si>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</si>
  <si>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</si>
  <si>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</si>
  <si>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</si>
  <si>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</si>
  <si>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</si>
  <si>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</si>
  <si>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</si>
  <si>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</si>
  <si>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</si>
  <si>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</si>
  <si>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</si>
  <si>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</si>
  <si>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</si>
  <si>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</si>
  <si>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</si>
  <si>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</si>
  <si>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</si>
  <si>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</si>
  <si>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</si>
  <si>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</si>
  <si>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</si>
  <si>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</si>
  <si>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</si>
  <si>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</si>
  <si>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</si>
  <si>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</si>
  <si>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</si>
  <si>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</si>
  <si>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</si>
  <si>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</si>
  <si>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</si>
  <si>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</si>
  <si>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</si>
  <si>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</si>
  <si>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</si>
  <si>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</si>
  <si>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</si>
  <si>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</si>
  <si>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</si>
  <si>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</si>
  <si>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</si>
  <si>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</si>
  <si>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</si>
  <si>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</si>
  <si>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</si>
  <si>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</si>
  <si>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</si>
  <si>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</si>
  <si>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</si>
  <si>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</si>
  <si>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</si>
  <si>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</si>
  <si>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</si>
  <si>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</si>
  <si>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</si>
  <si>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</si>
  <si>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</si>
  <si>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</si>
  <si>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</si>
  <si>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</si>
  <si>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</si>
  <si>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</si>
  <si>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</si>
  <si>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</si>
  <si>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</si>
  <si>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</si>
  <si>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</si>
  <si>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</si>
  <si>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</si>
  <si>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</si>
  <si>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</si>
  <si>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</si>
  <si>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</si>
  <si>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</si>
  <si>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</si>
  <si>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</si>
  <si>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</si>
  <si>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</si>
  <si>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</si>
  <si>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</si>
  <si>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</si>
  <si>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</si>
  <si>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</si>
  <si>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</si>
  <si>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</si>
  <si>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</si>
  <si>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</si>
  <si>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</si>
  <si>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</si>
  <si>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</si>
  <si>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</si>
  <si>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</si>
  <si>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</si>
  <si>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</si>
  <si>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</si>
  <si>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</si>
  <si>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</si>
  <si>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</si>
  <si>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</si>
  <si>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</si>
  <si>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</si>
  <si>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</si>
  <si>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</si>
  <si>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</si>
  <si>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</si>
  <si>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</si>
  <si>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</si>
  <si>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</si>
  <si>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</si>
  <si>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</si>
  <si>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</si>
  <si>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</si>
  <si>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</si>
  <si>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</si>
  <si>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</si>
  <si>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</si>
  <si>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</si>
  <si>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</si>
  <si>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</si>
  <si>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</si>
  <si>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</si>
  <si>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</si>
  <si>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</si>
  <si>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</si>
  <si>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</si>
  <si>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</si>
  <si>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</si>
  <si>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</si>
  <si>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</si>
  <si>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</si>
  <si>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</si>
  <si>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</si>
  <si>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</si>
  <si>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</si>
  <si>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</si>
  <si>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</si>
  <si>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</si>
  <si>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</si>
  <si>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</si>
  <si>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</si>
  <si>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</si>
  <si>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</si>
  <si>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</si>
  <si>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</si>
  <si>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</si>
  <si>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</si>
  <si>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</si>
  <si>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</si>
  <si>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</si>
  <si>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</si>
  <si>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</si>
  <si>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</si>
  <si>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</si>
  <si>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</si>
  <si>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</si>
  <si>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</si>
  <si>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</si>
  <si>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</si>
  <si>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</si>
  <si>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</si>
  <si>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</si>
  <si>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</si>
  <si>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</si>
  <si>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</si>
  <si>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</si>
  <si>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</si>
  <si>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</si>
  <si>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</si>
  <si>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</si>
  <si>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</si>
  <si>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</si>
  <si>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</si>
  <si>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</si>
  <si>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</si>
  <si>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</si>
  <si>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</si>
  <si>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</si>
  <si>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</si>
  <si>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</si>
  <si>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</si>
  <si>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</si>
  <si>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</si>
  <si>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</si>
  <si>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</si>
  <si>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</si>
  <si>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</si>
  <si>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</si>
  <si>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</si>
  <si>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</si>
  <si>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</si>
  <si>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</si>
  <si>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</si>
  <si>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</si>
  <si>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</si>
  <si>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</si>
  <si>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</si>
  <si>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</si>
  <si>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</si>
  <si>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</si>
  <si>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</si>
  <si>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</si>
  <si>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</si>
  <si>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</si>
  <si>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</si>
  <si>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</si>
  <si>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</si>
  <si>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</si>
  <si>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</si>
  <si>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</si>
  <si>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</si>
  <si>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</si>
  <si>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</si>
  <si>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</si>
  <si>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</si>
  <si>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</si>
  <si>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</si>
  <si>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</si>
  <si>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</si>
  <si>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</si>
  <si>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</si>
  <si>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</si>
  <si>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t>billings</t>
  </si>
  <si>
    <t xml:space="preserve">AL/SL/Other Leave on </t>
  </si>
  <si>
    <t>discuss with Weigao re. ICBCA requirements, need for new BR, fee quote</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</si>
  <si>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</si>
  <si>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Public Holiday on</t>
  </si>
  <si>
    <t>revise email to Central Bank, discuss with comsec and Martiati re. cap reduction</t>
  </si>
  <si>
    <t>review documents re capital reduction, discuss with Iris</t>
  </si>
  <si>
    <t>gfunds summary for reporting purposes</t>
  </si>
  <si>
    <t>legal updates, discuss with SD team re. questions, spoke to paralegal on work scope</t>
  </si>
  <si>
    <t>discussions with Frank, email all parties re. updating of investee companies</t>
  </si>
  <si>
    <t>discuss with Mariati re capital reduction and update report, revise intragroup loan agreement to Brazilian sub</t>
  </si>
  <si>
    <t>queries re. UBO</t>
  </si>
  <si>
    <t>bills</t>
  </si>
  <si>
    <t>respond to TME queries re. loans, discuss with Catherine re TME, review ICBCA and revert with comments</t>
  </si>
  <si>
    <t>interview and discussion with Queenie</t>
  </si>
  <si>
    <t>billings discussions re. moving of budget</t>
  </si>
  <si>
    <t>Fusion, review of board materials, respond to queries re. shareholdings, call with Karen</t>
  </si>
  <si>
    <t>review and respond to KYC queries, discuss with Vivienne</t>
  </si>
  <si>
    <t>review updated directorship documents, reach out to MA and GCTSM for updated list</t>
  </si>
  <si>
    <t>revise intragroup agreement, Indonesian registration, opening of security accounts, structure chart</t>
  </si>
  <si>
    <t>call with SD and LW re. stablecoins</t>
  </si>
  <si>
    <t>management meeting, seating + paralegal budget</t>
  </si>
  <si>
    <t>respond to queris, handover of files</t>
  </si>
  <si>
    <t>discussions with Mindy re.new amendments, discussion with Weigao and amend documents, fee quotes</t>
  </si>
  <si>
    <t>review draft, send to Mariati response to Central Bank, opening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</si>
</sst>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tabSelected="1" topLeftCell="A7" zoomScale="80" zoomScaleNormal="80" workbookViewId="0">
      <selection activeCell="F6" sqref="F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337</v>
      </c>
      <c r="C6" s="9" t="s">
        <v>44</v>
      </c>
      <c r="D6" s="10" t="s">
        <v>51</v>
      </c>
      <c r="E6" s="10" t="s">
        <v>30</v>
      </c>
      <c r="F6" s="9" t="s">
        <v>323</v>
      </c>
      <c r="G6" s="11">
        <v>3</v>
      </c>
      <c r="H6" s="9" t="s">
        <v>73</v>
      </c>
      <c r="I6" s="16" t="s">
        <v>342</v>
      </c>
    </row>
    <row r="7" spans="1:9" s="2" customFormat="1" ht="27">
      <c r="B7" s="8" t="s">
        <v>337</v>
      </c>
      <c r="C7" s="9" t="s">
        <v>28</v>
      </c>
      <c r="D7" s="10" t="s">
        <v>31</v>
      </c>
      <c r="E7" s="10" t="s">
        <v>34</v>
      </c>
      <c r="F7" s="9" t="s">
        <v>42</v>
      </c>
      <c r="G7" s="11">
        <v>1.7</v>
      </c>
      <c r="H7" s="9" t="s">
        <v>31</v>
      </c>
      <c r="I7" s="16" t="s">
        <v>348</v>
      </c>
    </row>
    <row r="8" spans="1:9" s="2" customFormat="1" ht="54">
      <c r="B8" s="8" t="s">
        <v>337</v>
      </c>
      <c r="C8" s="9" t="s">
        <v>43</v>
      </c>
      <c r="D8" s="10" t="s">
        <v>57</v>
      </c>
      <c r="E8" s="10" t="s">
        <v>30</v>
      </c>
      <c r="F8" s="9" t="s">
        <v>332</v>
      </c>
      <c r="G8" s="11">
        <v>0.6</v>
      </c>
      <c r="H8" s="9" t="s">
        <v>73</v>
      </c>
      <c r="I8" s="16" t="s">
        <v>345</v>
      </c>
    </row>
    <row r="9" spans="1:9" s="2" customFormat="1" ht="54">
      <c r="B9" s="8" t="s">
        <v>337</v>
      </c>
      <c r="C9" s="9" t="s">
        <v>43</v>
      </c>
      <c r="D9" s="10" t="s">
        <v>57</v>
      </c>
      <c r="E9" s="10" t="s">
        <v>30</v>
      </c>
      <c r="F9" s="9" t="s">
        <v>332</v>
      </c>
      <c r="G9" s="11">
        <v>0.5</v>
      </c>
      <c r="H9" s="9" t="s">
        <v>73</v>
      </c>
      <c r="I9" s="16" t="s">
        <v>347</v>
      </c>
    </row>
    <row r="10" spans="1:9" s="2" customFormat="1" ht="54">
      <c r="B10" s="8" t="s">
        <v>337</v>
      </c>
      <c r="C10" s="9" t="s">
        <v>43</v>
      </c>
      <c r="D10" s="10" t="s">
        <v>47</v>
      </c>
      <c r="E10" s="10" t="s">
        <v>30</v>
      </c>
      <c r="F10" s="9" t="s">
        <v>332</v>
      </c>
      <c r="G10" s="11">
        <v>1</v>
      </c>
      <c r="H10" s="9" t="s">
        <v>73</v>
      </c>
      <c r="I10" s="16" t="s">
        <v>346</v>
      </c>
    </row>
    <row r="11" spans="1:9" s="2" customFormat="1" ht="40.5">
      <c r="B11" s="8" t="s">
        <v>337</v>
      </c>
      <c r="C11" s="9" t="s">
        <v>44</v>
      </c>
      <c r="D11" s="10" t="s">
        <v>51</v>
      </c>
      <c r="E11" s="10" t="s">
        <v>30</v>
      </c>
      <c r="F11" s="9" t="s">
        <v>323</v>
      </c>
      <c r="G11" s="11">
        <v>3.5</v>
      </c>
      <c r="H11" s="9" t="s">
        <v>27</v>
      </c>
      <c r="I11" s="16" t="s">
        <v>353</v>
      </c>
    </row>
    <row r="12" spans="1:9" s="2" customFormat="1" ht="27">
      <c r="B12" s="8" t="s">
        <v>337</v>
      </c>
      <c r="C12" s="9" t="s">
        <v>43</v>
      </c>
      <c r="D12" s="10" t="s">
        <v>47</v>
      </c>
      <c r="E12" s="10" t="s">
        <v>30</v>
      </c>
      <c r="F12" s="9" t="s">
        <v>326</v>
      </c>
      <c r="G12" s="11">
        <v>0.2</v>
      </c>
      <c r="H12" s="9" t="s">
        <v>27</v>
      </c>
      <c r="I12" s="16" t="s">
        <v>351</v>
      </c>
    </row>
    <row r="13" spans="1:9" s="2" customFormat="1" ht="27">
      <c r="B13" s="8" t="s">
        <v>337</v>
      </c>
      <c r="C13" s="9" t="s">
        <v>43</v>
      </c>
      <c r="D13" s="10" t="s">
        <v>57</v>
      </c>
      <c r="E13" s="10" t="s">
        <v>30</v>
      </c>
      <c r="F13" s="9" t="s">
        <v>326</v>
      </c>
      <c r="G13" s="11">
        <v>1.2</v>
      </c>
      <c r="H13" s="9" t="s">
        <v>73</v>
      </c>
      <c r="I13" s="16" t="s">
        <v>350</v>
      </c>
    </row>
    <row r="14" spans="1:9" s="2" customFormat="1" ht="40.5">
      <c r="B14" s="8" t="s">
        <v>337</v>
      </c>
      <c r="C14" s="9" t="s">
        <v>22</v>
      </c>
      <c r="D14" s="10" t="s">
        <v>60</v>
      </c>
      <c r="E14" s="10" t="s">
        <v>30</v>
      </c>
      <c r="F14" s="9" t="s">
        <v>335</v>
      </c>
      <c r="G14" s="11">
        <v>1.1000000000000001</v>
      </c>
      <c r="H14" s="9" t="s">
        <v>27</v>
      </c>
      <c r="I14" s="16" t="s">
        <v>349</v>
      </c>
    </row>
    <row r="15" spans="1:9" s="2" customFormat="1" ht="27">
      <c r="B15" s="8" t="s">
        <v>337</v>
      </c>
      <c r="C15" s="9" t="s">
        <v>28</v>
      </c>
      <c r="D15" s="10" t="s">
        <v>31</v>
      </c>
      <c r="E15" s="10" t="s">
        <v>34</v>
      </c>
      <c r="F15" s="9" t="s">
        <v>42</v>
      </c>
      <c r="G15" s="11">
        <v>0.6</v>
      </c>
      <c r="H15" s="9" t="s">
        <v>27</v>
      </c>
      <c r="I15" s="16" t="s">
        <v>352</v>
      </c>
    </row>
    <row r="16" spans="1:9" s="2" customFormat="1" ht="13.5">
      <c r="B16" s="8" t="s">
        <v>337</v>
      </c>
      <c r="C16" s="9" t="s">
        <v>28</v>
      </c>
      <c r="D16" s="10" t="s">
        <v>31</v>
      </c>
      <c r="E16" s="10" t="s">
        <v>34</v>
      </c>
      <c r="F16" s="9" t="s">
        <v>37</v>
      </c>
      <c r="G16" s="11">
        <v>1.8</v>
      </c>
      <c r="H16" s="9" t="s">
        <v>31</v>
      </c>
      <c r="I16" s="16" t="s">
        <v>355</v>
      </c>
    </row>
    <row r="17" spans="2:12" s="2" customFormat="1" ht="40.5">
      <c r="B17" s="8" t="s">
        <v>337</v>
      </c>
      <c r="C17" s="9" t="s">
        <v>22</v>
      </c>
      <c r="D17" s="10" t="s">
        <v>60</v>
      </c>
      <c r="E17" s="10" t="s">
        <v>30</v>
      </c>
      <c r="F17" s="9" t="s">
        <v>335</v>
      </c>
      <c r="G17" s="11">
        <v>2.8</v>
      </c>
      <c r="H17" s="9" t="s">
        <v>27</v>
      </c>
      <c r="I17" s="16" t="s">
        <v>356</v>
      </c>
      <c r="L17" s="75"/>
    </row>
    <row r="18" spans="2:12" s="2" customFormat="1" ht="40.5">
      <c r="B18" s="8" t="s">
        <v>337</v>
      </c>
      <c r="C18" s="9" t="s">
        <v>22</v>
      </c>
      <c r="D18" s="10" t="s">
        <v>61</v>
      </c>
      <c r="E18" s="10" t="s">
        <v>30</v>
      </c>
      <c r="F18" s="9" t="s">
        <v>335</v>
      </c>
      <c r="G18" s="11">
        <v>1</v>
      </c>
      <c r="H18" s="9" t="s">
        <v>27</v>
      </c>
      <c r="I18" s="16" t="s">
        <v>354</v>
      </c>
    </row>
    <row r="19" spans="2:12" s="2" customFormat="1" ht="54">
      <c r="B19" s="8" t="s">
        <v>337</v>
      </c>
      <c r="C19" s="9" t="s">
        <v>43</v>
      </c>
      <c r="D19" s="10" t="s">
        <v>47</v>
      </c>
      <c r="E19" s="10" t="s">
        <v>30</v>
      </c>
      <c r="F19" s="9" t="s">
        <v>332</v>
      </c>
      <c r="G19" s="11">
        <v>1.1000000000000001</v>
      </c>
      <c r="H19" s="9" t="s">
        <v>27</v>
      </c>
      <c r="I19" s="16" t="s">
        <v>357</v>
      </c>
    </row>
    <row r="20" spans="2:12" s="2" customFormat="1" ht="13.5">
      <c r="B20" s="8" t="s">
        <v>337</v>
      </c>
      <c r="C20" s="9" t="s">
        <v>28</v>
      </c>
      <c r="D20" s="10" t="s">
        <v>31</v>
      </c>
      <c r="E20" s="10" t="s">
        <v>34</v>
      </c>
      <c r="F20" s="9" t="s">
        <v>37</v>
      </c>
      <c r="G20" s="11">
        <v>0.7</v>
      </c>
      <c r="H20" s="9" t="s">
        <v>31</v>
      </c>
      <c r="I20" s="16" t="s">
        <v>340</v>
      </c>
    </row>
    <row r="21" spans="2:12" s="2" customFormat="1" ht="54">
      <c r="B21" s="8" t="s">
        <v>337</v>
      </c>
      <c r="C21" s="9" t="s">
        <v>43</v>
      </c>
      <c r="D21" s="10" t="s">
        <v>57</v>
      </c>
      <c r="E21" s="10" t="s">
        <v>30</v>
      </c>
      <c r="F21" s="9" t="s">
        <v>332</v>
      </c>
      <c r="G21" s="11">
        <v>2.2999999999999998</v>
      </c>
      <c r="H21" s="9" t="s">
        <v>27</v>
      </c>
      <c r="I21" s="16" t="s">
        <v>359</v>
      </c>
    </row>
    <row r="22" spans="2:12" s="2" customFormat="1" ht="40.5">
      <c r="B22" s="8" t="s">
        <v>337</v>
      </c>
      <c r="C22" s="9" t="s">
        <v>43</v>
      </c>
      <c r="D22" s="10" t="s">
        <v>60</v>
      </c>
      <c r="E22" s="10" t="s">
        <v>30</v>
      </c>
      <c r="F22" s="9" t="s">
        <v>335</v>
      </c>
      <c r="G22" s="11">
        <v>1.2</v>
      </c>
      <c r="H22" s="9" t="s">
        <v>27</v>
      </c>
      <c r="I22" s="16" t="s">
        <v>358</v>
      </c>
    </row>
    <row r="23" spans="2:12" s="2" customFormat="1" ht="27">
      <c r="B23" s="8" t="s">
        <v>337</v>
      </c>
      <c r="C23" s="9" t="s">
        <v>44</v>
      </c>
      <c r="D23" s="10" t="s">
        <v>51</v>
      </c>
      <c r="E23" s="10" t="s">
        <v>30</v>
      </c>
      <c r="F23" s="9" t="s">
        <v>323</v>
      </c>
      <c r="G23" s="11">
        <v>3.9</v>
      </c>
      <c r="H23" s="9" t="s">
        <v>73</v>
      </c>
      <c r="I23" s="16" t="s">
        <v>363</v>
      </c>
    </row>
    <row r="24" spans="2:12" s="2" customFormat="1" ht="54">
      <c r="B24" s="8" t="s">
        <v>337</v>
      </c>
      <c r="C24" s="9" t="s">
        <v>43</v>
      </c>
      <c r="D24" s="10" t="s">
        <v>57</v>
      </c>
      <c r="E24" s="10" t="s">
        <v>30</v>
      </c>
      <c r="F24" s="9" t="s">
        <v>332</v>
      </c>
      <c r="G24" s="11">
        <v>1.1000000000000001</v>
      </c>
      <c r="H24" s="9" t="s">
        <v>73</v>
      </c>
      <c r="I24" s="16" t="s">
        <v>364</v>
      </c>
    </row>
    <row r="25" spans="2:12" s="2" customFormat="1" ht="54">
      <c r="B25" s="8" t="s">
        <v>337</v>
      </c>
      <c r="C25" s="9" t="s">
        <v>43</v>
      </c>
      <c r="D25" s="10" t="s">
        <v>47</v>
      </c>
      <c r="E25" s="10" t="s">
        <v>30</v>
      </c>
      <c r="F25" s="9" t="s">
        <v>332</v>
      </c>
      <c r="G25" s="11">
        <v>2</v>
      </c>
      <c r="H25" s="9" t="s">
        <v>73</v>
      </c>
      <c r="I25" s="16" t="s">
        <v>362</v>
      </c>
    </row>
    <row r="26" spans="2:12" s="2" customFormat="1" ht="27">
      <c r="B26" s="8" t="s">
        <v>337</v>
      </c>
      <c r="C26" s="9" t="s">
        <v>28</v>
      </c>
      <c r="D26" s="10" t="s">
        <v>31</v>
      </c>
      <c r="E26" s="10" t="s">
        <v>34</v>
      </c>
      <c r="F26" s="9" t="s">
        <v>41</v>
      </c>
      <c r="G26" s="11">
        <v>2.4</v>
      </c>
      <c r="H26" s="9" t="s">
        <v>31</v>
      </c>
      <c r="I26" s="16" t="s">
        <v>361</v>
      </c>
    </row>
    <row r="27" spans="2:12" s="2" customFormat="1" ht="40.5">
      <c r="B27" s="8" t="s">
        <v>337</v>
      </c>
      <c r="C27" s="9" t="s">
        <v>22</v>
      </c>
      <c r="D27" s="10" t="s">
        <v>31</v>
      </c>
      <c r="E27" s="10" t="s">
        <v>30</v>
      </c>
      <c r="F27" s="9" t="s">
        <v>335</v>
      </c>
      <c r="G27" s="11">
        <v>1.1000000000000001</v>
      </c>
      <c r="H27" s="9" t="s">
        <v>21</v>
      </c>
      <c r="I27" s="16" t="s">
        <v>360</v>
      </c>
    </row>
    <row r="28" spans="2:12" s="2" customFormat="1" ht="27">
      <c r="B28" s="8" t="s">
        <v>337</v>
      </c>
      <c r="C28" s="9" t="s">
        <v>28</v>
      </c>
      <c r="D28" s="10" t="s">
        <v>31</v>
      </c>
      <c r="E28" s="10" t="s">
        <v>33</v>
      </c>
      <c r="F28" s="9" t="s">
        <v>39</v>
      </c>
      <c r="G28" s="11">
        <v>1.5</v>
      </c>
      <c r="H28" s="9" t="s">
        <v>31</v>
      </c>
      <c r="I28" s="16" t="s">
        <v>339</v>
      </c>
    </row>
    <row r="29" spans="2:12" s="2" customFormat="1" ht="14.5" customHeight="1">
      <c r="B29" s="80" t="s">
        <v>32</v>
      </c>
      <c r="C29" s="81"/>
      <c r="D29" s="82"/>
      <c r="E29" s="12"/>
      <c r="F29" s="12"/>
      <c r="G29" s="83">
        <f>SUM(G6:G28)</f>
        <v>36.300000000000004</v>
      </c>
      <c r="H29" s="84"/>
      <c r="I29" s="85"/>
    </row>
    <row r="32" spans="2:12">
      <c r="B32" s="17" t="s">
        <v>81</v>
      </c>
      <c r="C32" s="18" t="s">
        <v>341</v>
      </c>
    </row>
    <row r="33" spans="3:3">
      <c r="C33" s="18" t="s">
        <v>344</v>
      </c>
    </row>
  </sheetData>
  <mergeCells count="4">
    <mergeCell ref="B1:I1"/>
    <mergeCell ref="B2:H2"/>
    <mergeCell ref="B29:D29"/>
    <mergeCell ref="G29:I29"/>
  </mergeCells>
  <phoneticPr fontId="10" type="noConversion"/>
  <dataValidations count="3">
    <dataValidation type="list" errorStyle="warning" allowBlank="1" sqref="C16:C28" xr:uid="{00000000-0002-0000-0000-000005000000}">
      <formula1>项目事项分类项目名称</formula1>
    </dataValidation>
    <dataValidation type="list" allowBlank="1" showInputMessage="1" showErrorMessage="1" sqref="H6:H28" xr:uid="{00000000-0002-0000-0000-000006000000}">
      <formula1>事项分类指定内容</formula1>
    </dataValidation>
    <dataValidation type="list" allowBlank="1" showInputMessage="1" showErrorMessage="1" sqref="F6:F28"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C6:C15</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2025-08-12T06:10:39Z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