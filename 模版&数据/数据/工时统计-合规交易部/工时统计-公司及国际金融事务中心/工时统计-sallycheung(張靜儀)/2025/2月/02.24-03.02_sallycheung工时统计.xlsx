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5D5F2911-B752-4434-A571-2AF43782CC47}"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 i="1" l="1"/>
</calcChain>
</file>

<file path=xl/sharedStrings.xml><?xml version="1.0" encoding="utf-8"?>
<sst xmlns="http://schemas.openxmlformats.org/spreadsheetml/2006/main" count="724" uniqueCount="446">
  <si>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</si>
  <si>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</si>
  <si>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</si>
  <si>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</si>
  <si>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</si>
  <si>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</si>
  <si>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</si>
  <si>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</si>
  <si>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</si>
  <si>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</si>
  <si>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</si>
  <si>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</si>
  <si>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</si>
  <si>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</si>
  <si>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</si>
  <si>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</si>
  <si>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</si>
  <si>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</si>
  <si>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</si>
  <si>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</si>
  <si>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</si>
  <si>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</si>
  <si>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</si>
  <si>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</si>
  <si>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</si>
  <si>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</si>
  <si>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</si>
  <si>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</si>
  <si>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</si>
  <si>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</si>
  <si>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</si>
  <si>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</si>
  <si>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</si>
  <si>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</si>
  <si>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</si>
  <si>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</si>
  <si>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</si>
  <si>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</si>
  <si>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</si>
  <si>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</si>
  <si>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</si>
  <si>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</si>
  <si>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</si>
  <si>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</si>
  <si>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</si>
  <si>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</si>
  <si>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</si>
  <si>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</si>
  <si>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</si>
  <si>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</si>
  <si>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</si>
  <si>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</si>
  <si>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</si>
  <si>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</si>
  <si>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</si>
  <si>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</si>
  <si>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</si>
  <si>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</si>
  <si>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</si>
  <si>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</si>
  <si>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</si>
  <si>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</si>
  <si>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</si>
  <si>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</si>
  <si>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</si>
  <si>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</si>
  <si>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</si>
  <si>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</si>
  <si>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</si>
  <si>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</si>
  <si>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</si>
  <si>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</si>
  <si>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</si>
  <si>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</si>
  <si>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</si>
  <si>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</si>
  <si>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</si>
  <si>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</si>
  <si>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</si>
  <si>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</si>
  <si>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</si>
  <si>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</si>
  <si>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</si>
  <si>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</si>
  <si>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</si>
  <si>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</si>
  <si>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</si>
  <si>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</si>
  <si>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</si>
  <si>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</si>
  <si>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</si>
  <si>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</si>
  <si>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</si>
  <si>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</si>
  <si>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</si>
  <si>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</si>
  <si>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</si>
  <si>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</si>
  <si>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</si>
  <si>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</si>
  <si>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</si>
  <si>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</si>
  <si>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</si>
  <si>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</si>
  <si>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</si>
  <si>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</si>
  <si>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</si>
  <si>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</si>
  <si>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</si>
  <si>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</si>
  <si>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</si>
  <si>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</si>
  <si>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</si>
  <si>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</si>
  <si>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</si>
  <si>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</si>
  <si>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</si>
  <si>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</si>
  <si>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</si>
  <si>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</si>
  <si>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</si>
  <si>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</si>
  <si>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</si>
  <si>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</si>
  <si>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</si>
  <si>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</si>
  <si>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</si>
  <si>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</si>
  <si>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</si>
  <si>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</si>
  <si>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</si>
  <si>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</si>
  <si>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</si>
  <si>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</si>
  <si>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</si>
  <si>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</si>
  <si>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</si>
  <si>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</si>
  <si>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</si>
  <si>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</si>
  <si>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</si>
  <si>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</si>
  <si>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</si>
  <si>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</si>
  <si>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</si>
  <si>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</si>
  <si>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</si>
  <si>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</si>
  <si>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</si>
  <si>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</si>
  <si>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</si>
  <si>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</si>
  <si>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</si>
  <si>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</si>
  <si>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</si>
  <si>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</si>
  <si>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</si>
  <si>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</si>
  <si>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</si>
  <si>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</si>
  <si>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</si>
  <si>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</si>
  <si>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</si>
  <si>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</si>
  <si>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</si>
  <si>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</si>
  <si>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</si>
  <si>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</si>
  <si>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</si>
  <si>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</si>
  <si>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</si>
  <si>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</si>
  <si>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</si>
  <si>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</si>
  <si>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</si>
  <si>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</si>
  <si>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</si>
  <si>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</si>
  <si>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</si>
  <si>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</si>
  <si>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</si>
  <si>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</si>
  <si>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</si>
  <si>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</si>
  <si>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</si>
  <si>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</si>
  <si>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</si>
  <si>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</si>
  <si>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</si>
  <si>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</si>
  <si>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</si>
  <si>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</si>
  <si>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</si>
  <si>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</si>
  <si>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</si>
  <si>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</si>
  <si>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</si>
  <si>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</si>
  <si>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</si>
  <si>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</si>
  <si>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</si>
  <si>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</si>
  <si>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</si>
  <si>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</si>
  <si>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</si>
  <si>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</si>
  <si>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</si>
  <si>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</si>
  <si>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</si>
  <si>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</si>
  <si>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</si>
  <si>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</si>
  <si>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</si>
  <si>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</si>
  <si>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</si>
  <si>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</si>
  <si>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</si>
  <si>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</si>
  <si>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</si>
  <si>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</si>
  <si>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</si>
  <si>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</si>
  <si>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</si>
  <si>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</si>
  <si>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</si>
  <si>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</si>
  <si>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</si>
  <si>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</si>
  <si>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</si>
  <si>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</si>
  <si>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</si>
  <si>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</si>
  <si>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</si>
  <si>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</si>
  <si>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</si>
  <si>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</si>
  <si>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</si>
  <si>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</si>
  <si>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</si>
  <si>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</si>
  <si>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</si>
  <si>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</si>
  <si>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</si>
  <si>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</si>
  <si>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</si>
  <si>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</si>
  <si>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</si>
  <si>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</si>
  <si>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</si>
  <si>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</si>
  <si>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</si>
  <si>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</si>
  <si>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</si>
  <si>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</si>
  <si>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</si>
  <si>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</si>
  <si>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</si>
  <si>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</si>
  <si>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</si>
  <si>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</si>
  <si>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</si>
  <si>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</si>
  <si>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</si>
  <si>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</si>
  <si>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</si>
  <si>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</si>
  <si>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</si>
  <si>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</si>
  <si>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</si>
  <si>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</si>
  <si>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</si>
  <si>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</si>
  <si>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</si>
  <si>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</si>
  <si>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</si>
  <si>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</si>
  <si>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</si>
  <si>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</si>
  <si>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</si>
  <si>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</si>
  <si>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</si>
  <si>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</si>
  <si>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</si>
  <si>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</si>
  <si>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</si>
  <si>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</si>
  <si>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</si>
  <si>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</si>
  <si>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</si>
  <si>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</si>
  <si>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</si>
  <si>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</si>
  <si>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</si>
  <si>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</si>
  <si>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</si>
  <si>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</si>
  <si>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</si>
  <si>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</si>
  <si>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</si>
  <si>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</si>
  <si>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</si>
  <si>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</si>
  <si>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</si>
  <si>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</si>
  <si>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</si>
  <si>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</si>
  <si>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</si>
  <si>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</si>
  <si>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</si>
  <si>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</si>
  <si>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</si>
  <si>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</si>
  <si>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</si>
  <si>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</si>
  <si>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</si>
  <si>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</si>
  <si>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</si>
  <si>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</si>
  <si>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</si>
  <si>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</si>
  <si>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</si>
  <si>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</si>
  <si>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</si>
  <si>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</si>
  <si>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</si>
  <si>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</si>
  <si>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</si>
  <si>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</si>
  <si>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</si>
  <si>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</si>
  <si>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</si>
  <si>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</si>
  <si>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</si>
  <si>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</si>
  <si>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</si>
  <si>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</si>
  <si>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</si>
  <si>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</si>
  <si>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</si>
  <si>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</si>
  <si>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</si>
  <si>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</si>
  <si>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</si>
  <si>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</si>
  <si>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</si>
  <si>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</si>
  <si>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</si>
  <si>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</si>
  <si>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</si>
  <si>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</si>
  <si>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</si>
  <si>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</si>
  <si>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</si>
  <si>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</si>
  <si>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</si>
  <si>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</si>
  <si>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</si>
  <si>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</si>
  <si>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</si>
  <si>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</si>
  <si>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</si>
  <si>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</si>
  <si>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</si>
  <si>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</si>
  <si>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</si>
  <si>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</si>
  <si>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</si>
  <si>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</si>
  <si>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</si>
  <si>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</si>
  <si>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</si>
  <si>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</si>
  <si>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</si>
  <si>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</si>
  <si>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</si>
  <si>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</si>
  <si>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</si>
  <si>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</si>
  <si>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</si>
  <si>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</si>
  <si>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</si>
  <si>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</si>
  <si>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</si>
  <si>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</si>
  <si>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</si>
  <si>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</si>
  <si>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</si>
  <si>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</si>
  <si>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</si>
  <si>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</si>
  <si>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</si>
  <si>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</si>
  <si>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</si>
  <si>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</si>
  <si>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</si>
  <si>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</si>
  <si>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</si>
  <si>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</si>
  <si>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</si>
  <si>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</si>
  <si>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</si>
  <si>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</si>
  <si>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</si>
  <si>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</si>
  <si>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</si>
  <si>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</si>
  <si>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</si>
  <si>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</si>
  <si>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</si>
  <si>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</si>
  <si>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</si>
  <si>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</si>
  <si>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</si>
  <si>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</si>
  <si>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</si>
  <si>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sallycheung</t>
  </si>
  <si>
    <t xml:space="preserve">AL/SL/Other Leave </t>
  </si>
  <si>
    <t>discuss further amendments with Anderson on the translated PPT</t>
  </si>
  <si>
    <t>discuss with Anderson, re. conversion of currency for debt equity conversion document</t>
  </si>
  <si>
    <t>discuss with Amy re. Xiaohan's ask on BOC Lux's confirmation, review PI letter from HSBC</t>
  </si>
  <si>
    <t>discuss with comsec re. Pagean nominee directors, review comsec's question re. non-cash or cash consideration for debt to equity conversion, issue re. execution by THL, Indian resolutions</t>
  </si>
  <si>
    <t>reviewed Mariati slides on proposed novation and waiver, review revised BR for Yuntong, draft amendment agreement for intragroup financing</t>
  </si>
  <si>
    <t>reviewed ISDA cross default provision and discussed with Mindy, email to Amy, discuss with Xiaohan on the repayment expenses</t>
  </si>
  <si>
    <t>discuss re. execution by THL of a deed under the GM, discuss with Bell re. KYC query</t>
  </si>
  <si>
    <t>Review final POA for Turkey, discuss with Bet re. BR</t>
  </si>
  <si>
    <t>review Anderson's draft re. assignment and debt conversion, discuss with Mariati and draft amendment agreement to Korean intragroup loan</t>
  </si>
  <si>
    <t>discuss with Xiaohan re. liquidation of the two funds, drafting of exit documents</t>
  </si>
  <si>
    <t>respond to Karen re. PwC letter of engagement, discuss with Frank, email final LoE to VB, email PwC to circulated execution version</t>
  </si>
  <si>
    <t>structure chart request from tax</t>
  </si>
  <si>
    <t>discusssions with Queenie and Comsec re. handover</t>
  </si>
  <si>
    <t>respond to comsec queries</t>
  </si>
  <si>
    <t>discuss with Desiree re. SG display of entity names, discuss with Anderson on Kim's asks, discussion with Kim, review Anderson's draft</t>
  </si>
  <si>
    <t>review Yager subordination agreement, review BOCMacau term sheet</t>
  </si>
  <si>
    <t>discuss with Yuntong re. identification of a controller, discuss with Mariati on wet-ink signatures, review o/s invoices for Gfunds, emails to Maples re liquidation process</t>
  </si>
  <si>
    <t>review PwC email and discuss with Frank re original, email to PwC</t>
  </si>
  <si>
    <t>revise intragroup loan for Korean office</t>
  </si>
  <si>
    <t>discuss with Desiree re. proof of relationship, review D&amp;O queries with Ian and Ruby</t>
  </si>
  <si>
    <t>discuss with Maria re. ISDA. Email to Anderson, review revised structured deposit for Cat (BNP), arranging for signing pack to be circulated, review IEGG funding agreements for studio going bankrupt</t>
  </si>
  <si>
    <t>review Indian resolutions</t>
  </si>
  <si>
    <t>meeting to discuss team, consider PPT content</t>
  </si>
  <si>
    <t>Review Anderson's draft to the particulars to be included in our HKCR filing, discuss with Viv re. russian case</t>
  </si>
  <si>
    <t>management meeting, internal discussions</t>
  </si>
  <si>
    <t>reviewed Mindy draft BNP FA</t>
  </si>
  <si>
    <t>discuss Gp entity with Xiaohan, review edits</t>
  </si>
  <si>
    <t xml:space="preserve">review Mariati's proposal for novation and waiver and provide comments, discussion with Mariati, advice re. board meeting, </t>
  </si>
  <si>
    <r>
      <t>Date: 2025</t>
    </r>
    <r>
      <rPr>
        <b/>
        <sz val="10"/>
        <color theme="0"/>
        <rFont val="等线"/>
        <charset val="134"/>
      </rPr>
      <t xml:space="preserve"> - </t>
    </r>
    <r>
      <rPr>
        <b/>
        <sz val="10"/>
        <color theme="0"/>
        <rFont val="新細明體"/>
        <family val="1"/>
        <charset val="136"/>
      </rPr>
      <t xml:space="preserve">02 </t>
    </r>
    <r>
      <rPr>
        <b/>
        <sz val="10"/>
        <color theme="0"/>
        <rFont val="等线"/>
        <charset val="134"/>
      </rPr>
      <t>-</t>
    </r>
    <r>
      <rPr>
        <b/>
        <sz val="10"/>
        <color theme="0"/>
        <rFont val="新細明體"/>
        <family val="1"/>
        <charset val="136"/>
      </rPr>
      <t xml:space="preserve"> 24 - </t>
    </r>
    <r>
      <rPr>
        <b/>
        <sz val="10"/>
        <color theme="0"/>
        <rFont val="Calibri"/>
        <family val="2"/>
        <scheme val="minor"/>
      </rPr>
      <t>2025 - 03-02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</si>
</sst>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165"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
  <sheetViews>
    <sheetView tabSelected="1" topLeftCell="B1" zoomScale="90" zoomScaleNormal="90" workbookViewId="0">
      <selection activeCell="G52" sqref="G52"/>
    </sheetView>
  </sheetViews>
  <sheetFormatPr defaultColWidth="9" defaultRowHeight="14.5"/>
  <cols>
    <col min="2" max="2" width="12.81640625" customWidth="1"/>
    <col min="3" max="3" width="28.453125" style="18"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11" ht="15.5">
      <c r="B1" s="95" t="s">
        <v>0</v>
      </c>
      <c r="C1" s="96"/>
      <c r="D1" s="96"/>
      <c r="E1" s="96"/>
      <c r="F1" s="96"/>
      <c r="G1" s="96"/>
      <c r="H1" s="96"/>
      <c r="I1" s="96"/>
    </row>
    <row r="2" spans="1:11" ht="15.5">
      <c r="B2" s="97"/>
      <c r="C2" s="98"/>
      <c r="D2" s="98"/>
      <c r="E2" s="98"/>
      <c r="F2" s="98"/>
      <c r="G2" s="98"/>
      <c r="H2" s="98"/>
      <c r="I2" s="32" t="s">
        <v>445</v>
      </c>
    </row>
    <row r="3" spans="1:11">
      <c r="B3" s="22" t="s">
        <v>1</v>
      </c>
      <c r="C3" s="23" t="s">
        <v>2</v>
      </c>
      <c r="D3" s="23" t="s">
        <v>3</v>
      </c>
      <c r="E3" s="23" t="s">
        <v>4</v>
      </c>
      <c r="F3" s="23" t="s">
        <v>5</v>
      </c>
      <c r="G3" s="23" t="s">
        <v>6</v>
      </c>
      <c r="H3" s="23" t="s">
        <v>7</v>
      </c>
      <c r="I3" s="33" t="s">
        <v>8</v>
      </c>
    </row>
    <row r="4" spans="1:11">
      <c r="B4" s="22"/>
      <c r="C4" s="23"/>
      <c r="D4" s="23"/>
      <c r="E4" s="23"/>
      <c r="F4" s="23"/>
      <c r="G4" s="23"/>
      <c r="H4" s="23"/>
      <c r="I4" s="33"/>
    </row>
    <row r="5" spans="1:11" s="21" customFormat="1" ht="294" customHeight="1">
      <c r="A5" s="24" t="s">
        <v>9</v>
      </c>
      <c r="B5" s="25" t="s">
        <v>10</v>
      </c>
      <c r="C5" s="26" t="s">
        <v>11</v>
      </c>
      <c r="D5" s="26" t="s">
        <v>12</v>
      </c>
      <c r="E5" s="26" t="s">
        <v>414</v>
      </c>
      <c r="F5" s="26" t="s">
        <v>13</v>
      </c>
      <c r="G5" s="26" t="s">
        <v>14</v>
      </c>
      <c r="H5" s="26" t="s">
        <v>15</v>
      </c>
      <c r="I5" s="34" t="s">
        <v>16</v>
      </c>
    </row>
    <row r="6" spans="1:11" s="21" customFormat="1" ht="26">
      <c r="B6" s="27" t="s">
        <v>415</v>
      </c>
      <c r="C6" s="28" t="s">
        <v>46</v>
      </c>
      <c r="D6" s="29" t="s">
        <v>53</v>
      </c>
      <c r="E6" s="29" t="s">
        <v>30</v>
      </c>
      <c r="F6" s="28" t="s">
        <v>35</v>
      </c>
      <c r="G6" s="30">
        <v>1</v>
      </c>
      <c r="H6" s="28" t="s">
        <v>27</v>
      </c>
      <c r="I6" s="35" t="s">
        <v>419</v>
      </c>
    </row>
    <row r="7" spans="1:11" s="21" customFormat="1" ht="39">
      <c r="B7" s="27" t="s">
        <v>415</v>
      </c>
      <c r="C7" s="28" t="s">
        <v>45</v>
      </c>
      <c r="D7" s="29" t="s">
        <v>59</v>
      </c>
      <c r="E7" s="29" t="s">
        <v>30</v>
      </c>
      <c r="F7" s="28" t="s">
        <v>35</v>
      </c>
      <c r="G7" s="30">
        <v>1.7</v>
      </c>
      <c r="H7" s="28" t="s">
        <v>153</v>
      </c>
      <c r="I7" s="35" t="s">
        <v>421</v>
      </c>
    </row>
    <row r="8" spans="1:11" s="21" customFormat="1" ht="52">
      <c r="B8" s="27" t="s">
        <v>415</v>
      </c>
      <c r="C8" s="28" t="s">
        <v>45</v>
      </c>
      <c r="D8" s="29" t="s">
        <v>52</v>
      </c>
      <c r="E8" s="29" t="s">
        <v>30</v>
      </c>
      <c r="F8" s="28" t="s">
        <v>169</v>
      </c>
      <c r="G8" s="30">
        <v>0.3</v>
      </c>
      <c r="H8" s="28" t="s">
        <v>153</v>
      </c>
      <c r="I8" s="35" t="s">
        <v>418</v>
      </c>
    </row>
    <row r="9" spans="1:11" s="21" customFormat="1" ht="52">
      <c r="B9" s="27" t="s">
        <v>415</v>
      </c>
      <c r="C9" s="28" t="s">
        <v>45</v>
      </c>
      <c r="D9" s="29" t="s">
        <v>49</v>
      </c>
      <c r="E9" s="29" t="s">
        <v>30</v>
      </c>
      <c r="F9" s="28" t="s">
        <v>169</v>
      </c>
      <c r="G9" s="30">
        <v>1.7</v>
      </c>
      <c r="H9" s="28" t="s">
        <v>27</v>
      </c>
      <c r="I9" s="35" t="s">
        <v>420</v>
      </c>
      <c r="K9" s="94"/>
    </row>
    <row r="10" spans="1:11" s="21" customFormat="1" ht="26">
      <c r="B10" s="27" t="s">
        <v>415</v>
      </c>
      <c r="C10" s="28" t="s">
        <v>28</v>
      </c>
      <c r="D10" s="29" t="s">
        <v>31</v>
      </c>
      <c r="E10" s="29" t="s">
        <v>34</v>
      </c>
      <c r="F10" s="28" t="s">
        <v>43</v>
      </c>
      <c r="G10" s="30">
        <v>2.9</v>
      </c>
      <c r="H10" s="28" t="s">
        <v>27</v>
      </c>
      <c r="I10" s="35" t="s">
        <v>417</v>
      </c>
    </row>
    <row r="11" spans="1:11" s="21" customFormat="1" ht="13">
      <c r="B11" s="27"/>
      <c r="C11" s="28"/>
      <c r="D11" s="29"/>
      <c r="E11" s="29"/>
      <c r="F11" s="28"/>
      <c r="G11" s="30"/>
      <c r="H11" s="28"/>
      <c r="I11" s="35"/>
      <c r="K11" s="94"/>
    </row>
    <row r="12" spans="1:11" s="21" customFormat="1" ht="39">
      <c r="B12" s="27" t="s">
        <v>415</v>
      </c>
      <c r="C12" s="28" t="s">
        <v>22</v>
      </c>
      <c r="D12" s="29" t="s">
        <v>62</v>
      </c>
      <c r="E12" s="29" t="s">
        <v>30</v>
      </c>
      <c r="F12" s="28" t="s">
        <v>177</v>
      </c>
      <c r="G12" s="30">
        <v>0.8</v>
      </c>
      <c r="H12" s="28" t="s">
        <v>27</v>
      </c>
      <c r="I12" s="35" t="s">
        <v>427</v>
      </c>
    </row>
    <row r="13" spans="1:11" s="21" customFormat="1" ht="39">
      <c r="B13" s="27" t="s">
        <v>415</v>
      </c>
      <c r="C13" s="28" t="s">
        <v>45</v>
      </c>
      <c r="D13" s="29" t="s">
        <v>59</v>
      </c>
      <c r="E13" s="29" t="s">
        <v>30</v>
      </c>
      <c r="F13" s="28" t="s">
        <v>35</v>
      </c>
      <c r="G13" s="30">
        <v>1.7</v>
      </c>
      <c r="H13" s="28" t="s">
        <v>27</v>
      </c>
      <c r="I13" s="35" t="s">
        <v>425</v>
      </c>
    </row>
    <row r="14" spans="1:11" s="21" customFormat="1" ht="52">
      <c r="B14" s="27" t="s">
        <v>415</v>
      </c>
      <c r="C14" s="28" t="s">
        <v>45</v>
      </c>
      <c r="D14" s="29" t="s">
        <v>52</v>
      </c>
      <c r="E14" s="29" t="s">
        <v>30</v>
      </c>
      <c r="F14" s="28" t="s">
        <v>169</v>
      </c>
      <c r="G14" s="30">
        <v>0.7</v>
      </c>
      <c r="H14" s="28" t="s">
        <v>153</v>
      </c>
      <c r="I14" s="35" t="s">
        <v>424</v>
      </c>
    </row>
    <row r="15" spans="1:11" s="21" customFormat="1" ht="52">
      <c r="B15" s="27" t="s">
        <v>415</v>
      </c>
      <c r="C15" s="28" t="s">
        <v>45</v>
      </c>
      <c r="D15" s="29" t="s">
        <v>49</v>
      </c>
      <c r="E15" s="29" t="s">
        <v>30</v>
      </c>
      <c r="F15" s="28" t="s">
        <v>169</v>
      </c>
      <c r="G15" s="30">
        <v>0.8</v>
      </c>
      <c r="H15" s="28" t="s">
        <v>27</v>
      </c>
      <c r="I15" s="35" t="s">
        <v>423</v>
      </c>
    </row>
    <row r="16" spans="1:11" s="21" customFormat="1" ht="39">
      <c r="B16" s="27" t="s">
        <v>415</v>
      </c>
      <c r="C16" s="28" t="s">
        <v>46</v>
      </c>
      <c r="D16" s="29" t="s">
        <v>53</v>
      </c>
      <c r="E16" s="29" t="s">
        <v>30</v>
      </c>
      <c r="F16" s="28" t="s">
        <v>35</v>
      </c>
      <c r="G16" s="30">
        <v>1</v>
      </c>
      <c r="H16" s="28" t="s">
        <v>153</v>
      </c>
      <c r="I16" s="35" t="s">
        <v>422</v>
      </c>
    </row>
    <row r="17" spans="2:13" s="21" customFormat="1" ht="52">
      <c r="B17" s="27"/>
      <c r="C17" s="28" t="s">
        <v>45</v>
      </c>
      <c r="D17" s="29" t="s">
        <v>59</v>
      </c>
      <c r="E17" s="29" t="s">
        <v>30</v>
      </c>
      <c r="F17" s="28" t="s">
        <v>169</v>
      </c>
      <c r="G17" s="30">
        <v>2.1</v>
      </c>
      <c r="H17" s="28" t="s">
        <v>27</v>
      </c>
      <c r="I17" s="35" t="s">
        <v>426</v>
      </c>
      <c r="L17" s="94"/>
    </row>
    <row r="18" spans="2:13" s="21" customFormat="1" ht="13">
      <c r="B18" s="27"/>
      <c r="C18" s="28"/>
      <c r="D18" s="29"/>
      <c r="E18" s="29"/>
      <c r="F18" s="28"/>
      <c r="G18" s="30"/>
      <c r="H18" s="28"/>
      <c r="I18" s="35"/>
      <c r="L18" s="94"/>
    </row>
    <row r="19" spans="2:13" s="21" customFormat="1" ht="26">
      <c r="B19" s="27" t="s">
        <v>415</v>
      </c>
      <c r="C19" s="28" t="s">
        <v>46</v>
      </c>
      <c r="D19" s="29" t="s">
        <v>53</v>
      </c>
      <c r="E19" s="29" t="s">
        <v>30</v>
      </c>
      <c r="F19" s="28" t="s">
        <v>35</v>
      </c>
      <c r="G19" s="30">
        <v>1.6</v>
      </c>
      <c r="H19" s="28" t="s">
        <v>153</v>
      </c>
      <c r="I19" s="35" t="s">
        <v>432</v>
      </c>
    </row>
    <row r="20" spans="2:13" s="21" customFormat="1" ht="52">
      <c r="B20" s="27" t="s">
        <v>415</v>
      </c>
      <c r="C20" s="28" t="s">
        <v>45</v>
      </c>
      <c r="D20" s="29" t="s">
        <v>49</v>
      </c>
      <c r="E20" s="29" t="s">
        <v>30</v>
      </c>
      <c r="F20" s="28" t="s">
        <v>169</v>
      </c>
      <c r="G20" s="30">
        <v>0.7</v>
      </c>
      <c r="H20" s="28" t="s">
        <v>27</v>
      </c>
      <c r="I20" s="35" t="s">
        <v>430</v>
      </c>
    </row>
    <row r="21" spans="2:13" s="21" customFormat="1" ht="39">
      <c r="B21" s="27" t="s">
        <v>415</v>
      </c>
      <c r="C21" s="28" t="s">
        <v>22</v>
      </c>
      <c r="D21" s="29" t="s">
        <v>63</v>
      </c>
      <c r="E21" s="29" t="s">
        <v>30</v>
      </c>
      <c r="F21" s="28" t="s">
        <v>177</v>
      </c>
      <c r="G21" s="30">
        <v>1.6</v>
      </c>
      <c r="H21" s="28" t="s">
        <v>27</v>
      </c>
      <c r="I21" s="35" t="s">
        <v>429</v>
      </c>
    </row>
    <row r="22" spans="2:13" s="21" customFormat="1" ht="52">
      <c r="B22" s="27" t="s">
        <v>415</v>
      </c>
      <c r="C22" s="28" t="s">
        <v>45</v>
      </c>
      <c r="D22" s="29" t="s">
        <v>52</v>
      </c>
      <c r="E22" s="29" t="s">
        <v>30</v>
      </c>
      <c r="F22" s="28" t="s">
        <v>169</v>
      </c>
      <c r="G22" s="30">
        <v>1.3</v>
      </c>
      <c r="H22" s="28" t="s">
        <v>27</v>
      </c>
      <c r="I22" s="35" t="s">
        <v>431</v>
      </c>
    </row>
    <row r="23" spans="2:13" s="21" customFormat="1" ht="39">
      <c r="B23" s="27" t="s">
        <v>415</v>
      </c>
      <c r="C23" s="28" t="s">
        <v>22</v>
      </c>
      <c r="D23" s="29" t="s">
        <v>62</v>
      </c>
      <c r="E23" s="29" t="s">
        <v>30</v>
      </c>
      <c r="F23" s="28" t="s">
        <v>177</v>
      </c>
      <c r="G23" s="30">
        <v>0.6</v>
      </c>
      <c r="H23" s="28" t="s">
        <v>153</v>
      </c>
      <c r="I23" s="35" t="s">
        <v>434</v>
      </c>
    </row>
    <row r="24" spans="2:13" s="21" customFormat="1" ht="52">
      <c r="B24" s="27" t="s">
        <v>415</v>
      </c>
      <c r="C24" s="28" t="s">
        <v>45</v>
      </c>
      <c r="D24" s="29" t="s">
        <v>50</v>
      </c>
      <c r="E24" s="29" t="s">
        <v>30</v>
      </c>
      <c r="F24" s="28" t="s">
        <v>169</v>
      </c>
      <c r="G24" s="30">
        <v>0.3</v>
      </c>
      <c r="H24" s="28" t="s">
        <v>153</v>
      </c>
      <c r="I24" s="35" t="s">
        <v>428</v>
      </c>
    </row>
    <row r="25" spans="2:13" s="21" customFormat="1" ht="52">
      <c r="B25" s="27" t="s">
        <v>415</v>
      </c>
      <c r="C25" s="28" t="s">
        <v>45</v>
      </c>
      <c r="D25" s="29" t="s">
        <v>59</v>
      </c>
      <c r="E25" s="29" t="s">
        <v>30</v>
      </c>
      <c r="F25" s="28" t="s">
        <v>169</v>
      </c>
      <c r="G25" s="30">
        <v>1.2</v>
      </c>
      <c r="H25" s="28" t="s">
        <v>27</v>
      </c>
      <c r="I25" s="35" t="s">
        <v>433</v>
      </c>
      <c r="K25" s="94"/>
      <c r="L25" s="94"/>
    </row>
    <row r="26" spans="2:13" s="21" customFormat="1" ht="13">
      <c r="B26" s="27"/>
      <c r="C26" s="28"/>
      <c r="D26" s="29"/>
      <c r="E26" s="29"/>
      <c r="F26" s="28"/>
      <c r="G26" s="30"/>
      <c r="H26" s="28"/>
      <c r="I26" s="35"/>
      <c r="K26" s="94"/>
      <c r="L26" s="94"/>
    </row>
    <row r="27" spans="2:13" s="21" customFormat="1" ht="52">
      <c r="B27" s="27" t="s">
        <v>415</v>
      </c>
      <c r="C27" s="28" t="s">
        <v>45</v>
      </c>
      <c r="D27" s="29" t="s">
        <v>31</v>
      </c>
      <c r="E27" s="29" t="s">
        <v>30</v>
      </c>
      <c r="F27" s="28" t="s">
        <v>169</v>
      </c>
      <c r="G27" s="30">
        <v>0.6</v>
      </c>
      <c r="H27" s="28" t="s">
        <v>27</v>
      </c>
      <c r="I27" s="35" t="s">
        <v>436</v>
      </c>
    </row>
    <row r="28" spans="2:13" s="21" customFormat="1" ht="52">
      <c r="B28" s="27"/>
      <c r="C28" s="28" t="s">
        <v>45</v>
      </c>
      <c r="D28" s="29" t="s">
        <v>49</v>
      </c>
      <c r="E28" s="29" t="s">
        <v>30</v>
      </c>
      <c r="F28" s="28" t="s">
        <v>169</v>
      </c>
      <c r="G28" s="30">
        <v>0.3</v>
      </c>
      <c r="H28" s="28" t="s">
        <v>153</v>
      </c>
      <c r="I28" s="35" t="s">
        <v>438</v>
      </c>
    </row>
    <row r="29" spans="2:13" s="21" customFormat="1" ht="26">
      <c r="B29" s="27" t="s">
        <v>415</v>
      </c>
      <c r="C29" s="28" t="s">
        <v>45</v>
      </c>
      <c r="D29" s="29" t="s">
        <v>59</v>
      </c>
      <c r="E29" s="29" t="s">
        <v>30</v>
      </c>
      <c r="F29" s="28" t="s">
        <v>35</v>
      </c>
      <c r="G29" s="30">
        <v>0.3</v>
      </c>
      <c r="H29" s="28" t="s">
        <v>153</v>
      </c>
      <c r="I29" s="35" t="s">
        <v>435</v>
      </c>
    </row>
    <row r="30" spans="2:13" s="21" customFormat="1" ht="52">
      <c r="B30" s="27" t="s">
        <v>415</v>
      </c>
      <c r="C30" s="28" t="s">
        <v>46</v>
      </c>
      <c r="D30" s="29" t="s">
        <v>53</v>
      </c>
      <c r="E30" s="29" t="s">
        <v>30</v>
      </c>
      <c r="F30" s="28" t="s">
        <v>35</v>
      </c>
      <c r="G30" s="30">
        <v>4.5</v>
      </c>
      <c r="H30" s="28" t="s">
        <v>27</v>
      </c>
      <c r="I30" s="35" t="s">
        <v>437</v>
      </c>
    </row>
    <row r="31" spans="2:13" s="21" customFormat="1" ht="13">
      <c r="B31" s="27" t="s">
        <v>415</v>
      </c>
      <c r="C31" s="28" t="s">
        <v>28</v>
      </c>
      <c r="D31" s="29" t="s">
        <v>31</v>
      </c>
      <c r="E31" s="29" t="s">
        <v>34</v>
      </c>
      <c r="F31" s="28" t="s">
        <v>161</v>
      </c>
      <c r="G31" s="30">
        <v>1.2</v>
      </c>
      <c r="H31" s="28" t="s">
        <v>31</v>
      </c>
      <c r="I31" s="35" t="s">
        <v>439</v>
      </c>
      <c r="L31" s="94"/>
      <c r="M31" s="94"/>
    </row>
    <row r="32" spans="2:13" s="21" customFormat="1" ht="13">
      <c r="B32" s="27"/>
      <c r="C32" s="28"/>
      <c r="D32" s="29"/>
      <c r="E32" s="29"/>
      <c r="F32" s="28"/>
      <c r="G32" s="30"/>
      <c r="H32" s="28"/>
      <c r="I32" s="35"/>
    </row>
    <row r="33" spans="2:12" s="21" customFormat="1" ht="52">
      <c r="B33" s="27" t="s">
        <v>415</v>
      </c>
      <c r="C33" s="28" t="s">
        <v>45</v>
      </c>
      <c r="D33" s="29" t="s">
        <v>49</v>
      </c>
      <c r="E33" s="29" t="s">
        <v>30</v>
      </c>
      <c r="F33" s="28" t="s">
        <v>169</v>
      </c>
      <c r="G33" s="30">
        <v>1</v>
      </c>
      <c r="H33" s="28" t="s">
        <v>153</v>
      </c>
      <c r="I33" s="35" t="s">
        <v>440</v>
      </c>
    </row>
    <row r="34" spans="2:12" s="21" customFormat="1" ht="52">
      <c r="B34" s="27" t="s">
        <v>415</v>
      </c>
      <c r="C34" s="28" t="s">
        <v>45</v>
      </c>
      <c r="D34" s="29" t="s">
        <v>59</v>
      </c>
      <c r="E34" s="29" t="s">
        <v>30</v>
      </c>
      <c r="F34" s="28" t="s">
        <v>169</v>
      </c>
      <c r="G34" s="30">
        <v>0.8</v>
      </c>
      <c r="H34" s="28" t="s">
        <v>27</v>
      </c>
      <c r="I34" s="35" t="s">
        <v>443</v>
      </c>
    </row>
    <row r="35" spans="2:12" s="21" customFormat="1" ht="26">
      <c r="B35" s="27" t="s">
        <v>415</v>
      </c>
      <c r="C35" s="28" t="s">
        <v>46</v>
      </c>
      <c r="D35" s="29" t="s">
        <v>53</v>
      </c>
      <c r="E35" s="29" t="s">
        <v>30</v>
      </c>
      <c r="F35" s="28" t="s">
        <v>35</v>
      </c>
      <c r="G35" s="30">
        <v>2.5</v>
      </c>
      <c r="H35" s="28" t="s">
        <v>27</v>
      </c>
      <c r="I35" s="35" t="s">
        <v>442</v>
      </c>
    </row>
    <row r="36" spans="2:12" s="21" customFormat="1" ht="39">
      <c r="B36" s="27" t="s">
        <v>415</v>
      </c>
      <c r="C36" s="28" t="s">
        <v>46</v>
      </c>
      <c r="D36" s="29" t="s">
        <v>59</v>
      </c>
      <c r="E36" s="29" t="s">
        <v>30</v>
      </c>
      <c r="F36" s="28" t="s">
        <v>35</v>
      </c>
      <c r="G36" s="30">
        <v>0.9</v>
      </c>
      <c r="H36" s="28" t="s">
        <v>153</v>
      </c>
      <c r="I36" s="35" t="s">
        <v>444</v>
      </c>
    </row>
    <row r="37" spans="2:12" s="21" customFormat="1" ht="13">
      <c r="B37" s="27" t="s">
        <v>415</v>
      </c>
      <c r="C37" s="28" t="s">
        <v>28</v>
      </c>
      <c r="D37" s="29" t="s">
        <v>31</v>
      </c>
      <c r="E37" s="29" t="s">
        <v>34</v>
      </c>
      <c r="F37" s="28" t="s">
        <v>161</v>
      </c>
      <c r="G37" s="30">
        <v>3.2</v>
      </c>
      <c r="H37" s="28" t="s">
        <v>31</v>
      </c>
      <c r="I37" s="35" t="s">
        <v>441</v>
      </c>
      <c r="L37" s="94"/>
    </row>
    <row r="38" spans="2:12" s="21" customFormat="1" ht="13">
      <c r="B38" s="27"/>
      <c r="C38" s="28"/>
      <c r="D38" s="29"/>
      <c r="E38" s="29"/>
      <c r="F38" s="28"/>
      <c r="G38" s="30"/>
      <c r="H38" s="28"/>
      <c r="I38" s="35"/>
    </row>
    <row r="39" spans="2:12" s="21" customFormat="1" ht="13">
      <c r="B39" s="27"/>
      <c r="C39" s="28"/>
      <c r="D39" s="29"/>
      <c r="E39" s="29"/>
      <c r="F39" s="28"/>
      <c r="G39" s="30"/>
      <c r="H39" s="28"/>
      <c r="I39" s="35"/>
    </row>
    <row r="40" spans="2:12" s="21" customFormat="1" ht="13">
      <c r="B40" s="27"/>
      <c r="C40" s="28"/>
      <c r="D40" s="29"/>
      <c r="E40" s="29"/>
      <c r="F40" s="28"/>
      <c r="G40" s="30"/>
      <c r="H40" s="28"/>
      <c r="I40" s="35"/>
    </row>
    <row r="41" spans="2:12" s="21" customFormat="1" ht="13">
      <c r="B41" s="27"/>
      <c r="C41" s="28"/>
      <c r="D41" s="29"/>
      <c r="E41" s="29"/>
      <c r="F41" s="28"/>
      <c r="G41" s="30"/>
      <c r="H41" s="28"/>
      <c r="I41" s="35"/>
      <c r="L41" s="94"/>
    </row>
    <row r="42" spans="2:12" s="21" customFormat="1" ht="13">
      <c r="B42" s="27"/>
      <c r="C42" s="28"/>
      <c r="D42" s="29"/>
      <c r="E42" s="29"/>
      <c r="F42" s="28"/>
      <c r="G42" s="30"/>
      <c r="H42" s="28"/>
      <c r="I42" s="35"/>
    </row>
    <row r="43" spans="2:12" s="21" customFormat="1" ht="14.5" customHeight="1" thickBot="1">
      <c r="B43" s="99" t="s">
        <v>32</v>
      </c>
      <c r="C43" s="100"/>
      <c r="D43" s="101"/>
      <c r="E43" s="31"/>
      <c r="F43" s="31"/>
      <c r="G43" s="102">
        <f>SUM(G6:G42)</f>
        <v>37.300000000000004</v>
      </c>
      <c r="H43" s="103"/>
      <c r="I43" s="104"/>
    </row>
    <row r="46" spans="2:12">
      <c r="B46" s="36" t="s">
        <v>162</v>
      </c>
      <c r="C46" s="37" t="s">
        <v>416</v>
      </c>
    </row>
    <row r="47" spans="2:12">
      <c r="C47" s="37"/>
    </row>
  </sheetData>
  <mergeCells count="4">
    <mergeCell ref="B1:I1"/>
    <mergeCell ref="B2:H2"/>
    <mergeCell ref="B43:D43"/>
    <mergeCell ref="G43:I43"/>
  </mergeCells>
  <phoneticPr fontId="18" type="noConversion"/>
  <dataValidations count="3">
    <dataValidation type="list" errorStyle="warning" allowBlank="1" sqref="C8:C42" xr:uid="{00000000-0002-0000-0000-000005000000}">
      <formula1>项目事项分类项目名称</formula1>
    </dataValidation>
    <dataValidation type="list" allowBlank="1" showInputMessage="1" showErrorMessage="1" sqref="F6:F42" xr:uid="{00000000-0002-0000-0000-000002000000}">
      <formula1>INDIRECT($E6)</formula1>
    </dataValidation>
    <dataValidation type="list" allowBlank="1" showInputMessage="1" showErrorMessage="1" sqref="H6:H42"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D6:D42</xm:sqref>
        </x14:dataValidation>
        <x14:dataValidation type="list" allowBlank="1" showInputMessage="1" showErrorMessage="1" xr:uid="{00000000-0002-0000-0000-000007000000}">
          <x14:formula1>
            <xm:f>Tag!$B$2:$E$2</xm:f>
          </x14:formula1>
          <xm:sqref>E6:E42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2" workbookViewId="0">
      <selection activeCell="D2" sqref="D2:D6"/>
    </sheetView>
  </sheetViews>
  <sheetFormatPr defaultColWidth="8.81640625" defaultRowHeight="14.5"/>
  <cols>
    <col min="2" max="2" width="40.81640625" customWidth="1"/>
    <col min="3" max="3" width="27.453125" customWidth="1"/>
    <col min="4" max="4" width="22.7265625" customWidth="1"/>
    <col min="5" max="5" width="17.726562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15"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796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7265625" style="1"/>
    <col min="2" max="2" width="16.7265625" customWidth="1"/>
    <col min="3" max="3" width="19.453125" customWidth="1"/>
    <col min="5" max="5" width="20.81640625" customWidth="1"/>
    <col min="6" max="6" width="33.7265625" customWidth="1"/>
    <col min="7" max="7" width="18.26953125" customWidth="1"/>
    <col min="8" max="8" width="17.81640625" customWidth="1"/>
    <col min="9" max="9" width="18" customWidth="1"/>
    <col min="10" max="10" width="17.8164062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73">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43">
      <c r="A7" s="110"/>
      <c r="B7" s="115"/>
      <c r="C7" s="9" t="s">
        <v>117</v>
      </c>
      <c r="D7" s="5" t="s">
        <v>118</v>
      </c>
      <c r="E7" s="108"/>
      <c r="F7" s="4" t="s">
        <v>119</v>
      </c>
      <c r="G7" s="4" t="s">
        <v>120</v>
      </c>
      <c r="H7" s="4" t="s">
        <v>121</v>
      </c>
      <c r="I7" s="4" t="s">
        <v>121</v>
      </c>
      <c r="J7" s="4" t="s">
        <v>122</v>
      </c>
      <c r="K7" s="13">
        <v>4</v>
      </c>
      <c r="L7" s="4" t="s">
        <v>123</v>
      </c>
      <c r="M7" s="14"/>
      <c r="N7" s="14"/>
      <c r="O7" s="14"/>
      <c r="P7" s="14"/>
    </row>
    <row r="8" spans="1:16" ht="409.5">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60">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5" zoomScale="70" zoomScaleNormal="70" workbookViewId="0">
      <selection activeCell="F61" sqref="F61"/>
    </sheetView>
  </sheetViews>
  <sheetFormatPr defaultRowHeight="16" outlineLevelRow="1"/>
  <cols>
    <col min="1" max="1" width="2" style="38" customWidth="1"/>
    <col min="2" max="2" width="3.1796875" style="38" customWidth="1"/>
    <col min="3" max="3" width="18.453125" style="92" customWidth="1"/>
    <col min="4" max="4" width="9.1796875" style="92"/>
    <col min="5" max="5" width="24.7265625" style="92" customWidth="1"/>
    <col min="6" max="6" width="41.81640625" style="92" customWidth="1"/>
    <col min="7" max="7" width="32.1796875" style="92" customWidth="1"/>
    <col min="8" max="8" width="16.81640625" style="92" customWidth="1"/>
    <col min="9" max="9" width="17.453125" style="93" customWidth="1"/>
    <col min="10" max="10" width="18.81640625" style="92" hidden="1" customWidth="1"/>
    <col min="11" max="11" width="29.1796875" style="92" customWidth="1"/>
    <col min="12" max="12" width="23.7265625" style="92" customWidth="1"/>
    <col min="13" max="13" width="25.81640625" style="92" customWidth="1"/>
    <col min="14" max="14" width="28.81640625" style="38" customWidth="1"/>
    <col min="15" max="15" width="9.1796875" style="38"/>
  </cols>
  <sheetData>
    <row r="1" spans="2:14" ht="17.5">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c r="C4" s="127"/>
      <c r="D4" s="130"/>
      <c r="E4" s="131"/>
      <c r="F4" s="127"/>
      <c r="G4" s="127"/>
      <c r="H4" s="127"/>
      <c r="I4" s="127"/>
      <c r="J4" s="127"/>
      <c r="K4" s="39" t="s">
        <v>73</v>
      </c>
      <c r="L4" s="39" t="s">
        <v>74</v>
      </c>
      <c r="M4" s="39" t="s">
        <v>75</v>
      </c>
      <c r="N4" s="39" t="s">
        <v>76</v>
      </c>
    </row>
    <row r="5" spans="2:14" ht="108.5" outlineLevel="1">
      <c r="C5" s="40" t="s">
        <v>192</v>
      </c>
      <c r="D5" s="136" t="s">
        <v>193</v>
      </c>
      <c r="E5" s="137"/>
      <c r="F5" s="41" t="s">
        <v>194</v>
      </c>
      <c r="G5" s="40" t="s">
        <v>195</v>
      </c>
      <c r="H5" s="40" t="s">
        <v>196</v>
      </c>
      <c r="I5" s="40" t="s">
        <v>197</v>
      </c>
      <c r="J5" s="40" t="s">
        <v>198</v>
      </c>
      <c r="K5" s="138" t="s">
        <v>199</v>
      </c>
      <c r="L5" s="138"/>
      <c r="M5" s="138"/>
      <c r="N5" s="138"/>
    </row>
    <row r="6" spans="2:14" s="42" customFormat="1" ht="186" outlineLevel="1">
      <c r="B6" s="139"/>
      <c r="C6" s="140" t="s">
        <v>200</v>
      </c>
      <c r="D6" s="144" t="s">
        <v>201</v>
      </c>
      <c r="E6" s="44" t="s">
        <v>202</v>
      </c>
      <c r="F6" s="45" t="s">
        <v>203</v>
      </c>
      <c r="G6" s="46" t="s">
        <v>204</v>
      </c>
      <c r="H6" s="47">
        <v>5</v>
      </c>
      <c r="I6" s="48" t="s">
        <v>205</v>
      </c>
      <c r="J6" s="48" t="s">
        <v>206</v>
      </c>
      <c r="K6" s="49" t="s">
        <v>207</v>
      </c>
      <c r="L6" s="50" t="s">
        <v>207</v>
      </c>
      <c r="M6" s="50" t="s">
        <v>207</v>
      </c>
      <c r="N6" s="50" t="s">
        <v>207</v>
      </c>
    </row>
    <row r="7" spans="2:14" s="42" customFormat="1" ht="356.5" outlineLevel="1">
      <c r="B7" s="139"/>
      <c r="C7" s="141"/>
      <c r="D7" s="141"/>
      <c r="E7" s="51" t="s">
        <v>208</v>
      </c>
      <c r="F7" s="52" t="s">
        <v>209</v>
      </c>
      <c r="G7" s="46" t="s">
        <v>210</v>
      </c>
      <c r="H7" s="53">
        <v>5</v>
      </c>
      <c r="I7" s="54" t="s">
        <v>211</v>
      </c>
      <c r="J7" s="48" t="s">
        <v>212</v>
      </c>
      <c r="K7" s="55" t="s">
        <v>213</v>
      </c>
      <c r="L7" s="56" t="s">
        <v>207</v>
      </c>
      <c r="M7" s="55" t="s">
        <v>214</v>
      </c>
      <c r="N7" s="57" t="s">
        <v>215</v>
      </c>
    </row>
    <row r="8" spans="2:14" s="42" customFormat="1" ht="248" outlineLevel="1">
      <c r="B8" s="139"/>
      <c r="C8" s="142"/>
      <c r="D8" s="145"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39"/>
      <c r="C9" s="142"/>
      <c r="D9" s="146"/>
      <c r="E9" s="46" t="s">
        <v>223</v>
      </c>
      <c r="F9" s="45" t="s">
        <v>224</v>
      </c>
      <c r="G9" s="58" t="s">
        <v>225</v>
      </c>
      <c r="H9" s="47">
        <v>5</v>
      </c>
      <c r="I9" s="48" t="s">
        <v>220</v>
      </c>
      <c r="J9" s="48" t="s">
        <v>226</v>
      </c>
      <c r="K9" s="58" t="s">
        <v>227</v>
      </c>
      <c r="L9" s="58" t="s">
        <v>228</v>
      </c>
      <c r="M9" s="58" t="s">
        <v>229</v>
      </c>
      <c r="N9" s="57" t="s">
        <v>229</v>
      </c>
    </row>
    <row r="10" spans="2:14" s="42" customFormat="1" ht="77.5" outlineLevel="1">
      <c r="B10" s="139"/>
      <c r="C10" s="141"/>
      <c r="D10" s="147" t="s">
        <v>230</v>
      </c>
      <c r="E10" s="131"/>
      <c r="F10" s="46" t="s">
        <v>231</v>
      </c>
      <c r="G10" s="59" t="s">
        <v>232</v>
      </c>
      <c r="H10" s="54">
        <v>4</v>
      </c>
      <c r="I10" s="48" t="s">
        <v>220</v>
      </c>
      <c r="J10" s="49" t="s">
        <v>233</v>
      </c>
      <c r="K10" s="58" t="s">
        <v>234</v>
      </c>
      <c r="L10" s="58" t="s">
        <v>234</v>
      </c>
      <c r="M10" s="58" t="s">
        <v>234</v>
      </c>
      <c r="N10" s="57" t="s">
        <v>234</v>
      </c>
    </row>
    <row r="11" spans="2:14" s="42" customFormat="1" ht="310" outlineLevel="1">
      <c r="B11" s="139"/>
      <c r="C11" s="141"/>
      <c r="D11" s="144" t="s">
        <v>235</v>
      </c>
      <c r="E11" s="137"/>
      <c r="F11" s="46" t="s">
        <v>236</v>
      </c>
      <c r="G11" s="46" t="s">
        <v>237</v>
      </c>
      <c r="H11" s="47">
        <v>5</v>
      </c>
      <c r="I11" s="48" t="s">
        <v>238</v>
      </c>
      <c r="J11" s="48" t="s">
        <v>239</v>
      </c>
      <c r="K11" s="48" t="s">
        <v>240</v>
      </c>
      <c r="L11" s="48" t="s">
        <v>240</v>
      </c>
      <c r="M11" s="48" t="s">
        <v>240</v>
      </c>
      <c r="N11" s="48" t="s">
        <v>240</v>
      </c>
    </row>
    <row r="12" spans="2:14" s="42" customFormat="1" ht="409.5" outlineLevel="1">
      <c r="B12" s="139"/>
      <c r="C12" s="142"/>
      <c r="D12" s="44" t="s">
        <v>164</v>
      </c>
      <c r="E12" s="58" t="s">
        <v>79</v>
      </c>
      <c r="F12" s="60" t="s">
        <v>241</v>
      </c>
      <c r="G12" s="46" t="s">
        <v>81</v>
      </c>
      <c r="H12" s="61">
        <v>5</v>
      </c>
      <c r="I12" s="49" t="s">
        <v>242</v>
      </c>
      <c r="J12" s="49" t="s">
        <v>243</v>
      </c>
      <c r="K12" s="55" t="s">
        <v>244</v>
      </c>
      <c r="L12" s="55" t="s">
        <v>244</v>
      </c>
      <c r="M12" s="55" t="s">
        <v>244</v>
      </c>
      <c r="N12" s="57" t="s">
        <v>244</v>
      </c>
    </row>
    <row r="13" spans="2:14" s="42" customFormat="1" ht="93" outlineLevel="1">
      <c r="B13" s="43"/>
      <c r="C13" s="142"/>
      <c r="D13" s="148" t="s">
        <v>165</v>
      </c>
      <c r="E13" s="62" t="s">
        <v>245</v>
      </c>
      <c r="F13" s="46" t="s">
        <v>245</v>
      </c>
      <c r="G13" s="63" t="s">
        <v>246</v>
      </c>
      <c r="H13" s="61">
        <v>5</v>
      </c>
      <c r="I13" s="49" t="s">
        <v>247</v>
      </c>
      <c r="J13" s="63" t="s">
        <v>248</v>
      </c>
      <c r="K13" s="56" t="s">
        <v>207</v>
      </c>
      <c r="L13" s="56" t="s">
        <v>207</v>
      </c>
      <c r="M13" s="56" t="s">
        <v>207</v>
      </c>
      <c r="N13" s="64" t="s">
        <v>207</v>
      </c>
    </row>
    <row r="14" spans="2:14" s="42" customFormat="1" ht="108.5" outlineLevel="1">
      <c r="B14" s="43"/>
      <c r="C14" s="143"/>
      <c r="D14" s="149"/>
      <c r="E14" s="44" t="s">
        <v>249</v>
      </c>
      <c r="F14" s="60" t="s">
        <v>250</v>
      </c>
      <c r="G14" s="63" t="s">
        <v>251</v>
      </c>
      <c r="H14" s="61">
        <v>4</v>
      </c>
      <c r="I14" s="48" t="s">
        <v>220</v>
      </c>
      <c r="J14" s="48" t="s">
        <v>252</v>
      </c>
      <c r="K14" s="48" t="s">
        <v>253</v>
      </c>
      <c r="L14" s="48" t="s">
        <v>253</v>
      </c>
      <c r="M14" s="48" t="s">
        <v>253</v>
      </c>
      <c r="N14" s="48" t="s">
        <v>253</v>
      </c>
    </row>
    <row r="15" spans="2:14" s="42" customFormat="1" ht="294.5" outlineLevel="1">
      <c r="B15" s="43"/>
      <c r="C15" s="130"/>
      <c r="D15" s="149"/>
      <c r="E15" s="65" t="s">
        <v>254</v>
      </c>
      <c r="F15" s="66" t="s">
        <v>255</v>
      </c>
      <c r="G15" s="63" t="s">
        <v>256</v>
      </c>
      <c r="H15" s="61">
        <v>5</v>
      </c>
      <c r="I15" s="48" t="s">
        <v>136</v>
      </c>
      <c r="J15" s="63" t="s">
        <v>257</v>
      </c>
      <c r="K15" s="67" t="s">
        <v>258</v>
      </c>
      <c r="L15" s="67" t="s">
        <v>258</v>
      </c>
      <c r="M15" s="67" t="s">
        <v>258</v>
      </c>
      <c r="N15" s="67" t="s">
        <v>258</v>
      </c>
    </row>
    <row r="16" spans="2:14" s="42" customFormat="1" ht="201.5" outlineLevel="1">
      <c r="B16" s="139"/>
      <c r="C16" s="150" t="s">
        <v>259</v>
      </c>
      <c r="D16" s="153"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39"/>
      <c r="C17" s="151"/>
      <c r="D17" s="154"/>
      <c r="E17" s="59" t="s">
        <v>265</v>
      </c>
      <c r="F17" s="63" t="s">
        <v>266</v>
      </c>
      <c r="G17" s="63" t="s">
        <v>267</v>
      </c>
      <c r="H17" s="61">
        <v>4</v>
      </c>
      <c r="I17" s="48" t="s">
        <v>268</v>
      </c>
      <c r="J17" s="48" t="s">
        <v>269</v>
      </c>
      <c r="K17" s="55" t="s">
        <v>270</v>
      </c>
      <c r="L17" s="55" t="s">
        <v>270</v>
      </c>
      <c r="M17" s="55" t="s">
        <v>270</v>
      </c>
      <c r="N17" s="68" t="s">
        <v>270</v>
      </c>
    </row>
    <row r="18" spans="2:14" s="42" customFormat="1" ht="217" outlineLevel="1">
      <c r="B18" s="139"/>
      <c r="C18" s="151"/>
      <c r="D18" s="155" t="s">
        <v>170</v>
      </c>
      <c r="E18" s="156"/>
      <c r="F18" s="63" t="s">
        <v>271</v>
      </c>
      <c r="G18" s="63" t="s">
        <v>272</v>
      </c>
      <c r="H18" s="61">
        <v>5</v>
      </c>
      <c r="I18" s="48" t="s">
        <v>273</v>
      </c>
      <c r="J18" s="48" t="s">
        <v>26</v>
      </c>
      <c r="K18" s="55" t="s">
        <v>274</v>
      </c>
      <c r="L18" s="55" t="s">
        <v>275</v>
      </c>
      <c r="M18" s="55" t="s">
        <v>275</v>
      </c>
      <c r="N18" s="57" t="s">
        <v>275</v>
      </c>
    </row>
    <row r="19" spans="2:14" s="42" customFormat="1" ht="155" outlineLevel="1">
      <c r="B19" s="139"/>
      <c r="C19" s="151"/>
      <c r="D19" s="157" t="s">
        <v>172</v>
      </c>
      <c r="E19" s="137"/>
      <c r="F19" s="63" t="s">
        <v>276</v>
      </c>
      <c r="G19" s="46" t="s">
        <v>267</v>
      </c>
      <c r="H19" s="61">
        <v>5</v>
      </c>
      <c r="I19" s="48" t="s">
        <v>277</v>
      </c>
      <c r="J19" s="63" t="s">
        <v>278</v>
      </c>
      <c r="K19" s="55" t="s">
        <v>279</v>
      </c>
      <c r="L19" s="55" t="s">
        <v>279</v>
      </c>
      <c r="M19" s="55" t="s">
        <v>279</v>
      </c>
      <c r="N19" s="68" t="s">
        <v>279</v>
      </c>
    </row>
    <row r="20" spans="2:14" s="42" customFormat="1" ht="108.5" outlineLevel="1">
      <c r="B20" s="139"/>
      <c r="C20" s="152"/>
      <c r="D20" s="158" t="s">
        <v>174</v>
      </c>
      <c r="E20" s="159"/>
      <c r="F20" s="69" t="s">
        <v>280</v>
      </c>
      <c r="G20" s="63" t="s">
        <v>101</v>
      </c>
      <c r="H20" s="61">
        <v>5</v>
      </c>
      <c r="I20" s="48" t="s">
        <v>281</v>
      </c>
      <c r="J20" s="48" t="s">
        <v>282</v>
      </c>
      <c r="K20" s="55" t="s">
        <v>283</v>
      </c>
      <c r="L20" s="55" t="s">
        <v>284</v>
      </c>
      <c r="M20" s="55" t="s">
        <v>283</v>
      </c>
      <c r="N20" s="57" t="s">
        <v>283</v>
      </c>
    </row>
    <row r="21" spans="2:14" ht="232.5">
      <c r="B21" s="139"/>
      <c r="C21" s="151"/>
      <c r="D21" s="160" t="s">
        <v>285</v>
      </c>
      <c r="E21" s="70" t="s">
        <v>286</v>
      </c>
      <c r="F21" s="69" t="s">
        <v>287</v>
      </c>
      <c r="G21" s="63" t="s">
        <v>256</v>
      </c>
      <c r="H21" s="61">
        <v>5</v>
      </c>
      <c r="I21" s="48" t="s">
        <v>288</v>
      </c>
      <c r="J21" s="63" t="s">
        <v>257</v>
      </c>
      <c r="K21" s="55" t="s">
        <v>289</v>
      </c>
      <c r="L21" s="55" t="s">
        <v>289</v>
      </c>
      <c r="M21" s="55" t="s">
        <v>289</v>
      </c>
      <c r="N21" s="68" t="s">
        <v>289</v>
      </c>
    </row>
    <row r="22" spans="2:14" s="42" customFormat="1" ht="248" outlineLevel="1">
      <c r="B22" s="139"/>
      <c r="C22" s="151"/>
      <c r="D22" s="130"/>
      <c r="E22" s="58" t="s">
        <v>290</v>
      </c>
      <c r="F22" s="69" t="s">
        <v>291</v>
      </c>
      <c r="G22" s="63" t="s">
        <v>292</v>
      </c>
      <c r="H22" s="61">
        <v>5</v>
      </c>
      <c r="I22" s="48" t="s">
        <v>293</v>
      </c>
      <c r="J22" s="48" t="s">
        <v>294</v>
      </c>
      <c r="K22" s="71" t="s">
        <v>295</v>
      </c>
      <c r="L22" s="71" t="s">
        <v>296</v>
      </c>
      <c r="M22" s="71" t="s">
        <v>297</v>
      </c>
      <c r="N22" s="72" t="s">
        <v>298</v>
      </c>
    </row>
    <row r="23" spans="2:14" s="42" customFormat="1" ht="294.5" outlineLevel="1">
      <c r="B23" s="139"/>
      <c r="C23" s="150"/>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39"/>
      <c r="C24" s="151"/>
      <c r="D24" s="157" t="s">
        <v>306</v>
      </c>
      <c r="E24" s="129"/>
      <c r="F24" s="63" t="s">
        <v>307</v>
      </c>
      <c r="G24" s="63" t="s">
        <v>308</v>
      </c>
      <c r="H24" s="61">
        <v>5</v>
      </c>
      <c r="I24" s="48" t="s">
        <v>220</v>
      </c>
      <c r="J24" s="48" t="s">
        <v>233</v>
      </c>
      <c r="K24" s="48" t="s">
        <v>309</v>
      </c>
      <c r="L24" s="48" t="s">
        <v>310</v>
      </c>
      <c r="M24" s="48" t="s">
        <v>310</v>
      </c>
      <c r="N24" s="48" t="s">
        <v>310</v>
      </c>
    </row>
    <row r="25" spans="2:14" s="42" customFormat="1" ht="341" outlineLevel="1">
      <c r="B25" s="139"/>
      <c r="C25" s="152"/>
      <c r="D25" s="158" t="s">
        <v>311</v>
      </c>
      <c r="E25" s="159"/>
      <c r="F25" s="69" t="s">
        <v>312</v>
      </c>
      <c r="G25" s="63" t="s">
        <v>313</v>
      </c>
      <c r="H25" s="61">
        <v>5</v>
      </c>
      <c r="I25" s="48" t="s">
        <v>220</v>
      </c>
      <c r="J25" s="48" t="s">
        <v>314</v>
      </c>
      <c r="K25" s="48" t="s">
        <v>315</v>
      </c>
      <c r="L25" s="48" t="s">
        <v>316</v>
      </c>
      <c r="M25" s="48" t="s">
        <v>317</v>
      </c>
      <c r="N25" s="48" t="s">
        <v>318</v>
      </c>
    </row>
    <row r="26" spans="2:14" s="42" customFormat="1" ht="409.5" outlineLevel="1">
      <c r="B26" s="139"/>
      <c r="C26" s="151"/>
      <c r="D26" s="153"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39"/>
      <c r="C27" s="151"/>
      <c r="D27" s="161"/>
      <c r="E27" s="63" t="s">
        <v>327</v>
      </c>
      <c r="F27" s="63" t="s">
        <v>328</v>
      </c>
      <c r="G27" s="63" t="s">
        <v>329</v>
      </c>
      <c r="H27" s="61">
        <v>5</v>
      </c>
      <c r="I27" s="48" t="s">
        <v>330</v>
      </c>
      <c r="J27" s="48" t="s">
        <v>331</v>
      </c>
      <c r="K27" s="55" t="s">
        <v>332</v>
      </c>
      <c r="L27" s="55" t="s">
        <v>332</v>
      </c>
      <c r="M27" s="55" t="s">
        <v>333</v>
      </c>
      <c r="N27" s="57" t="s">
        <v>334</v>
      </c>
    </row>
    <row r="28" spans="2:14" s="42" customFormat="1" ht="279" outlineLevel="1">
      <c r="B28" s="139"/>
      <c r="C28" s="151"/>
      <c r="D28" s="155" t="s">
        <v>178</v>
      </c>
      <c r="E28" s="156"/>
      <c r="F28" s="63" t="s">
        <v>335</v>
      </c>
      <c r="G28" s="63" t="s">
        <v>336</v>
      </c>
      <c r="H28" s="61">
        <v>5</v>
      </c>
      <c r="I28" s="48" t="s">
        <v>337</v>
      </c>
      <c r="J28" s="74" t="s">
        <v>338</v>
      </c>
      <c r="K28" s="48" t="s">
        <v>339</v>
      </c>
      <c r="L28" s="48" t="s">
        <v>339</v>
      </c>
      <c r="M28" s="48" t="s">
        <v>340</v>
      </c>
      <c r="N28" s="48" t="s">
        <v>340</v>
      </c>
    </row>
    <row r="29" spans="2:14" s="42" customFormat="1" ht="155" outlineLevel="1">
      <c r="B29" s="139"/>
      <c r="C29" s="150" t="s">
        <v>341</v>
      </c>
      <c r="D29" s="163" t="s">
        <v>180</v>
      </c>
      <c r="E29" s="65" t="s">
        <v>342</v>
      </c>
      <c r="F29" s="46" t="s">
        <v>343</v>
      </c>
      <c r="G29" s="63" t="s">
        <v>344</v>
      </c>
      <c r="H29" s="61">
        <v>5</v>
      </c>
      <c r="I29" s="48" t="s">
        <v>220</v>
      </c>
      <c r="J29" s="48" t="s">
        <v>252</v>
      </c>
      <c r="K29" s="48" t="s">
        <v>345</v>
      </c>
      <c r="L29" s="48" t="s">
        <v>346</v>
      </c>
      <c r="M29" s="48" t="s">
        <v>345</v>
      </c>
      <c r="N29" s="48" t="s">
        <v>346</v>
      </c>
    </row>
    <row r="30" spans="2:14" s="42" customFormat="1" ht="155" outlineLevel="1">
      <c r="B30" s="139"/>
      <c r="C30" s="162"/>
      <c r="D30" s="164"/>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39"/>
      <c r="C31" s="162"/>
      <c r="D31" s="153" t="s">
        <v>351</v>
      </c>
      <c r="E31" s="46" t="s">
        <v>352</v>
      </c>
      <c r="F31" s="46" t="s">
        <v>353</v>
      </c>
      <c r="G31" s="63" t="s">
        <v>354</v>
      </c>
      <c r="H31" s="61">
        <v>5</v>
      </c>
      <c r="I31" s="48" t="s">
        <v>220</v>
      </c>
      <c r="J31" s="49" t="s">
        <v>355</v>
      </c>
      <c r="K31" s="48" t="s">
        <v>356</v>
      </c>
      <c r="L31" s="48" t="s">
        <v>356</v>
      </c>
      <c r="M31" s="48" t="s">
        <v>356</v>
      </c>
      <c r="N31" s="48" t="s">
        <v>356</v>
      </c>
    </row>
    <row r="32" spans="2:14" s="42" customFormat="1" ht="124" outlineLevel="1">
      <c r="B32" s="139"/>
      <c r="C32" s="162"/>
      <c r="D32" s="165"/>
      <c r="E32" s="46" t="s">
        <v>357</v>
      </c>
      <c r="F32" s="46" t="s">
        <v>358</v>
      </c>
      <c r="G32" s="63" t="s">
        <v>359</v>
      </c>
      <c r="H32" s="61">
        <v>4</v>
      </c>
      <c r="I32" s="48" t="s">
        <v>220</v>
      </c>
      <c r="J32" s="48" t="s">
        <v>360</v>
      </c>
      <c r="K32" s="55" t="s">
        <v>361</v>
      </c>
      <c r="L32" s="55" t="s">
        <v>361</v>
      </c>
      <c r="M32" s="55" t="s">
        <v>361</v>
      </c>
      <c r="N32" s="68" t="s">
        <v>361</v>
      </c>
    </row>
    <row r="33" spans="1:14" s="42" customFormat="1" ht="77.5" outlineLevel="1">
      <c r="B33" s="139"/>
      <c r="C33" s="150" t="s">
        <v>362</v>
      </c>
      <c r="D33" s="140"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39"/>
      <c r="C34" s="151"/>
      <c r="D34" s="166"/>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39"/>
      <c r="C35" s="151"/>
      <c r="D35" s="154"/>
      <c r="E35" s="46" t="s">
        <v>378</v>
      </c>
      <c r="F35" s="66" t="s">
        <v>379</v>
      </c>
      <c r="G35" s="63" t="s">
        <v>380</v>
      </c>
      <c r="H35" s="54">
        <v>4</v>
      </c>
      <c r="I35" s="48" t="s">
        <v>220</v>
      </c>
      <c r="J35" s="48" t="s">
        <v>381</v>
      </c>
      <c r="K35" s="67" t="s">
        <v>382</v>
      </c>
      <c r="L35" s="67" t="s">
        <v>383</v>
      </c>
      <c r="M35" s="67" t="s">
        <v>384</v>
      </c>
      <c r="N35" s="67" t="s">
        <v>385</v>
      </c>
    </row>
    <row r="36" spans="1:14" s="42" customFormat="1" ht="170.5" outlineLevel="1">
      <c r="B36" s="139"/>
      <c r="C36" s="151"/>
      <c r="D36" s="140"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39"/>
      <c r="C37" s="151"/>
      <c r="D37" s="154"/>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39"/>
      <c r="C38" s="151"/>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2025-03-03T04:27:03Z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