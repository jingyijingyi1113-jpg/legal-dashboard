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665E12BE-4AEA-4C97-9DC7-13E22FCE7D8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 l="1"/>
  <c r="G37" i="1"/>
</calcChain>
</file>

<file path=xl/sharedStrings.xml><?xml version="1.0" encoding="utf-8"?>
<sst xmlns="http://schemas.openxmlformats.org/spreadsheetml/2006/main" count="699" uniqueCount="442">
  <si>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</si>
  <si>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</si>
  <si>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</si>
  <si>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</si>
  <si>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</si>
  <si>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</si>
  <si>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</si>
  <si>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</si>
  <si>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</si>
  <si>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</si>
  <si>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</si>
  <si>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</si>
  <si>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</si>
  <si>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</si>
  <si>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</si>
  <si>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</si>
  <si>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</si>
  <si>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</si>
  <si>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</si>
  <si>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</si>
  <si>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</si>
  <si>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</si>
  <si>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</si>
  <si>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</si>
  <si>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</si>
  <si>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</si>
  <si>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</si>
  <si>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</si>
  <si>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</si>
  <si>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</si>
  <si>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</si>
  <si>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</si>
  <si>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</si>
  <si>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</si>
  <si>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</si>
  <si>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</si>
  <si>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</si>
  <si>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</si>
  <si>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</si>
  <si>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</si>
  <si>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</si>
  <si>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</si>
  <si>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</si>
  <si>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</si>
  <si>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</si>
  <si>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</si>
  <si>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</si>
  <si>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</si>
  <si>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</si>
  <si>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</si>
  <si>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</si>
  <si>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</si>
  <si>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</si>
  <si>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</si>
  <si>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</si>
  <si>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</si>
  <si>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</si>
  <si>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</si>
  <si>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</si>
  <si>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</si>
  <si>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</si>
  <si>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</si>
  <si>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</si>
  <si>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</si>
  <si>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</si>
  <si>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</si>
  <si>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</si>
  <si>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</si>
  <si>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</si>
  <si>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</si>
  <si>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</si>
  <si>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</si>
  <si>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</si>
  <si>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</si>
  <si>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</si>
  <si>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</si>
  <si>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</si>
  <si>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</si>
  <si>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</si>
  <si>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</si>
  <si>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</si>
  <si>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</si>
  <si>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</si>
  <si>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</si>
  <si>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</si>
  <si>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</si>
  <si>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</si>
  <si>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</si>
  <si>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</si>
  <si>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</si>
  <si>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</si>
  <si>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</si>
  <si>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</si>
  <si>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</si>
  <si>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</si>
  <si>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</si>
  <si>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</si>
  <si>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</si>
  <si>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</si>
  <si>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</si>
  <si>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</si>
  <si>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</si>
  <si>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</si>
  <si>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</si>
  <si>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</si>
  <si>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</si>
  <si>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</si>
  <si>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</si>
  <si>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</si>
  <si>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</si>
  <si>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</si>
  <si>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</si>
  <si>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</si>
  <si>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</si>
  <si>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</si>
  <si>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</si>
  <si>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</si>
  <si>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</si>
  <si>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</si>
  <si>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</si>
  <si>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</si>
  <si>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</si>
  <si>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</si>
  <si>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</si>
  <si>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</si>
  <si>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</si>
  <si>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</si>
  <si>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</si>
  <si>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</si>
  <si>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</si>
  <si>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</si>
  <si>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</si>
  <si>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</si>
  <si>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</si>
  <si>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</si>
  <si>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</si>
  <si>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</si>
  <si>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</si>
  <si>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</si>
  <si>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</si>
  <si>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</si>
  <si>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</si>
  <si>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</si>
  <si>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</si>
  <si>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</si>
  <si>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</si>
  <si>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</si>
  <si>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</si>
  <si>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</si>
  <si>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</si>
  <si>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</si>
  <si>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</si>
  <si>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</si>
  <si>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</si>
  <si>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</si>
  <si>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</si>
  <si>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</si>
  <si>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</si>
  <si>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</si>
  <si>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</si>
  <si>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</si>
  <si>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</si>
  <si>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</si>
  <si>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</si>
  <si>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</si>
  <si>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</si>
  <si>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</si>
  <si>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</si>
  <si>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</si>
  <si>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</si>
  <si>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</si>
  <si>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</si>
  <si>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</si>
  <si>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</si>
  <si>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</si>
  <si>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</si>
  <si>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</si>
  <si>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</si>
  <si>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</si>
  <si>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</si>
  <si>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</si>
  <si>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</si>
  <si>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</si>
  <si>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</si>
  <si>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</si>
  <si>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</si>
  <si>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</si>
  <si>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</si>
  <si>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</si>
  <si>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</si>
  <si>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</si>
  <si>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</si>
  <si>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</si>
  <si>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</si>
  <si>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</si>
  <si>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</si>
  <si>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</si>
  <si>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</si>
  <si>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</si>
  <si>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</si>
  <si>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</si>
  <si>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</si>
  <si>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</si>
  <si>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</si>
  <si>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</si>
  <si>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</si>
  <si>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</si>
  <si>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</si>
  <si>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</si>
  <si>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</si>
  <si>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</si>
  <si>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</si>
  <si>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</si>
  <si>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</si>
  <si>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</si>
  <si>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</si>
  <si>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</si>
  <si>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</si>
  <si>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</si>
  <si>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</si>
  <si>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</si>
  <si>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</si>
  <si>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</si>
  <si>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</si>
  <si>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</si>
  <si>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</si>
  <si>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</si>
  <si>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</si>
  <si>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</si>
  <si>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</si>
  <si>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</si>
  <si>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</si>
  <si>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</si>
  <si>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</si>
  <si>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</si>
  <si>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</si>
  <si>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</si>
  <si>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</si>
  <si>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</si>
  <si>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</si>
  <si>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</si>
  <si>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</si>
  <si>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</si>
  <si>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</si>
  <si>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</si>
  <si>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</si>
  <si>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</si>
  <si>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</si>
  <si>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</si>
  <si>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</si>
  <si>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</si>
  <si>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</si>
  <si>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</si>
  <si>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</si>
  <si>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</si>
  <si>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</si>
  <si>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</si>
  <si>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</si>
  <si>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</si>
  <si>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</si>
  <si>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</si>
  <si>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</si>
  <si>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</si>
  <si>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</si>
  <si>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</si>
  <si>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</si>
  <si>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</si>
  <si>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</si>
  <si>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</si>
  <si>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</si>
  <si>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</si>
  <si>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</si>
  <si>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</si>
  <si>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</si>
  <si>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</si>
  <si>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</si>
  <si>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</si>
  <si>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</si>
  <si>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</si>
  <si>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</si>
  <si>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</si>
  <si>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</si>
  <si>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</si>
  <si>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</si>
  <si>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</si>
  <si>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</si>
  <si>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</si>
  <si>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</si>
  <si>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</si>
  <si>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</si>
  <si>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</si>
  <si>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</si>
  <si>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</si>
  <si>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</si>
  <si>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</si>
  <si>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</si>
  <si>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</si>
  <si>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</si>
  <si>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</si>
  <si>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</si>
  <si>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</si>
  <si>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</si>
  <si>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</si>
  <si>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</si>
  <si>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</si>
  <si>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</si>
  <si>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</si>
  <si>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</si>
  <si>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</si>
  <si>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</si>
  <si>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</si>
  <si>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</si>
  <si>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</si>
  <si>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</si>
  <si>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</si>
  <si>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</si>
  <si>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</si>
  <si>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</si>
  <si>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</si>
  <si>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</si>
  <si>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</si>
  <si>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</si>
  <si>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</si>
  <si>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</si>
  <si>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</si>
  <si>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</si>
  <si>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</si>
  <si>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</si>
  <si>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</si>
  <si>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</si>
  <si>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</si>
  <si>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</si>
  <si>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</si>
  <si>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</si>
  <si>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</si>
  <si>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</si>
  <si>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</si>
  <si>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</si>
  <si>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</si>
  <si>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</si>
  <si>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</si>
  <si>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</si>
  <si>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</si>
  <si>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</si>
  <si>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</si>
  <si>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</si>
  <si>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</si>
  <si>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</si>
  <si>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</si>
  <si>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</si>
  <si>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</si>
  <si>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</si>
  <si>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</si>
  <si>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</si>
  <si>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</si>
  <si>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</si>
  <si>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</si>
  <si>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</si>
  <si>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</si>
  <si>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</si>
  <si>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</si>
  <si>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</si>
  <si>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</si>
  <si>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</si>
  <si>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</si>
  <si>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</si>
  <si>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</si>
  <si>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</si>
  <si>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</si>
  <si>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</si>
  <si>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</si>
  <si>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</si>
  <si>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</si>
  <si>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</si>
  <si>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</si>
  <si>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</si>
  <si>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</si>
  <si>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</si>
  <si>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</si>
  <si>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</si>
  <si>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</si>
  <si>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</si>
  <si>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</si>
  <si>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</si>
  <si>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</si>
  <si>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</si>
  <si>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</si>
  <si>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</si>
  <si>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</si>
  <si>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</si>
  <si>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</si>
  <si>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</si>
  <si>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</si>
  <si>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</si>
  <si>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</si>
  <si>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</si>
  <si>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</si>
  <si>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</si>
  <si>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</si>
  <si>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</si>
  <si>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</si>
  <si>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</si>
  <si>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</si>
  <si>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</si>
  <si>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</si>
  <si>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</si>
  <si>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</si>
  <si>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</si>
  <si>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</si>
  <si>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</si>
  <si>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</si>
  <si>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</si>
  <si>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</si>
  <si>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</si>
  <si>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</si>
  <si>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Discussions with Daniel re. Supercell board meetings, make arrangements, message Chris re. zoom, Review scripts and board materials</t>
  </si>
  <si>
    <t>Review revised assignment agreements and debt to equity conversions, discuss with Anderson</t>
  </si>
  <si>
    <t>Review Comsec's queries on FuSure handover lists and respond</t>
  </si>
  <si>
    <t>sallycheung</t>
  </si>
  <si>
    <t>discuss with HSBC on the custodian agreement terms</t>
  </si>
  <si>
    <t>Revise liquidator letter for Kim</t>
  </si>
  <si>
    <t>response to Terry re secondment, laisie with Austor re. changes to budget and timesheets</t>
  </si>
  <si>
    <t>review Aus corporate documents re. promissory notes</t>
  </si>
  <si>
    <t xml:space="preserve">discuss with Maria re. new </t>
  </si>
  <si>
    <t>discuss with Treasury re. issues list and discuss with Stephen re. next steps</t>
  </si>
  <si>
    <t>emails to PwC re. competency statement, email to VB</t>
  </si>
  <si>
    <t>review structure chart request</t>
  </si>
  <si>
    <t>review new BSC requirements and circulate to team leads</t>
  </si>
  <si>
    <t xml:space="preserve">reviewed DPW draft release documents, discuss with treasury on circulation, discuss with Finance team re. fees, emails to DPW re. drafts, reviewed draft DDA letters for banks to debit directly from our accounts, reviewed prof investor form for Vivian, </t>
  </si>
  <si>
    <t>discussions with mariati on new arrangements, backdating and signing off on drafts, discussions with Liz on RP sign off and ask mariati to produce a list of entities and directors</t>
  </si>
  <si>
    <t>translation for board reporting</t>
  </si>
  <si>
    <t>review Comsec queries re wphk BR changes, discuss with Yan re. comments, review account opening forms for TCH PI and discuss with Christy on the legal recommendations, discuss with Puipui on the trading account</t>
  </si>
  <si>
    <t>respond to Yuntong re. definition of US affiliate in the Commodity guideline</t>
  </si>
  <si>
    <t>AL/SL/Other Leave on 12/2 and 13/2</t>
  </si>
  <si>
    <t>Review revised DDA letter, legal analysis into the Germany subordination point, advise treasury</t>
  </si>
  <si>
    <t>management meeting</t>
  </si>
  <si>
    <t>review completed BSC table, discuss with team members on their summaries, review revised stats for reporting purposes, reach out to team leads</t>
  </si>
  <si>
    <t>review PwC documents on s70 review, circulate to the wider group</t>
  </si>
  <si>
    <t>comsec queries, review Puipui's revised BR</t>
  </si>
  <si>
    <t>bills and timesheets</t>
  </si>
  <si>
    <t>matter reporting graphs and discussions with team members, revise timesheet template</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</si>
  <si>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10 - </t>
    </r>
    <r>
      <rPr>
        <b/>
        <sz val="10"/>
        <color theme="0"/>
        <rFont val="新細明體"/>
        <family val="2"/>
        <scheme val="minor"/>
      </rPr>
      <t>2025 - 02 - 16</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</si>
</sst>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77"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zoomScale="90" zoomScaleNormal="90" workbookViewId="0">
      <selection activeCell="Q5" sqref="Q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95" t="s">
        <v>0</v>
      </c>
      <c r="C1" s="96"/>
      <c r="D1" s="96"/>
      <c r="E1" s="96"/>
      <c r="F1" s="96"/>
      <c r="G1" s="96"/>
      <c r="H1" s="96"/>
      <c r="I1" s="96"/>
    </row>
    <row r="2" spans="1:11" ht="17">
      <c r="B2" s="97"/>
      <c r="C2" s="98"/>
      <c r="D2" s="98"/>
      <c r="E2" s="98"/>
      <c r="F2" s="98"/>
      <c r="G2" s="98"/>
      <c r="H2" s="98"/>
      <c r="I2" s="32" t="s">
        <v>441</v>
      </c>
    </row>
    <row r="3" spans="1:11">
      <c r="B3" s="22" t="s">
        <v>1</v>
      </c>
      <c r="C3" s="23" t="s">
        <v>2</v>
      </c>
      <c r="D3" s="23" t="s">
        <v>3</v>
      </c>
      <c r="E3" s="23" t="s">
        <v>4</v>
      </c>
      <c r="F3" s="23" t="s">
        <v>5</v>
      </c>
      <c r="G3" s="23" t="s">
        <v>6</v>
      </c>
      <c r="H3" s="23" t="s">
        <v>7</v>
      </c>
      <c r="I3" s="33" t="s">
        <v>8</v>
      </c>
    </row>
    <row r="4" spans="1:11">
      <c r="B4" s="22"/>
      <c r="C4" s="23"/>
      <c r="D4" s="23"/>
      <c r="E4" s="23"/>
      <c r="F4" s="23"/>
      <c r="G4" s="23"/>
      <c r="H4" s="23"/>
      <c r="I4" s="33"/>
    </row>
    <row r="5" spans="1:11" s="21" customFormat="1" ht="294" customHeight="1">
      <c r="A5" s="24" t="s">
        <v>9</v>
      </c>
      <c r="B5" s="25" t="s">
        <v>10</v>
      </c>
      <c r="C5" s="26" t="s">
        <v>11</v>
      </c>
      <c r="D5" s="26" t="s">
        <v>12</v>
      </c>
      <c r="E5" s="26" t="s">
        <v>414</v>
      </c>
      <c r="F5" s="26" t="s">
        <v>13</v>
      </c>
      <c r="G5" s="26" t="s">
        <v>14</v>
      </c>
      <c r="H5" s="26" t="s">
        <v>15</v>
      </c>
      <c r="I5" s="34" t="s">
        <v>16</v>
      </c>
    </row>
    <row r="6" spans="1:11" s="21" customFormat="1" ht="40.5">
      <c r="B6" s="27" t="s">
        <v>418</v>
      </c>
      <c r="C6" s="28" t="s">
        <v>45</v>
      </c>
      <c r="D6" s="29" t="s">
        <v>48</v>
      </c>
      <c r="E6" s="29" t="s">
        <v>30</v>
      </c>
      <c r="F6" s="28" t="s">
        <v>169</v>
      </c>
      <c r="G6" s="30">
        <v>2.9</v>
      </c>
      <c r="H6" s="28" t="s">
        <v>27</v>
      </c>
      <c r="I6" s="35" t="s">
        <v>415</v>
      </c>
    </row>
    <row r="7" spans="1:11" s="21" customFormat="1" ht="27">
      <c r="B7" s="27" t="s">
        <v>418</v>
      </c>
      <c r="C7" s="28" t="s">
        <v>45</v>
      </c>
      <c r="D7" s="29" t="s">
        <v>59</v>
      </c>
      <c r="E7" s="29" t="s">
        <v>30</v>
      </c>
      <c r="F7" s="28" t="s">
        <v>35</v>
      </c>
      <c r="G7" s="30">
        <v>0.8</v>
      </c>
      <c r="H7" s="28" t="s">
        <v>153</v>
      </c>
      <c r="I7" s="35" t="s">
        <v>416</v>
      </c>
    </row>
    <row r="8" spans="1:11" s="21" customFormat="1" ht="40.5">
      <c r="B8" s="27" t="s">
        <v>418</v>
      </c>
      <c r="C8" s="28" t="s">
        <v>22</v>
      </c>
      <c r="D8" s="29" t="s">
        <v>49</v>
      </c>
      <c r="E8" s="29" t="s">
        <v>30</v>
      </c>
      <c r="F8" s="28" t="s">
        <v>177</v>
      </c>
      <c r="G8" s="30">
        <v>0.5</v>
      </c>
      <c r="H8" s="28" t="s">
        <v>27</v>
      </c>
      <c r="I8" s="35" t="s">
        <v>417</v>
      </c>
    </row>
    <row r="9" spans="1:11" s="21" customFormat="1" ht="13.5">
      <c r="B9" s="27" t="s">
        <v>418</v>
      </c>
      <c r="C9" s="28" t="s">
        <v>46</v>
      </c>
      <c r="D9" s="29" t="s">
        <v>53</v>
      </c>
      <c r="E9" s="29" t="s">
        <v>30</v>
      </c>
      <c r="F9" s="28" t="s">
        <v>35</v>
      </c>
      <c r="G9" s="30">
        <v>0.9</v>
      </c>
      <c r="H9" s="28" t="s">
        <v>154</v>
      </c>
      <c r="I9" s="35" t="s">
        <v>419</v>
      </c>
    </row>
    <row r="10" spans="1:11" s="21" customFormat="1" ht="40.5">
      <c r="B10" s="27" t="s">
        <v>418</v>
      </c>
      <c r="C10" s="28" t="s">
        <v>45</v>
      </c>
      <c r="D10" s="29" t="s">
        <v>52</v>
      </c>
      <c r="E10" s="29" t="s">
        <v>30</v>
      </c>
      <c r="F10" s="28" t="s">
        <v>169</v>
      </c>
      <c r="G10" s="30">
        <v>0.7</v>
      </c>
      <c r="H10" s="28" t="s">
        <v>153</v>
      </c>
      <c r="I10" s="35" t="s">
        <v>420</v>
      </c>
      <c r="K10" s="94"/>
    </row>
    <row r="11" spans="1:11" s="21" customFormat="1" ht="40.5">
      <c r="B11" s="27" t="s">
        <v>418</v>
      </c>
      <c r="C11" s="28" t="s">
        <v>45</v>
      </c>
      <c r="D11" s="29" t="s">
        <v>49</v>
      </c>
      <c r="E11" s="29" t="s">
        <v>30</v>
      </c>
      <c r="F11" s="28" t="s">
        <v>169</v>
      </c>
      <c r="G11" s="30">
        <v>0.8</v>
      </c>
      <c r="H11" s="28" t="s">
        <v>153</v>
      </c>
      <c r="I11" s="35" t="s">
        <v>422</v>
      </c>
      <c r="K11" s="94"/>
    </row>
    <row r="12" spans="1:11" s="21" customFormat="1" ht="27">
      <c r="B12" s="27" t="s">
        <v>418</v>
      </c>
      <c r="C12" s="28" t="s">
        <v>28</v>
      </c>
      <c r="D12" s="29" t="s">
        <v>31</v>
      </c>
      <c r="E12" s="29" t="s">
        <v>34</v>
      </c>
      <c r="F12" s="28" t="s">
        <v>42</v>
      </c>
      <c r="G12" s="30">
        <v>0.5</v>
      </c>
      <c r="H12" s="28" t="s">
        <v>27</v>
      </c>
      <c r="I12" s="35" t="s">
        <v>421</v>
      </c>
    </row>
    <row r="13" spans="1:11" s="21" customFormat="1" ht="13.5">
      <c r="B13" s="27" t="s">
        <v>418</v>
      </c>
      <c r="C13" s="28"/>
      <c r="D13" s="29"/>
      <c r="E13" s="29"/>
      <c r="F13" s="28"/>
      <c r="G13" s="30"/>
      <c r="H13" s="28"/>
      <c r="I13" s="35"/>
      <c r="K13" s="94"/>
    </row>
    <row r="14" spans="1:11" s="21" customFormat="1" ht="27">
      <c r="B14" s="27" t="s">
        <v>418</v>
      </c>
      <c r="C14" s="28" t="s">
        <v>46</v>
      </c>
      <c r="D14" s="29" t="s">
        <v>59</v>
      </c>
      <c r="E14" s="29" t="s">
        <v>30</v>
      </c>
      <c r="F14" s="28" t="s">
        <v>35</v>
      </c>
      <c r="G14" s="30">
        <v>0.4</v>
      </c>
      <c r="H14" s="28" t="s">
        <v>27</v>
      </c>
      <c r="I14" s="35" t="s">
        <v>423</v>
      </c>
    </row>
    <row r="15" spans="1:11" s="21" customFormat="1" ht="27">
      <c r="B15" s="27" t="s">
        <v>418</v>
      </c>
      <c r="C15" s="28" t="s">
        <v>46</v>
      </c>
      <c r="D15" s="29" t="s">
        <v>53</v>
      </c>
      <c r="E15" s="29" t="s">
        <v>30</v>
      </c>
      <c r="F15" s="28" t="s">
        <v>35</v>
      </c>
      <c r="G15" s="30">
        <v>1</v>
      </c>
      <c r="H15" s="28" t="s">
        <v>27</v>
      </c>
      <c r="I15" s="35" t="s">
        <v>424</v>
      </c>
    </row>
    <row r="16" spans="1:11" s="21" customFormat="1" ht="13.5">
      <c r="B16" s="27"/>
      <c r="C16" s="28"/>
      <c r="D16" s="29"/>
      <c r="E16" s="29"/>
      <c r="F16" s="28"/>
      <c r="G16" s="30"/>
      <c r="H16" s="28"/>
      <c r="I16" s="35"/>
    </row>
    <row r="17" spans="2:11" s="21" customFormat="1" ht="67.5">
      <c r="B17" s="27" t="s">
        <v>418</v>
      </c>
      <c r="C17" s="28" t="s">
        <v>46</v>
      </c>
      <c r="D17" s="29" t="s">
        <v>53</v>
      </c>
      <c r="E17" s="29" t="s">
        <v>30</v>
      </c>
      <c r="F17" s="28" t="s">
        <v>35</v>
      </c>
      <c r="G17" s="30">
        <v>2.7</v>
      </c>
      <c r="H17" s="28" t="s">
        <v>153</v>
      </c>
      <c r="I17" s="35" t="s">
        <v>428</v>
      </c>
    </row>
    <row r="18" spans="2:11" s="21" customFormat="1" ht="54">
      <c r="B18" s="27" t="s">
        <v>418</v>
      </c>
      <c r="C18" s="28" t="s">
        <v>46</v>
      </c>
      <c r="D18" s="29" t="s">
        <v>59</v>
      </c>
      <c r="E18" s="29" t="s">
        <v>30</v>
      </c>
      <c r="F18" s="28" t="s">
        <v>35</v>
      </c>
      <c r="G18" s="30">
        <v>1.5</v>
      </c>
      <c r="H18" s="28" t="s">
        <v>27</v>
      </c>
      <c r="I18" s="35" t="s">
        <v>429</v>
      </c>
    </row>
    <row r="19" spans="2:11" s="21" customFormat="1" ht="40.5">
      <c r="B19" s="27" t="s">
        <v>418</v>
      </c>
      <c r="C19" s="28" t="s">
        <v>22</v>
      </c>
      <c r="D19" s="29" t="s">
        <v>62</v>
      </c>
      <c r="E19" s="29" t="s">
        <v>30</v>
      </c>
      <c r="F19" s="28" t="s">
        <v>177</v>
      </c>
      <c r="G19" s="30">
        <v>0.7</v>
      </c>
      <c r="H19" s="28" t="s">
        <v>27</v>
      </c>
      <c r="I19" s="35" t="s">
        <v>425</v>
      </c>
    </row>
    <row r="20" spans="2:11" s="21" customFormat="1" ht="40.5">
      <c r="B20" s="27" t="s">
        <v>418</v>
      </c>
      <c r="C20" s="28" t="s">
        <v>45</v>
      </c>
      <c r="D20" s="29" t="s">
        <v>49</v>
      </c>
      <c r="E20" s="29" t="s">
        <v>30</v>
      </c>
      <c r="F20" s="28" t="s">
        <v>169</v>
      </c>
      <c r="G20" s="30">
        <v>0.6</v>
      </c>
      <c r="H20" s="28" t="s">
        <v>27</v>
      </c>
      <c r="I20" s="35" t="s">
        <v>426</v>
      </c>
    </row>
    <row r="21" spans="2:11" s="21" customFormat="1" ht="27">
      <c r="B21" s="27" t="s">
        <v>418</v>
      </c>
      <c r="C21" s="28" t="s">
        <v>28</v>
      </c>
      <c r="D21" s="29" t="s">
        <v>31</v>
      </c>
      <c r="E21" s="29" t="s">
        <v>34</v>
      </c>
      <c r="F21" s="28" t="s">
        <v>43</v>
      </c>
      <c r="G21" s="30">
        <v>1.1000000000000001</v>
      </c>
      <c r="H21" s="28" t="s">
        <v>153</v>
      </c>
      <c r="I21" s="35" t="s">
        <v>427</v>
      </c>
    </row>
    <row r="22" spans="2:11" s="21" customFormat="1" ht="67.5">
      <c r="B22" s="27" t="s">
        <v>418</v>
      </c>
      <c r="C22" s="28" t="s">
        <v>45</v>
      </c>
      <c r="D22" s="29" t="s">
        <v>49</v>
      </c>
      <c r="E22" s="29" t="s">
        <v>30</v>
      </c>
      <c r="F22" s="28" t="s">
        <v>169</v>
      </c>
      <c r="G22" s="30">
        <v>1.6</v>
      </c>
      <c r="H22" s="28" t="s">
        <v>27</v>
      </c>
      <c r="I22" s="35" t="s">
        <v>431</v>
      </c>
      <c r="K22" s="94">
        <f>SUM(G6:G22)</f>
        <v>16.7</v>
      </c>
    </row>
    <row r="23" spans="2:11" s="21" customFormat="1" ht="40.5">
      <c r="B23" s="27" t="s">
        <v>418</v>
      </c>
      <c r="C23" s="28" t="s">
        <v>45</v>
      </c>
      <c r="D23" s="29" t="s">
        <v>18</v>
      </c>
      <c r="E23" s="29" t="s">
        <v>30</v>
      </c>
      <c r="F23" s="28" t="s">
        <v>169</v>
      </c>
      <c r="G23" s="30">
        <v>1</v>
      </c>
      <c r="H23" s="28" t="s">
        <v>153</v>
      </c>
      <c r="I23" s="35" t="s">
        <v>430</v>
      </c>
    </row>
    <row r="24" spans="2:11" s="21" customFormat="1" ht="27">
      <c r="B24" s="27" t="s">
        <v>418</v>
      </c>
      <c r="C24" s="28" t="s">
        <v>28</v>
      </c>
      <c r="D24" s="29" t="s">
        <v>31</v>
      </c>
      <c r="E24" s="29" t="s">
        <v>34</v>
      </c>
      <c r="F24" s="28" t="s">
        <v>43</v>
      </c>
      <c r="G24" s="30">
        <v>2.2999999999999998</v>
      </c>
      <c r="H24" s="28" t="s">
        <v>153</v>
      </c>
      <c r="I24" s="35" t="s">
        <v>440</v>
      </c>
    </row>
    <row r="25" spans="2:11" s="21" customFormat="1" ht="40.5">
      <c r="B25" s="27" t="s">
        <v>418</v>
      </c>
      <c r="C25" s="28" t="s">
        <v>45</v>
      </c>
      <c r="D25" s="29" t="s">
        <v>59</v>
      </c>
      <c r="E25" s="29" t="s">
        <v>30</v>
      </c>
      <c r="F25" s="28" t="s">
        <v>169</v>
      </c>
      <c r="G25" s="30">
        <v>0.6</v>
      </c>
      <c r="H25" s="28" t="s">
        <v>27</v>
      </c>
      <c r="I25" s="35" t="s">
        <v>432</v>
      </c>
    </row>
    <row r="26" spans="2:11" s="21" customFormat="1" ht="27">
      <c r="B26" s="27" t="s">
        <v>418</v>
      </c>
      <c r="C26" s="28" t="s">
        <v>46</v>
      </c>
      <c r="D26" s="29" t="s">
        <v>53</v>
      </c>
      <c r="E26" s="29" t="s">
        <v>30</v>
      </c>
      <c r="F26" s="28" t="s">
        <v>35</v>
      </c>
      <c r="G26" s="30">
        <v>1.9</v>
      </c>
      <c r="H26" s="28" t="s">
        <v>153</v>
      </c>
      <c r="I26" s="35" t="s">
        <v>434</v>
      </c>
    </row>
    <row r="27" spans="2:11" s="21" customFormat="1" ht="13.5">
      <c r="B27" s="27" t="s">
        <v>418</v>
      </c>
      <c r="C27" s="28" t="s">
        <v>28</v>
      </c>
      <c r="D27" s="29" t="s">
        <v>31</v>
      </c>
      <c r="E27" s="29" t="s">
        <v>34</v>
      </c>
      <c r="F27" s="28" t="s">
        <v>161</v>
      </c>
      <c r="G27" s="30">
        <v>1.3</v>
      </c>
      <c r="H27" s="28" t="s">
        <v>21</v>
      </c>
      <c r="I27" s="35" t="s">
        <v>435</v>
      </c>
    </row>
    <row r="28" spans="2:11" s="21" customFormat="1" ht="40.5">
      <c r="B28" s="27" t="s">
        <v>418</v>
      </c>
      <c r="C28" s="28" t="s">
        <v>28</v>
      </c>
      <c r="D28" s="29" t="s">
        <v>31</v>
      </c>
      <c r="E28" s="29" t="s">
        <v>34</v>
      </c>
      <c r="F28" s="28" t="s">
        <v>43</v>
      </c>
      <c r="G28" s="30">
        <v>1.4</v>
      </c>
      <c r="H28" s="28" t="s">
        <v>27</v>
      </c>
      <c r="I28" s="35" t="s">
        <v>436</v>
      </c>
    </row>
    <row r="29" spans="2:11" s="21" customFormat="1" ht="40.5">
      <c r="B29" s="27" t="s">
        <v>418</v>
      </c>
      <c r="C29" s="28" t="s">
        <v>22</v>
      </c>
      <c r="D29" s="29" t="s">
        <v>62</v>
      </c>
      <c r="E29" s="29" t="s">
        <v>30</v>
      </c>
      <c r="F29" s="28" t="s">
        <v>177</v>
      </c>
      <c r="G29" s="30">
        <v>0.7</v>
      </c>
      <c r="H29" s="28" t="s">
        <v>153</v>
      </c>
      <c r="I29" s="35" t="s">
        <v>437</v>
      </c>
    </row>
    <row r="30" spans="2:11" s="21" customFormat="1" ht="40.5">
      <c r="B30" s="27" t="s">
        <v>418</v>
      </c>
      <c r="C30" s="28" t="s">
        <v>45</v>
      </c>
      <c r="D30" s="29" t="s">
        <v>49</v>
      </c>
      <c r="E30" s="29" t="s">
        <v>30</v>
      </c>
      <c r="F30" s="28" t="s">
        <v>169</v>
      </c>
      <c r="G30" s="30">
        <v>1.6</v>
      </c>
      <c r="H30" s="28" t="s">
        <v>153</v>
      </c>
      <c r="I30" s="35" t="s">
        <v>438</v>
      </c>
    </row>
    <row r="31" spans="2:11" s="21" customFormat="1" ht="27">
      <c r="B31" s="27" t="s">
        <v>418</v>
      </c>
      <c r="C31" s="28" t="s">
        <v>28</v>
      </c>
      <c r="D31" s="29" t="s">
        <v>31</v>
      </c>
      <c r="E31" s="29" t="s">
        <v>33</v>
      </c>
      <c r="F31" s="28" t="s">
        <v>41</v>
      </c>
      <c r="G31" s="30">
        <v>1.1000000000000001</v>
      </c>
      <c r="H31" s="28" t="s">
        <v>31</v>
      </c>
      <c r="I31" s="35" t="s">
        <v>439</v>
      </c>
    </row>
    <row r="32" spans="2:11"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3.5">
      <c r="B36" s="27"/>
      <c r="C36" s="28"/>
      <c r="D36" s="29"/>
      <c r="E36" s="29"/>
      <c r="F36" s="28"/>
      <c r="G36" s="30"/>
      <c r="H36" s="28"/>
      <c r="I36" s="35"/>
    </row>
    <row r="37" spans="2:9" s="21" customFormat="1" ht="14.5" customHeight="1" thickBot="1">
      <c r="B37" s="99" t="s">
        <v>32</v>
      </c>
      <c r="C37" s="100"/>
      <c r="D37" s="101"/>
      <c r="E37" s="31"/>
      <c r="F37" s="31"/>
      <c r="G37" s="102">
        <f>SUM(G6:G36)</f>
        <v>28.6</v>
      </c>
      <c r="H37" s="103"/>
      <c r="I37" s="104"/>
    </row>
    <row r="40" spans="2:9" ht="29">
      <c r="B40" s="36" t="s">
        <v>162</v>
      </c>
      <c r="C40" s="37" t="s">
        <v>433</v>
      </c>
    </row>
    <row r="41" spans="2:9">
      <c r="C41" s="37"/>
    </row>
  </sheetData>
  <mergeCells count="4">
    <mergeCell ref="B1:I1"/>
    <mergeCell ref="B2:H2"/>
    <mergeCell ref="B37:D37"/>
    <mergeCell ref="G37:I37"/>
  </mergeCells>
  <phoneticPr fontId="18"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allowBlank="1" showInputMessage="1" showErrorMessage="1" xr:uid="{00000000-0002-0000-0000-000007000000}">
          <x14:formula1>
            <xm:f>Tag!$B$2:$E$2</xm:f>
          </x14:formula1>
          <xm:sqref>E6:E36</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2" workbookViewId="0">
      <selection activeCell="D2" sqref="D2:D6"/>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8.5">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02.5">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c r="C4" s="127"/>
      <c r="D4" s="130"/>
      <c r="E4" s="131"/>
      <c r="F4" s="127"/>
      <c r="G4" s="127"/>
      <c r="H4" s="127"/>
      <c r="I4" s="127"/>
      <c r="J4" s="127"/>
      <c r="K4" s="39" t="s">
        <v>73</v>
      </c>
      <c r="L4" s="39" t="s">
        <v>74</v>
      </c>
      <c r="M4" s="39" t="s">
        <v>75</v>
      </c>
      <c r="N4" s="39" t="s">
        <v>76</v>
      </c>
    </row>
    <row r="5" spans="2:14" ht="108.5" outlineLevel="1">
      <c r="C5" s="40" t="s">
        <v>192</v>
      </c>
      <c r="D5" s="136" t="s">
        <v>193</v>
      </c>
      <c r="E5" s="137"/>
      <c r="F5" s="41" t="s">
        <v>194</v>
      </c>
      <c r="G5" s="40" t="s">
        <v>195</v>
      </c>
      <c r="H5" s="40" t="s">
        <v>196</v>
      </c>
      <c r="I5" s="40" t="s">
        <v>197</v>
      </c>
      <c r="J5" s="40" t="s">
        <v>198</v>
      </c>
      <c r="K5" s="138" t="s">
        <v>199</v>
      </c>
      <c r="L5" s="138"/>
      <c r="M5" s="138"/>
      <c r="N5" s="138"/>
    </row>
    <row r="6" spans="2:14" s="42" customFormat="1" ht="201.5" outlineLevel="1">
      <c r="B6" s="139"/>
      <c r="C6" s="140" t="s">
        <v>200</v>
      </c>
      <c r="D6" s="144"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39"/>
      <c r="C7" s="141"/>
      <c r="D7" s="141"/>
      <c r="E7" s="51" t="s">
        <v>208</v>
      </c>
      <c r="F7" s="52" t="s">
        <v>209</v>
      </c>
      <c r="G7" s="46" t="s">
        <v>210</v>
      </c>
      <c r="H7" s="53">
        <v>5</v>
      </c>
      <c r="I7" s="54" t="s">
        <v>211</v>
      </c>
      <c r="J7" s="48" t="s">
        <v>212</v>
      </c>
      <c r="K7" s="55" t="s">
        <v>213</v>
      </c>
      <c r="L7" s="56" t="s">
        <v>207</v>
      </c>
      <c r="M7" s="55" t="s">
        <v>214</v>
      </c>
      <c r="N7" s="57" t="s">
        <v>215</v>
      </c>
    </row>
    <row r="8" spans="2:14" s="42" customFormat="1" ht="217" outlineLevel="1">
      <c r="B8" s="139"/>
      <c r="C8" s="142"/>
      <c r="D8" s="145"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9"/>
      <c r="C9" s="142"/>
      <c r="D9" s="146"/>
      <c r="E9" s="46" t="s">
        <v>223</v>
      </c>
      <c r="F9" s="45" t="s">
        <v>224</v>
      </c>
      <c r="G9" s="58" t="s">
        <v>225</v>
      </c>
      <c r="H9" s="47">
        <v>5</v>
      </c>
      <c r="I9" s="48" t="s">
        <v>220</v>
      </c>
      <c r="J9" s="48" t="s">
        <v>226</v>
      </c>
      <c r="K9" s="58" t="s">
        <v>227</v>
      </c>
      <c r="L9" s="58" t="s">
        <v>228</v>
      </c>
      <c r="M9" s="58" t="s">
        <v>229</v>
      </c>
      <c r="N9" s="57" t="s">
        <v>229</v>
      </c>
    </row>
    <row r="10" spans="2:14" s="42" customFormat="1" ht="77.5" outlineLevel="1">
      <c r="B10" s="139"/>
      <c r="C10" s="141"/>
      <c r="D10" s="147" t="s">
        <v>230</v>
      </c>
      <c r="E10" s="131"/>
      <c r="F10" s="46" t="s">
        <v>231</v>
      </c>
      <c r="G10" s="59" t="s">
        <v>232</v>
      </c>
      <c r="H10" s="54">
        <v>4</v>
      </c>
      <c r="I10" s="48" t="s">
        <v>220</v>
      </c>
      <c r="J10" s="49" t="s">
        <v>233</v>
      </c>
      <c r="K10" s="58" t="s">
        <v>234</v>
      </c>
      <c r="L10" s="58" t="s">
        <v>234</v>
      </c>
      <c r="M10" s="58" t="s">
        <v>234</v>
      </c>
      <c r="N10" s="57" t="s">
        <v>234</v>
      </c>
    </row>
    <row r="11" spans="2:14" s="42" customFormat="1" ht="263.5" outlineLevel="1">
      <c r="B11" s="139"/>
      <c r="C11" s="141"/>
      <c r="D11" s="144" t="s">
        <v>235</v>
      </c>
      <c r="E11" s="137"/>
      <c r="F11" s="46" t="s">
        <v>236</v>
      </c>
      <c r="G11" s="46" t="s">
        <v>237</v>
      </c>
      <c r="H11" s="47">
        <v>5</v>
      </c>
      <c r="I11" s="48" t="s">
        <v>238</v>
      </c>
      <c r="J11" s="48" t="s">
        <v>239</v>
      </c>
      <c r="K11" s="48" t="s">
        <v>240</v>
      </c>
      <c r="L11" s="48" t="s">
        <v>240</v>
      </c>
      <c r="M11" s="48" t="s">
        <v>240</v>
      </c>
      <c r="N11" s="48" t="s">
        <v>240</v>
      </c>
    </row>
    <row r="12" spans="2:14" s="42" customFormat="1" ht="409.5" outlineLevel="1">
      <c r="B12" s="139"/>
      <c r="C12" s="142"/>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2"/>
      <c r="D13" s="148"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3"/>
      <c r="D14" s="149"/>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30"/>
      <c r="D15" s="149"/>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39"/>
      <c r="C16" s="150" t="s">
        <v>259</v>
      </c>
      <c r="D16" s="153"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9"/>
      <c r="C17" s="151"/>
      <c r="D17" s="154"/>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39"/>
      <c r="C18" s="151"/>
      <c r="D18" s="155" t="s">
        <v>170</v>
      </c>
      <c r="E18" s="156"/>
      <c r="F18" s="63" t="s">
        <v>271</v>
      </c>
      <c r="G18" s="63" t="s">
        <v>272</v>
      </c>
      <c r="H18" s="61">
        <v>5</v>
      </c>
      <c r="I18" s="48" t="s">
        <v>273</v>
      </c>
      <c r="J18" s="48" t="s">
        <v>26</v>
      </c>
      <c r="K18" s="55" t="s">
        <v>274</v>
      </c>
      <c r="L18" s="55" t="s">
        <v>275</v>
      </c>
      <c r="M18" s="55" t="s">
        <v>275</v>
      </c>
      <c r="N18" s="57" t="s">
        <v>275</v>
      </c>
    </row>
    <row r="19" spans="2:14" s="42" customFormat="1" ht="155" outlineLevel="1">
      <c r="B19" s="139"/>
      <c r="C19" s="151"/>
      <c r="D19" s="157" t="s">
        <v>172</v>
      </c>
      <c r="E19" s="137"/>
      <c r="F19" s="63" t="s">
        <v>276</v>
      </c>
      <c r="G19" s="46" t="s">
        <v>267</v>
      </c>
      <c r="H19" s="61">
        <v>5</v>
      </c>
      <c r="I19" s="48" t="s">
        <v>277</v>
      </c>
      <c r="J19" s="63" t="s">
        <v>278</v>
      </c>
      <c r="K19" s="55" t="s">
        <v>279</v>
      </c>
      <c r="L19" s="55" t="s">
        <v>279</v>
      </c>
      <c r="M19" s="55" t="s">
        <v>279</v>
      </c>
      <c r="N19" s="68" t="s">
        <v>279</v>
      </c>
    </row>
    <row r="20" spans="2:14" s="42" customFormat="1" ht="93" outlineLevel="1">
      <c r="B20" s="139"/>
      <c r="C20" s="152"/>
      <c r="D20" s="158" t="s">
        <v>174</v>
      </c>
      <c r="E20" s="159"/>
      <c r="F20" s="69" t="s">
        <v>280</v>
      </c>
      <c r="G20" s="63" t="s">
        <v>101</v>
      </c>
      <c r="H20" s="61">
        <v>5</v>
      </c>
      <c r="I20" s="48" t="s">
        <v>281</v>
      </c>
      <c r="J20" s="48" t="s">
        <v>282</v>
      </c>
      <c r="K20" s="55" t="s">
        <v>283</v>
      </c>
      <c r="L20" s="55" t="s">
        <v>284</v>
      </c>
      <c r="M20" s="55" t="s">
        <v>283</v>
      </c>
      <c r="N20" s="57" t="s">
        <v>283</v>
      </c>
    </row>
    <row r="21" spans="2:14" ht="170.5">
      <c r="B21" s="139"/>
      <c r="C21" s="151"/>
      <c r="D21" s="160"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39"/>
      <c r="C22" s="151"/>
      <c r="D22" s="130"/>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39"/>
      <c r="C23" s="150"/>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9"/>
      <c r="C24" s="151"/>
      <c r="D24" s="157" t="s">
        <v>306</v>
      </c>
      <c r="E24" s="129"/>
      <c r="F24" s="63" t="s">
        <v>307</v>
      </c>
      <c r="G24" s="63" t="s">
        <v>308</v>
      </c>
      <c r="H24" s="61">
        <v>5</v>
      </c>
      <c r="I24" s="48" t="s">
        <v>220</v>
      </c>
      <c r="J24" s="48" t="s">
        <v>233</v>
      </c>
      <c r="K24" s="48" t="s">
        <v>309</v>
      </c>
      <c r="L24" s="48" t="s">
        <v>310</v>
      </c>
      <c r="M24" s="48" t="s">
        <v>310</v>
      </c>
      <c r="N24" s="48" t="s">
        <v>310</v>
      </c>
    </row>
    <row r="25" spans="2:14" s="42" customFormat="1" ht="310" outlineLevel="1">
      <c r="B25" s="139"/>
      <c r="C25" s="152"/>
      <c r="D25" s="158" t="s">
        <v>311</v>
      </c>
      <c r="E25" s="159"/>
      <c r="F25" s="69" t="s">
        <v>312</v>
      </c>
      <c r="G25" s="63" t="s">
        <v>313</v>
      </c>
      <c r="H25" s="61">
        <v>5</v>
      </c>
      <c r="I25" s="48" t="s">
        <v>220</v>
      </c>
      <c r="J25" s="48" t="s">
        <v>314</v>
      </c>
      <c r="K25" s="48" t="s">
        <v>315</v>
      </c>
      <c r="L25" s="48" t="s">
        <v>316</v>
      </c>
      <c r="M25" s="48" t="s">
        <v>317</v>
      </c>
      <c r="N25" s="48" t="s">
        <v>318</v>
      </c>
    </row>
    <row r="26" spans="2:14" s="42" customFormat="1" ht="409.5" outlineLevel="1">
      <c r="B26" s="139"/>
      <c r="C26" s="151"/>
      <c r="D26" s="153"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9"/>
      <c r="C27" s="151"/>
      <c r="D27" s="161"/>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39"/>
      <c r="C28" s="151"/>
      <c r="D28" s="155" t="s">
        <v>178</v>
      </c>
      <c r="E28" s="156"/>
      <c r="F28" s="63" t="s">
        <v>335</v>
      </c>
      <c r="G28" s="63" t="s">
        <v>336</v>
      </c>
      <c r="H28" s="61">
        <v>5</v>
      </c>
      <c r="I28" s="48" t="s">
        <v>337</v>
      </c>
      <c r="J28" s="74" t="s">
        <v>338</v>
      </c>
      <c r="K28" s="48" t="s">
        <v>339</v>
      </c>
      <c r="L28" s="48" t="s">
        <v>339</v>
      </c>
      <c r="M28" s="48" t="s">
        <v>340</v>
      </c>
      <c r="N28" s="48" t="s">
        <v>340</v>
      </c>
    </row>
    <row r="29" spans="2:14" s="42" customFormat="1" ht="139.5" outlineLevel="1">
      <c r="B29" s="139"/>
      <c r="C29" s="150" t="s">
        <v>341</v>
      </c>
      <c r="D29" s="163"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39"/>
      <c r="C30" s="162"/>
      <c r="D30" s="164"/>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9"/>
      <c r="C31" s="162"/>
      <c r="D31" s="153"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39"/>
      <c r="C32" s="162"/>
      <c r="D32" s="165"/>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39"/>
      <c r="C33" s="150" t="s">
        <v>362</v>
      </c>
      <c r="D33" s="140"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9"/>
      <c r="C34" s="151"/>
      <c r="D34" s="166"/>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9"/>
      <c r="C35" s="151"/>
      <c r="D35" s="154"/>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39"/>
      <c r="C36" s="151"/>
      <c r="D36" s="140"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9"/>
      <c r="C37" s="151"/>
      <c r="D37" s="154"/>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9"/>
      <c r="C38" s="151"/>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2025-02-25T10:00:44Z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