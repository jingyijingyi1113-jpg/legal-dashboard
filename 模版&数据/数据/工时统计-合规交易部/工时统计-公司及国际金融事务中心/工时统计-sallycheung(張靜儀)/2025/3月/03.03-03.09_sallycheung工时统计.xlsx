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A43B5A2A-9F36-4B52-98BB-6A6E05C9A46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<sst xmlns="http://schemas.openxmlformats.org/spreadsheetml/2006/main" count="636" uniqueCount="369">
  <si>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</si>
  <si>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</si>
  <si>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</si>
  <si>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</si>
  <si>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</si>
  <si>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</si>
  <si>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</si>
  <si>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</si>
  <si>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</si>
  <si>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</si>
  <si>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</si>
  <si>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</si>
  <si>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</si>
  <si>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</si>
  <si>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</si>
  <si>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</si>
  <si>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</si>
  <si>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</si>
  <si>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</si>
  <si>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</si>
  <si>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</si>
  <si>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</si>
  <si>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</si>
  <si>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</si>
  <si>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</si>
  <si>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</si>
  <si>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</si>
  <si>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</si>
  <si>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</si>
  <si>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</si>
  <si>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</si>
  <si>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</si>
  <si>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</si>
  <si>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</si>
  <si>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</si>
  <si>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</si>
  <si>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</si>
  <si>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</si>
  <si>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</si>
  <si>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</si>
  <si>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</si>
  <si>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</si>
  <si>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</si>
  <si>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</si>
  <si>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</si>
  <si>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</si>
  <si>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</si>
  <si>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</si>
  <si>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</si>
  <si>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</si>
  <si>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</si>
  <si>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</si>
  <si>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</si>
  <si>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</si>
  <si>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</si>
  <si>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</si>
  <si>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</si>
  <si>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</si>
  <si>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</si>
  <si>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</si>
  <si>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</si>
  <si>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</si>
  <si>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</si>
  <si>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</si>
  <si>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</si>
  <si>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</si>
  <si>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</si>
  <si>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</si>
  <si>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</si>
  <si>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</si>
  <si>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</si>
  <si>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</si>
  <si>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</si>
  <si>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</si>
  <si>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</si>
  <si>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</si>
  <si>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</si>
  <si>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</si>
  <si>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</si>
  <si>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</si>
  <si>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</si>
  <si>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</si>
  <si>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</si>
  <si>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</si>
  <si>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</si>
  <si>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</si>
  <si>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</si>
  <si>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</si>
  <si>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</si>
  <si>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</si>
  <si>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</si>
  <si>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</si>
  <si>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</si>
  <si>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</si>
  <si>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</si>
  <si>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</si>
  <si>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</si>
  <si>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</si>
  <si>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</si>
  <si>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</si>
  <si>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</si>
  <si>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</si>
  <si>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</si>
  <si>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</si>
  <si>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</si>
  <si>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</si>
  <si>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</si>
  <si>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</si>
  <si>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</si>
  <si>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</si>
  <si>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</si>
  <si>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</si>
  <si>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</si>
  <si>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</si>
  <si>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</si>
  <si>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</si>
  <si>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</si>
  <si>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</si>
  <si>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</si>
  <si>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</si>
  <si>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</si>
  <si>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</si>
  <si>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</si>
  <si>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</si>
  <si>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</si>
  <si>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</si>
  <si>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</si>
  <si>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</si>
  <si>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</si>
  <si>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</si>
  <si>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</si>
  <si>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</si>
  <si>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</si>
  <si>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</si>
  <si>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</si>
  <si>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</si>
  <si>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</si>
  <si>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</si>
  <si>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</si>
  <si>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</si>
  <si>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</si>
  <si>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</si>
  <si>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</si>
  <si>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</si>
  <si>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</si>
  <si>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</si>
  <si>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</si>
  <si>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</si>
  <si>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</si>
  <si>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</si>
  <si>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</si>
  <si>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</si>
  <si>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</si>
  <si>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</si>
  <si>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</si>
  <si>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</si>
  <si>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</si>
  <si>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</si>
  <si>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</si>
  <si>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</si>
  <si>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</si>
  <si>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</si>
  <si>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</si>
  <si>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</si>
  <si>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</si>
  <si>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</si>
  <si>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</si>
  <si>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</si>
  <si>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</si>
  <si>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</si>
  <si>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</si>
  <si>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</si>
  <si>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</si>
  <si>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</si>
  <si>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</si>
  <si>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</si>
  <si>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</si>
  <si>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</si>
  <si>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</si>
  <si>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</si>
  <si>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</si>
  <si>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</si>
  <si>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</si>
  <si>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</si>
  <si>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</si>
  <si>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</si>
  <si>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</si>
  <si>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</si>
  <si>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</si>
  <si>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</si>
  <si>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</si>
  <si>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</si>
  <si>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</si>
  <si>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</si>
  <si>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</si>
  <si>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</si>
  <si>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</si>
  <si>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</si>
  <si>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</si>
  <si>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</si>
  <si>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</si>
  <si>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</si>
  <si>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</si>
  <si>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</si>
  <si>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</si>
  <si>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</si>
  <si>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</si>
  <si>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</si>
  <si>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</si>
  <si>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</si>
  <si>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</si>
  <si>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</si>
  <si>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</si>
  <si>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</si>
  <si>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</si>
  <si>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</si>
  <si>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</si>
  <si>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</si>
  <si>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</si>
  <si>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</si>
  <si>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</si>
  <si>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</si>
  <si>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</si>
  <si>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</si>
  <si>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</si>
  <si>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</si>
  <si>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</si>
  <si>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</si>
  <si>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</si>
  <si>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</si>
  <si>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</si>
  <si>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</si>
  <si>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</si>
  <si>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</si>
  <si>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</si>
  <si>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</si>
  <si>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</si>
  <si>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</si>
  <si>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</si>
  <si>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</si>
  <si>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</si>
  <si>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</si>
  <si>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</si>
  <si>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</si>
  <si>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</si>
  <si>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</si>
  <si>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</si>
  <si>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</si>
  <si>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</si>
  <si>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</si>
  <si>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</si>
  <si>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</si>
  <si>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</si>
  <si>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</si>
  <si>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</si>
  <si>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</si>
  <si>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</si>
  <si>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</si>
  <si>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</si>
  <si>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</si>
  <si>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</si>
  <si>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</si>
  <si>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</si>
  <si>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</si>
  <si>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</si>
  <si>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</si>
  <si>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</si>
  <si>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</si>
  <si>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</si>
  <si>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</si>
  <si>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</si>
  <si>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</si>
  <si>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</si>
  <si>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</si>
  <si>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</si>
  <si>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</si>
  <si>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</si>
  <si>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</si>
  <si>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</si>
  <si>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</si>
  <si>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</si>
  <si>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</si>
  <si>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</si>
  <si>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</si>
  <si>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</si>
  <si>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</si>
  <si>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</si>
  <si>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</si>
  <si>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</si>
  <si>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</si>
  <si>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</si>
  <si>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</si>
  <si>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</si>
  <si>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</si>
  <si>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</si>
  <si>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</si>
  <si>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</si>
  <si>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</si>
  <si>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</si>
  <si>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</si>
  <si>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</si>
  <si>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</si>
  <si>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</si>
  <si>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</si>
  <si>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</si>
  <si>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</si>
  <si>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</si>
  <si>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</si>
  <si>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</si>
  <si>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</si>
  <si>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</si>
  <si>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</si>
  <si>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</si>
  <si>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</si>
  <si>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</si>
  <si>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</si>
  <si>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</si>
  <si>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</si>
  <si>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</si>
  <si>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</si>
  <si>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</si>
  <si>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</si>
  <si>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</si>
  <si>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</si>
  <si>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</si>
  <si>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</si>
  <si>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</si>
  <si>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</si>
  <si>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</si>
  <si>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</si>
  <si>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</si>
  <si>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</si>
  <si>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</si>
  <si>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</si>
  <si>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</si>
  <si>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</si>
  <si>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</si>
  <si>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</si>
  <si>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</si>
  <si>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 - </t>
    </r>
    <r>
      <rPr>
        <b/>
        <sz val="10"/>
        <color theme="0"/>
        <rFont val="新細明體"/>
        <family val="1"/>
        <charset val="136"/>
      </rPr>
      <t xml:space="preserve">03 </t>
    </r>
    <r>
      <rPr>
        <b/>
        <sz val="10"/>
        <color theme="0"/>
        <rFont val="等线"/>
        <charset val="134"/>
      </rPr>
      <t>-</t>
    </r>
    <r>
      <rPr>
        <b/>
        <sz val="10"/>
        <color theme="0"/>
        <rFont val="新細明體"/>
        <family val="1"/>
        <charset val="136"/>
      </rPr>
      <t xml:space="preserve"> 03 - </t>
    </r>
    <r>
      <rPr>
        <b/>
        <sz val="10"/>
        <color theme="0"/>
        <rFont val="新細明體"/>
        <family val="2"/>
        <scheme val="minor"/>
      </rPr>
      <t>2025 - 03 - 10</t>
    </r>
  </si>
  <si>
    <t>discuss with Elsa re. dissolution of the fund entities, reviewed David's BR on change of registered office</t>
  </si>
  <si>
    <t>discuss with Finance re. liquidation costs for Gfunds, payment in advance and plans to liquidate the GPs</t>
  </si>
  <si>
    <t>sallycheung</t>
  </si>
  <si>
    <t>review Desiree's summary, ask Desiree to ask counsel</t>
  </si>
  <si>
    <t>CTD-0301 国际业务监管应对  International regulatory requests/queries/responses</t>
  </si>
  <si>
    <t>arrange for publication of contracts law training, bills, revise timesheet + table, circulate to team, update team re. biweekly meeting, discuss with Katie re. PPT</t>
  </si>
  <si>
    <t>discuss with Anderson re. Jassy's queries, review of HSBC comments, discussion with Mindy to walk through BNP and HSBC comments, further amend BNPP FA, re. Maria ISDA arrangement, discuss with Siyuan re Yager deferred interest clause</t>
  </si>
  <si>
    <t>discuss with V re. Russian counsel's bank</t>
  </si>
  <si>
    <t>interview</t>
  </si>
  <si>
    <t>ICBC revised FA</t>
  </si>
  <si>
    <t>Gfunds email re. liquidation</t>
  </si>
  <si>
    <t>PPT</t>
  </si>
  <si>
    <t>review BR for Turkey, discussions with Jess, revise BR stemming from discussion</t>
  </si>
  <si>
    <t>provided language to IEGG legal on compounding of interests</t>
  </si>
  <si>
    <t>ppt</t>
  </si>
  <si>
    <t>msg to Vanessa re. Gfunds liquidation</t>
  </si>
  <si>
    <t>review VB board materials</t>
  </si>
  <si>
    <t>review revised BR for POA Turkey, discuss with Desiree re. brand name</t>
  </si>
  <si>
    <t>respond to cloud query re. parent guarantees</t>
  </si>
  <si>
    <t>review audit requirement for Cayman Islands</t>
  </si>
  <si>
    <t>PwC structure chart approval</t>
  </si>
  <si>
    <t>re. account and share charge releases on Concerto, discuss with Amy and Kirstin, email to Claudia re release timing</t>
  </si>
  <si>
    <t>call with GCTSM on the new POA system</t>
  </si>
  <si>
    <t>CPs for HSBC EUR facility, discuss o/s points, email to CC re. SLAA agreement review, email to Karen re. ALA approved licenses, discuss with Vivienne on the ALA point, reviewed BOC termsheet for EUR facility</t>
  </si>
  <si>
    <t>Chat re. PPT</t>
  </si>
  <si>
    <t>review BR for Irisleung re. change of traders, operating manner, discuss with Iris re. changes and her concerns, discuss with Yuntong</t>
  </si>
  <si>
    <t>Discuss re. Concerto release mechanics, meeting with Citic with Anderson re. comments, review draft COI of THL</t>
  </si>
  <si>
    <t>msgs with Queenie re. corporate documents, msg to Comsec re. chops, seal and original share cert of success field</t>
  </si>
  <si>
    <t>email to Claudia re. new notice arrangement, msg Amy re new arrangement, BOC originals, discuss with Weigao, review draft COI of THL, discuss with Weigao re. ICBCA, issue of THL COI, review amendment agreement for Mindy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</si>
</sst>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tabSelected="1" topLeftCell="A21" zoomScaleNormal="95" workbookViewId="0">
      <selection activeCell="H37" sqref="H3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342</v>
      </c>
      <c r="C6" s="9" t="s">
        <v>44</v>
      </c>
      <c r="D6" s="10" t="s">
        <v>51</v>
      </c>
      <c r="E6" s="10" t="s">
        <v>30</v>
      </c>
      <c r="F6" s="9" t="s">
        <v>323</v>
      </c>
      <c r="G6" s="11">
        <v>2.8</v>
      </c>
      <c r="H6" s="9" t="s">
        <v>27</v>
      </c>
      <c r="I6" s="16" t="s">
        <v>346</v>
      </c>
    </row>
    <row r="7" spans="1:9" s="2" customFormat="1" ht="54">
      <c r="B7" s="8" t="s">
        <v>342</v>
      </c>
      <c r="C7" s="9" t="s">
        <v>43</v>
      </c>
      <c r="D7" s="10" t="s">
        <v>47</v>
      </c>
      <c r="E7" s="10" t="s">
        <v>30</v>
      </c>
      <c r="F7" s="9" t="s">
        <v>334</v>
      </c>
      <c r="G7" s="11">
        <v>0.9</v>
      </c>
      <c r="H7" s="9" t="s">
        <v>27</v>
      </c>
      <c r="I7" s="16" t="s">
        <v>340</v>
      </c>
    </row>
    <row r="8" spans="1:9" s="2" customFormat="1" ht="40.5">
      <c r="B8" s="8" t="s">
        <v>342</v>
      </c>
      <c r="C8" s="9" t="s">
        <v>28</v>
      </c>
      <c r="D8" s="10" t="s">
        <v>31</v>
      </c>
      <c r="E8" s="10" t="s">
        <v>34</v>
      </c>
      <c r="F8" s="9" t="s">
        <v>42</v>
      </c>
      <c r="G8" s="11">
        <v>2.2000000000000002</v>
      </c>
      <c r="H8" s="9" t="s">
        <v>31</v>
      </c>
      <c r="I8" s="16" t="s">
        <v>345</v>
      </c>
    </row>
    <row r="9" spans="1:9" s="2" customFormat="1" ht="54">
      <c r="B9" s="8" t="s">
        <v>342</v>
      </c>
      <c r="C9" s="9" t="s">
        <v>43</v>
      </c>
      <c r="D9" s="10" t="s">
        <v>50</v>
      </c>
      <c r="E9" s="10" t="s">
        <v>30</v>
      </c>
      <c r="F9" s="9" t="s">
        <v>334</v>
      </c>
      <c r="G9" s="11">
        <v>0.5</v>
      </c>
      <c r="H9" s="9" t="s">
        <v>27</v>
      </c>
      <c r="I9" s="16" t="s">
        <v>343</v>
      </c>
    </row>
    <row r="10" spans="1:9" s="2" customFormat="1" ht="54">
      <c r="B10" s="8" t="s">
        <v>342</v>
      </c>
      <c r="C10" s="9" t="s">
        <v>43</v>
      </c>
      <c r="D10" s="10" t="s">
        <v>57</v>
      </c>
      <c r="E10" s="10" t="s">
        <v>30</v>
      </c>
      <c r="F10" s="9" t="s">
        <v>334</v>
      </c>
      <c r="G10" s="11">
        <v>1</v>
      </c>
      <c r="H10" s="9" t="s">
        <v>27</v>
      </c>
      <c r="I10" s="16" t="s">
        <v>341</v>
      </c>
    </row>
    <row r="11" spans="1:9" s="2" customFormat="1" ht="40.5">
      <c r="B11" s="8" t="s">
        <v>342</v>
      </c>
      <c r="C11" s="9" t="s">
        <v>45</v>
      </c>
      <c r="D11" s="10" t="s">
        <v>48</v>
      </c>
      <c r="E11" s="10" t="s">
        <v>30</v>
      </c>
      <c r="F11" s="9" t="s">
        <v>344</v>
      </c>
      <c r="G11" s="11">
        <v>0.2</v>
      </c>
      <c r="H11" s="9" t="s">
        <v>27</v>
      </c>
      <c r="I11" s="16" t="s">
        <v>347</v>
      </c>
    </row>
    <row r="12" spans="1:9" s="2" customFormat="1" ht="13.5">
      <c r="B12" s="8" t="s">
        <v>342</v>
      </c>
      <c r="C12" s="9" t="s">
        <v>28</v>
      </c>
      <c r="D12" s="10" t="s">
        <v>31</v>
      </c>
      <c r="E12" s="10" t="s">
        <v>34</v>
      </c>
      <c r="F12" s="9" t="s">
        <v>40</v>
      </c>
      <c r="G12" s="11">
        <v>1.1000000000000001</v>
      </c>
      <c r="H12" s="9" t="s">
        <v>31</v>
      </c>
      <c r="I12" s="16" t="s">
        <v>348</v>
      </c>
    </row>
    <row r="13" spans="1:9" s="2" customFormat="1" ht="27">
      <c r="B13" s="8" t="s">
        <v>342</v>
      </c>
      <c r="C13" s="9" t="s">
        <v>44</v>
      </c>
      <c r="D13" s="10" t="s">
        <v>51</v>
      </c>
      <c r="E13" s="10" t="s">
        <v>30</v>
      </c>
      <c r="F13" s="9" t="s">
        <v>323</v>
      </c>
      <c r="G13" s="11">
        <v>1.3</v>
      </c>
      <c r="H13" s="9" t="s">
        <v>73</v>
      </c>
      <c r="I13" s="16" t="s">
        <v>349</v>
      </c>
    </row>
    <row r="14" spans="1:9" s="2" customFormat="1" ht="54">
      <c r="B14" s="8" t="s">
        <v>342</v>
      </c>
      <c r="C14" s="9" t="s">
        <v>43</v>
      </c>
      <c r="D14" s="10" t="s">
        <v>57</v>
      </c>
      <c r="E14" s="10" t="s">
        <v>30</v>
      </c>
      <c r="F14" s="9" t="s">
        <v>334</v>
      </c>
      <c r="G14" s="11">
        <v>0.2</v>
      </c>
      <c r="H14" s="9" t="s">
        <v>27</v>
      </c>
      <c r="I14" s="16" t="s">
        <v>350</v>
      </c>
    </row>
    <row r="15" spans="1:9" s="2" customFormat="1" ht="27">
      <c r="B15" s="8" t="s">
        <v>342</v>
      </c>
      <c r="C15" s="9" t="s">
        <v>28</v>
      </c>
      <c r="D15" s="10" t="s">
        <v>31</v>
      </c>
      <c r="E15" s="10" t="s">
        <v>34</v>
      </c>
      <c r="F15" s="9" t="s">
        <v>41</v>
      </c>
      <c r="G15" s="11">
        <v>4.7</v>
      </c>
      <c r="H15" s="9" t="s">
        <v>31</v>
      </c>
      <c r="I15" s="16" t="s">
        <v>351</v>
      </c>
    </row>
    <row r="16" spans="1:9" s="2" customFormat="1" ht="40.5">
      <c r="B16" s="8" t="s">
        <v>342</v>
      </c>
      <c r="C16" s="9" t="s">
        <v>44</v>
      </c>
      <c r="D16" s="10" t="s">
        <v>51</v>
      </c>
      <c r="E16" s="10" t="s">
        <v>30</v>
      </c>
      <c r="F16" s="9" t="s">
        <v>323</v>
      </c>
      <c r="G16" s="11">
        <v>2.2000000000000002</v>
      </c>
      <c r="H16" s="9" t="s">
        <v>27</v>
      </c>
      <c r="I16" s="16" t="s">
        <v>366</v>
      </c>
    </row>
    <row r="17" spans="2:9" s="2" customFormat="1" ht="27">
      <c r="B17" s="8" t="s">
        <v>342</v>
      </c>
      <c r="C17" s="9" t="s">
        <v>44</v>
      </c>
      <c r="D17" s="10" t="s">
        <v>53</v>
      </c>
      <c r="E17" s="10" t="s">
        <v>30</v>
      </c>
      <c r="F17" s="9" t="s">
        <v>323</v>
      </c>
      <c r="G17" s="11">
        <v>0.9</v>
      </c>
      <c r="H17" s="9" t="s">
        <v>73</v>
      </c>
      <c r="I17" s="16" t="s">
        <v>353</v>
      </c>
    </row>
    <row r="18" spans="2:9" s="2" customFormat="1" ht="54">
      <c r="B18" s="8" t="s">
        <v>342</v>
      </c>
      <c r="C18" s="9" t="s">
        <v>43</v>
      </c>
      <c r="D18" s="10" t="s">
        <v>50</v>
      </c>
      <c r="E18" s="10" t="s">
        <v>30</v>
      </c>
      <c r="F18" s="9" t="s">
        <v>334</v>
      </c>
      <c r="G18" s="11">
        <v>0.9</v>
      </c>
      <c r="H18" s="9" t="s">
        <v>73</v>
      </c>
      <c r="I18" s="16" t="s">
        <v>352</v>
      </c>
    </row>
    <row r="19" spans="2:9" s="2" customFormat="1" ht="27">
      <c r="B19" s="8" t="s">
        <v>342</v>
      </c>
      <c r="C19" s="9" t="s">
        <v>28</v>
      </c>
      <c r="D19" s="10" t="s">
        <v>31</v>
      </c>
      <c r="E19" s="10" t="s">
        <v>34</v>
      </c>
      <c r="F19" s="9" t="s">
        <v>41</v>
      </c>
      <c r="G19" s="11">
        <v>4</v>
      </c>
      <c r="H19" s="9" t="s">
        <v>31</v>
      </c>
      <c r="I19" s="16" t="s">
        <v>354</v>
      </c>
    </row>
    <row r="20" spans="2:9" s="2" customFormat="1" ht="67.5">
      <c r="B20" s="8" t="s">
        <v>342</v>
      </c>
      <c r="C20" s="9" t="s">
        <v>44</v>
      </c>
      <c r="D20" s="10" t="s">
        <v>51</v>
      </c>
      <c r="E20" s="10" t="s">
        <v>30</v>
      </c>
      <c r="F20" s="9" t="s">
        <v>323</v>
      </c>
      <c r="G20" s="11">
        <v>2.9</v>
      </c>
      <c r="H20" s="9" t="s">
        <v>27</v>
      </c>
      <c r="I20" s="16" t="s">
        <v>368</v>
      </c>
    </row>
    <row r="21" spans="2:9" s="2" customFormat="1" ht="54">
      <c r="B21" s="8" t="s">
        <v>342</v>
      </c>
      <c r="C21" s="9" t="s">
        <v>43</v>
      </c>
      <c r="D21" s="10" t="s">
        <v>57</v>
      </c>
      <c r="E21" s="10" t="s">
        <v>30</v>
      </c>
      <c r="F21" s="9" t="s">
        <v>334</v>
      </c>
      <c r="G21" s="11">
        <v>0.3</v>
      </c>
      <c r="H21" s="9" t="s">
        <v>27</v>
      </c>
      <c r="I21" s="16" t="s">
        <v>355</v>
      </c>
    </row>
    <row r="22" spans="2:9" s="2" customFormat="1" ht="40.5">
      <c r="B22" s="8" t="s">
        <v>342</v>
      </c>
      <c r="C22" s="9" t="s">
        <v>22</v>
      </c>
      <c r="D22" s="10" t="s">
        <v>61</v>
      </c>
      <c r="E22" s="10" t="s">
        <v>30</v>
      </c>
      <c r="F22" s="9" t="s">
        <v>337</v>
      </c>
      <c r="G22" s="11">
        <v>0.3</v>
      </c>
      <c r="H22" s="9" t="s">
        <v>27</v>
      </c>
      <c r="I22" s="16" t="s">
        <v>367</v>
      </c>
    </row>
    <row r="23" spans="2:9" s="2" customFormat="1" ht="40.5">
      <c r="B23" s="8" t="s">
        <v>342</v>
      </c>
      <c r="C23" s="9" t="s">
        <v>22</v>
      </c>
      <c r="D23" s="10" t="s">
        <v>60</v>
      </c>
      <c r="E23" s="10" t="s">
        <v>30</v>
      </c>
      <c r="F23" s="9" t="s">
        <v>337</v>
      </c>
      <c r="G23" s="11">
        <v>0.6</v>
      </c>
      <c r="H23" s="9" t="s">
        <v>73</v>
      </c>
      <c r="I23" s="16" t="s">
        <v>356</v>
      </c>
    </row>
    <row r="24" spans="2:9" s="2" customFormat="1" ht="54">
      <c r="B24" s="8" t="s">
        <v>342</v>
      </c>
      <c r="C24" s="9" t="s">
        <v>43</v>
      </c>
      <c r="D24" s="10" t="s">
        <v>50</v>
      </c>
      <c r="E24" s="10" t="s">
        <v>30</v>
      </c>
      <c r="F24" s="9" t="s">
        <v>334</v>
      </c>
      <c r="G24" s="11">
        <v>0.7</v>
      </c>
      <c r="H24" s="9" t="s">
        <v>73</v>
      </c>
      <c r="I24" s="16" t="s">
        <v>357</v>
      </c>
    </row>
    <row r="25" spans="2:9" s="2" customFormat="1" ht="27">
      <c r="B25" s="8" t="s">
        <v>342</v>
      </c>
      <c r="C25" s="9" t="s">
        <v>28</v>
      </c>
      <c r="D25" s="10" t="s">
        <v>31</v>
      </c>
      <c r="E25" s="10" t="s">
        <v>34</v>
      </c>
      <c r="F25" s="9" t="s">
        <v>41</v>
      </c>
      <c r="G25" s="11">
        <v>4.5999999999999996</v>
      </c>
      <c r="H25" s="9" t="s">
        <v>31</v>
      </c>
      <c r="I25" s="16" t="s">
        <v>351</v>
      </c>
    </row>
    <row r="26" spans="2:9" s="2" customFormat="1" ht="27">
      <c r="B26" s="8" t="s">
        <v>342</v>
      </c>
      <c r="C26" s="9" t="s">
        <v>44</v>
      </c>
      <c r="D26" s="10" t="s">
        <v>52</v>
      </c>
      <c r="E26" s="10" t="s">
        <v>30</v>
      </c>
      <c r="F26" s="9" t="s">
        <v>323</v>
      </c>
      <c r="G26" s="11">
        <v>0.3</v>
      </c>
      <c r="H26" s="9" t="s">
        <v>27</v>
      </c>
      <c r="I26" s="16" t="s">
        <v>358</v>
      </c>
    </row>
    <row r="27" spans="2:9" s="2" customFormat="1" ht="54">
      <c r="B27" s="8" t="s">
        <v>342</v>
      </c>
      <c r="C27" s="9" t="s">
        <v>44</v>
      </c>
      <c r="D27" s="10" t="s">
        <v>51</v>
      </c>
      <c r="E27" s="10" t="s">
        <v>30</v>
      </c>
      <c r="F27" s="9" t="s">
        <v>323</v>
      </c>
      <c r="G27" s="11">
        <v>2.7</v>
      </c>
      <c r="H27" s="9" t="s">
        <v>27</v>
      </c>
      <c r="I27" s="16" t="s">
        <v>363</v>
      </c>
    </row>
    <row r="28" spans="2:9" s="2" customFormat="1" ht="54">
      <c r="B28" s="8" t="s">
        <v>342</v>
      </c>
      <c r="C28" s="9" t="s">
        <v>43</v>
      </c>
      <c r="D28" s="10" t="s">
        <v>48</v>
      </c>
      <c r="E28" s="10" t="s">
        <v>30</v>
      </c>
      <c r="F28" s="9" t="s">
        <v>334</v>
      </c>
      <c r="G28" s="11">
        <v>0.2</v>
      </c>
      <c r="H28" s="9" t="s">
        <v>27</v>
      </c>
      <c r="I28" s="16" t="s">
        <v>360</v>
      </c>
    </row>
    <row r="29" spans="2:9" s="2" customFormat="1" ht="54">
      <c r="B29" s="8" t="s">
        <v>342</v>
      </c>
      <c r="C29" s="9" t="s">
        <v>43</v>
      </c>
      <c r="D29" s="10" t="s">
        <v>47</v>
      </c>
      <c r="E29" s="10" t="s">
        <v>30</v>
      </c>
      <c r="F29" s="9" t="s">
        <v>334</v>
      </c>
      <c r="G29" s="11">
        <v>1.3</v>
      </c>
      <c r="H29" s="9" t="s">
        <v>73</v>
      </c>
      <c r="I29" s="16" t="s">
        <v>365</v>
      </c>
    </row>
    <row r="30" spans="2:9" s="2" customFormat="1" ht="40.5">
      <c r="B30" s="8" t="s">
        <v>342</v>
      </c>
      <c r="C30" s="9" t="s">
        <v>44</v>
      </c>
      <c r="D30" s="10" t="s">
        <v>51</v>
      </c>
      <c r="E30" s="10" t="s">
        <v>30</v>
      </c>
      <c r="F30" s="9" t="s">
        <v>323</v>
      </c>
      <c r="G30" s="11">
        <v>0.9</v>
      </c>
      <c r="H30" s="9" t="s">
        <v>27</v>
      </c>
      <c r="I30" s="16" t="s">
        <v>361</v>
      </c>
    </row>
    <row r="31" spans="2:9" s="2" customFormat="1" ht="54">
      <c r="B31" s="8" t="s">
        <v>342</v>
      </c>
      <c r="C31" s="9" t="s">
        <v>43</v>
      </c>
      <c r="D31" s="10" t="s">
        <v>50</v>
      </c>
      <c r="E31" s="10" t="s">
        <v>30</v>
      </c>
      <c r="F31" s="9" t="s">
        <v>334</v>
      </c>
      <c r="G31" s="11">
        <v>0.6</v>
      </c>
      <c r="H31" s="9" t="s">
        <v>27</v>
      </c>
      <c r="I31" s="16" t="s">
        <v>362</v>
      </c>
    </row>
    <row r="32" spans="2:9" s="2" customFormat="1" ht="27">
      <c r="B32" s="8" t="s">
        <v>342</v>
      </c>
      <c r="C32" s="9" t="s">
        <v>28</v>
      </c>
      <c r="D32" s="10" t="s">
        <v>31</v>
      </c>
      <c r="E32" s="10" t="s">
        <v>34</v>
      </c>
      <c r="F32" s="9" t="s">
        <v>41</v>
      </c>
      <c r="G32" s="11">
        <v>1.4</v>
      </c>
      <c r="H32" s="9" t="s">
        <v>27</v>
      </c>
      <c r="I32" s="16" t="s">
        <v>364</v>
      </c>
    </row>
    <row r="33" spans="2:11" s="2" customFormat="1" ht="54">
      <c r="B33" s="8" t="s">
        <v>342</v>
      </c>
      <c r="C33" s="9" t="s">
        <v>43</v>
      </c>
      <c r="D33" s="10" t="s">
        <v>57</v>
      </c>
      <c r="E33" s="10" t="s">
        <v>30</v>
      </c>
      <c r="F33" s="9" t="s">
        <v>334</v>
      </c>
      <c r="G33" s="11">
        <v>0.4</v>
      </c>
      <c r="H33" s="9" t="s">
        <v>73</v>
      </c>
      <c r="I33" s="16" t="s">
        <v>359</v>
      </c>
    </row>
    <row r="34" spans="2:11" s="2" customFormat="1" ht="13.5">
      <c r="B34" s="8"/>
      <c r="C34" s="9"/>
      <c r="D34" s="10"/>
      <c r="E34" s="10"/>
      <c r="F34" s="9"/>
      <c r="G34" s="11"/>
      <c r="H34" s="9"/>
      <c r="I34" s="16"/>
      <c r="K34" s="75"/>
    </row>
    <row r="35" spans="2:11" s="2" customFormat="1" ht="14.5" customHeight="1">
      <c r="B35" s="80" t="s">
        <v>32</v>
      </c>
      <c r="C35" s="81"/>
      <c r="D35" s="82"/>
      <c r="E35" s="12"/>
      <c r="F35" s="12"/>
      <c r="G35" s="83">
        <f>SUM(G6:G34)</f>
        <v>40.099999999999994</v>
      </c>
      <c r="H35" s="84"/>
      <c r="I35" s="85"/>
    </row>
    <row r="38" spans="2:11">
      <c r="B38" s="17" t="s">
        <v>81</v>
      </c>
      <c r="C38" s="18" t="s">
        <v>331</v>
      </c>
    </row>
    <row r="39" spans="2:11">
      <c r="C39" s="18" t="s">
        <v>332</v>
      </c>
    </row>
  </sheetData>
  <mergeCells count="4">
    <mergeCell ref="B1:I1"/>
    <mergeCell ref="B2:H2"/>
    <mergeCell ref="B35:D35"/>
    <mergeCell ref="G35:I35"/>
  </mergeCells>
  <phoneticPr fontId="10"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D6:D34</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344</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2025-03-31T04:15:43Z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