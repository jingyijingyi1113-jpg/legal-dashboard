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Sally\"/>
    </mc:Choice>
  </mc:AlternateContent>
  <xr:revisionPtr revIDLastSave="0" documentId="13_ncr:1_{031F998D-3874-4C64-B1A2-21D2B70A9371}"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1" l="1"/>
</calcChain>
</file>

<file path=xl/sharedStrings.xml><?xml version="1.0" encoding="utf-8"?>
<sst xmlns="http://schemas.openxmlformats.org/spreadsheetml/2006/main" count="594" uniqueCount="364">
  <si>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</si>
  <si>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</si>
  <si>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</si>
  <si>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</si>
  <si>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</si>
  <si>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</si>
  <si>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</si>
  <si>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</si>
  <si>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</si>
  <si>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</si>
  <si>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</si>
  <si>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</si>
  <si>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</si>
  <si>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</si>
  <si>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</si>
  <si>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</si>
  <si>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</si>
  <si>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</si>
  <si>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</si>
  <si>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</si>
  <si>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</si>
  <si>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</si>
  <si>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</si>
  <si>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</si>
  <si>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</si>
  <si>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</si>
  <si>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</si>
  <si>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</si>
  <si>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</si>
  <si>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</si>
  <si>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</si>
  <si>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</si>
  <si>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</si>
  <si>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</si>
  <si>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</si>
  <si>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</si>
  <si>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</si>
  <si>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</si>
  <si>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</si>
  <si>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</si>
  <si>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</si>
  <si>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</si>
  <si>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</si>
  <si>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</si>
  <si>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</si>
  <si>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</si>
  <si>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</si>
  <si>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</si>
  <si>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</si>
  <si>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</si>
  <si>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</si>
  <si>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</si>
  <si>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</si>
  <si>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</si>
  <si>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</si>
  <si>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</si>
  <si>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</si>
  <si>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</si>
  <si>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</si>
  <si>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</si>
  <si>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</si>
  <si>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</si>
  <si>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</si>
  <si>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</si>
  <si>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</si>
  <si>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</si>
  <si>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</si>
  <si>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</si>
  <si>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</si>
  <si>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</si>
  <si>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</si>
  <si>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</si>
  <si>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</si>
  <si>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</si>
  <si>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</si>
  <si>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</si>
  <si>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</si>
  <si>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</si>
  <si>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</si>
  <si>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</si>
  <si>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</si>
  <si>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</si>
  <si>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</si>
  <si>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</si>
  <si>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</si>
  <si>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</si>
  <si>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</si>
  <si>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</si>
  <si>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</si>
  <si>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</si>
  <si>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</si>
  <si>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</si>
  <si>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</si>
  <si>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</si>
  <si>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</si>
  <si>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</si>
  <si>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</si>
  <si>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</si>
  <si>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</si>
  <si>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</si>
  <si>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</si>
  <si>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</si>
  <si>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</si>
  <si>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</si>
  <si>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</si>
  <si>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</si>
  <si>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</si>
  <si>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</si>
  <si>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</si>
  <si>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</si>
  <si>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</si>
  <si>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</si>
  <si>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</si>
  <si>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</si>
  <si>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</si>
  <si>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</si>
  <si>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</si>
  <si>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</si>
  <si>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</si>
  <si>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</si>
  <si>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</si>
  <si>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</si>
  <si>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</si>
  <si>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</si>
  <si>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</si>
  <si>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</si>
  <si>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</si>
  <si>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</si>
  <si>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</si>
  <si>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</si>
  <si>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</si>
  <si>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</si>
  <si>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</si>
  <si>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</si>
  <si>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</si>
  <si>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</si>
  <si>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</si>
  <si>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</si>
  <si>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</si>
  <si>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</si>
  <si>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</si>
  <si>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</si>
  <si>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</si>
  <si>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</si>
  <si>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</si>
  <si>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</si>
  <si>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</si>
  <si>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</si>
  <si>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</si>
  <si>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</si>
  <si>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</si>
  <si>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</si>
  <si>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</si>
  <si>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</si>
  <si>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</si>
  <si>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</si>
  <si>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</si>
  <si>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</si>
  <si>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</si>
  <si>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</si>
  <si>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</si>
  <si>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</si>
  <si>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</si>
  <si>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</si>
  <si>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</si>
  <si>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</si>
  <si>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</si>
  <si>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</si>
  <si>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</si>
  <si>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</si>
  <si>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</si>
  <si>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</si>
  <si>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</si>
  <si>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</si>
  <si>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</si>
  <si>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</si>
  <si>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</si>
  <si>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</si>
  <si>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</si>
  <si>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</si>
  <si>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</si>
  <si>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</si>
  <si>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</si>
  <si>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</si>
  <si>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</si>
  <si>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</si>
  <si>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</si>
  <si>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</si>
  <si>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</si>
  <si>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</si>
  <si>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</si>
  <si>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</si>
  <si>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</si>
  <si>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</si>
  <si>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</si>
  <si>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</si>
  <si>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</si>
  <si>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</si>
  <si>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</si>
  <si>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</si>
  <si>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</si>
  <si>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</si>
  <si>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</si>
  <si>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</si>
  <si>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</si>
  <si>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</si>
  <si>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</si>
  <si>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</si>
  <si>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</si>
  <si>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</si>
  <si>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</si>
  <si>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</si>
  <si>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</si>
  <si>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</si>
  <si>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</si>
  <si>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</si>
  <si>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</si>
  <si>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</si>
  <si>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</si>
  <si>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</si>
  <si>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</si>
  <si>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</si>
  <si>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</si>
  <si>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</si>
  <si>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</si>
  <si>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</si>
  <si>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</si>
  <si>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</si>
  <si>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</si>
  <si>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</si>
  <si>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</si>
  <si>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</si>
  <si>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</si>
  <si>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</si>
  <si>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</si>
  <si>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</si>
  <si>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</si>
  <si>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</si>
  <si>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</si>
  <si>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</si>
  <si>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</si>
  <si>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</si>
  <si>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</si>
  <si>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</si>
  <si>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</si>
  <si>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</si>
  <si>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</si>
  <si>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</si>
  <si>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</si>
  <si>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</si>
  <si>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</si>
  <si>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</si>
  <si>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</si>
  <si>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</si>
  <si>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</si>
  <si>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</si>
  <si>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</si>
  <si>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</si>
  <si>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</si>
  <si>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</si>
  <si>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</si>
  <si>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</si>
  <si>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</si>
  <si>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</si>
  <si>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</si>
  <si>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</si>
  <si>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</si>
  <si>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</si>
  <si>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</si>
  <si>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</si>
  <si>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</si>
  <si>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</si>
  <si>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</si>
  <si>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</si>
  <si>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</si>
  <si>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</si>
  <si>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</si>
  <si>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</si>
  <si>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</si>
  <si>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</si>
  <si>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</si>
  <si>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</si>
  <si>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</si>
  <si>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</si>
  <si>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</si>
  <si>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</si>
  <si>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</si>
  <si>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</si>
  <si>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</si>
  <si>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</si>
  <si>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</si>
  <si>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</si>
  <si>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</si>
  <si>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</si>
  <si>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</si>
  <si>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</si>
  <si>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</si>
  <si>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</si>
  <si>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</si>
  <si>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</si>
  <si>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</si>
  <si>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</si>
  <si>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</si>
  <si>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</si>
  <si>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</si>
  <si>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</si>
  <si>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</si>
  <si>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</si>
  <si>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</si>
  <si>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</si>
  <si>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</si>
  <si>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</si>
  <si>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</si>
  <si>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</si>
  <si>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</si>
  <si>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</si>
  <si>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</si>
  <si>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</si>
  <si>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</si>
  <si>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</si>
  <si>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</si>
  <si>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</si>
  <si>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</si>
  <si>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</si>
  <si>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</si>
  <si>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</si>
  <si>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</si>
  <si>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</si>
  <si>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</si>
  <si>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</si>
  <si>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</si>
  <si>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</si>
  <si>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</si>
  <si>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</si>
  <si>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</si>
  <si>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</si>
  <si>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</si>
  <si>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</si>
  <si>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sallycheung</t>
  </si>
  <si>
    <t>CTD-0301 国际业务监管应对  International regulatory requests/queries/responses</t>
  </si>
  <si>
    <t>interview</t>
  </si>
  <si>
    <t>Interview for paralegal</t>
  </si>
  <si>
    <t>Compiling information for PwC on the s70 review, ask comsec re. agenda, chase for signing of LOE</t>
  </si>
  <si>
    <t>Gfunds signing of BR, liquidation process, follow up with Xiaohan</t>
  </si>
  <si>
    <t>revise PPT, arrange for projector, check internal meeting</t>
  </si>
  <si>
    <r>
      <t>Date: 2025</t>
    </r>
    <r>
      <rPr>
        <b/>
        <sz val="10"/>
        <color theme="0"/>
        <rFont val="等线"/>
        <charset val="134"/>
      </rPr>
      <t xml:space="preserve"> - </t>
    </r>
    <r>
      <rPr>
        <b/>
        <sz val="10"/>
        <color theme="0"/>
        <rFont val="新細明體"/>
        <family val="1"/>
        <charset val="136"/>
      </rPr>
      <t xml:space="preserve">03 </t>
    </r>
    <r>
      <rPr>
        <b/>
        <sz val="10"/>
        <color theme="0"/>
        <rFont val="等线"/>
        <charset val="134"/>
      </rPr>
      <t>-</t>
    </r>
    <r>
      <rPr>
        <b/>
        <sz val="10"/>
        <color theme="0"/>
        <rFont val="新細明體"/>
        <family val="1"/>
        <charset val="136"/>
      </rPr>
      <t xml:space="preserve"> 17 - </t>
    </r>
    <r>
      <rPr>
        <b/>
        <sz val="10"/>
        <color theme="0"/>
        <rFont val="新細明體"/>
        <family val="2"/>
        <scheme val="minor"/>
      </rPr>
      <t>2025 - 03 - 23</t>
    </r>
  </si>
  <si>
    <t>send executed and dated documents to Mindy and Amy, liaise with Xiaohan re. timing of signing for Concerto transaction, common seal request query, request word versions of the Fas/Letters, send original CPs to Bakers, revise Urs, liaise with BOCHK on the repayment/automatic securities release point, email to counsel re. release mechanics, review amendments to the GT investment agreement</t>
  </si>
  <si>
    <t>discuss with Kim re. equity injection</t>
  </si>
  <si>
    <t>Interview candidate</t>
  </si>
  <si>
    <t>interview paralegal</t>
  </si>
  <si>
    <t>Email to Bakers re original certified CPs, revise Confirmation for Cat</t>
  </si>
  <si>
    <t>discuss with Xiaohan re. Gfunds liquidation, email to Maples re. fees, discussions re. BO register, discussion with Mariati re. injection of capital, complete filing</t>
  </si>
  <si>
    <t>review BR on debt to equity conversion</t>
  </si>
  <si>
    <t>comsec review of engagement letter</t>
  </si>
  <si>
    <t>BSC review</t>
  </si>
  <si>
    <t>discussion with Jasia re. timing, liaise with Amy re. THL guarantee, discuss with Weigao re. guarantee, review PI form and revise</t>
  </si>
  <si>
    <t>discussion on parameters of the approval matrix</t>
  </si>
  <si>
    <t>respond to Chengyang re. signing of LOE</t>
  </si>
  <si>
    <t>AL/SL/Other Leave on 21/3</t>
  </si>
  <si>
    <t>discuss with Amy re. the new guarantee requirement, discuss with Alice re. Richard signing window, arrange documents to be signed, discussion with Cat re BNPP, common seal affix query, TPP FA review on CPs required for draw, call with ZX re. guarantee, drafted questions for Visa, review BNPP final confirmation, circulated signature pages to Concerto transaction</t>
  </si>
  <si>
    <t>responded to Comsec questions, also qs re. use of entity</t>
  </si>
  <si>
    <t>finalise the execution versions, exchange signature pages</t>
  </si>
  <si>
    <t>discuss Gfunds on Tinyscreen investment</t>
  </si>
  <si>
    <t>discuss with Glenn re. signing, call with Mariati to walk through cap injection exercise, siging of documents, review msg re. capital injection, Gfunds, accounts for Wewin Ltd and Wewin Management - discussed with Bakers and informed Xiaohan, discussion with Kirstin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</si>
</sst>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77" fontId="1"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3"/>
  <sheetViews>
    <sheetView tabSelected="1" topLeftCell="A8" zoomScale="80" zoomScaleNormal="80" workbookViewId="0">
      <selection activeCell="G33" sqref="G33"/>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13" ht="17">
      <c r="B1" s="76" t="s">
        <v>0</v>
      </c>
      <c r="C1" s="77"/>
      <c r="D1" s="77"/>
      <c r="E1" s="77"/>
      <c r="F1" s="77"/>
      <c r="G1" s="77"/>
      <c r="H1" s="77"/>
      <c r="I1" s="77"/>
    </row>
    <row r="2" spans="1:13" ht="17">
      <c r="B2" s="78"/>
      <c r="C2" s="79"/>
      <c r="D2" s="79"/>
      <c r="E2" s="79"/>
      <c r="F2" s="79"/>
      <c r="G2" s="79"/>
      <c r="H2" s="79"/>
      <c r="I2" s="13" t="s">
        <v>345</v>
      </c>
    </row>
    <row r="3" spans="1:13">
      <c r="B3" s="3" t="s">
        <v>1</v>
      </c>
      <c r="C3" s="4" t="s">
        <v>2</v>
      </c>
      <c r="D3" s="4" t="s">
        <v>3</v>
      </c>
      <c r="E3" s="4" t="s">
        <v>4</v>
      </c>
      <c r="F3" s="4" t="s">
        <v>5</v>
      </c>
      <c r="G3" s="4" t="s">
        <v>6</v>
      </c>
      <c r="H3" s="4" t="s">
        <v>7</v>
      </c>
      <c r="I3" s="14" t="s">
        <v>8</v>
      </c>
    </row>
    <row r="4" spans="1:13">
      <c r="B4" s="3"/>
      <c r="C4" s="4"/>
      <c r="D4" s="4"/>
      <c r="E4" s="4"/>
      <c r="F4" s="4"/>
      <c r="G4" s="4"/>
      <c r="H4" s="4"/>
      <c r="I4" s="14"/>
    </row>
    <row r="5" spans="1:13" s="2" customFormat="1" ht="165.5" customHeight="1">
      <c r="A5" s="5" t="s">
        <v>9</v>
      </c>
      <c r="B5" s="6" t="s">
        <v>10</v>
      </c>
      <c r="C5" s="7" t="s">
        <v>11</v>
      </c>
      <c r="D5" s="7" t="s">
        <v>12</v>
      </c>
      <c r="E5" s="7" t="s">
        <v>322</v>
      </c>
      <c r="F5" s="7" t="s">
        <v>13</v>
      </c>
      <c r="G5" s="7" t="s">
        <v>14</v>
      </c>
      <c r="H5" s="7" t="s">
        <v>15</v>
      </c>
      <c r="I5" s="15" t="s">
        <v>16</v>
      </c>
    </row>
    <row r="6" spans="1:13" s="2" customFormat="1" ht="108">
      <c r="B6" s="8" t="s">
        <v>338</v>
      </c>
      <c r="C6" s="9" t="s">
        <v>44</v>
      </c>
      <c r="D6" s="10" t="s">
        <v>51</v>
      </c>
      <c r="E6" s="10" t="s">
        <v>30</v>
      </c>
      <c r="F6" s="9" t="s">
        <v>323</v>
      </c>
      <c r="G6" s="11">
        <v>4.2</v>
      </c>
      <c r="H6" s="9" t="s">
        <v>27</v>
      </c>
      <c r="I6" s="16" t="s">
        <v>346</v>
      </c>
    </row>
    <row r="7" spans="1:13" s="2" customFormat="1" ht="13.5">
      <c r="B7" s="8" t="s">
        <v>338</v>
      </c>
      <c r="C7" s="9" t="s">
        <v>28</v>
      </c>
      <c r="D7" s="10" t="s">
        <v>31</v>
      </c>
      <c r="E7" s="10" t="s">
        <v>34</v>
      </c>
      <c r="F7" s="9" t="s">
        <v>40</v>
      </c>
      <c r="G7" s="11">
        <v>1</v>
      </c>
      <c r="H7" s="9" t="s">
        <v>31</v>
      </c>
      <c r="I7" s="16" t="s">
        <v>341</v>
      </c>
    </row>
    <row r="8" spans="1:13" s="2" customFormat="1" ht="40.5">
      <c r="B8" s="8" t="s">
        <v>338</v>
      </c>
      <c r="C8" s="9" t="s">
        <v>22</v>
      </c>
      <c r="D8" s="10" t="s">
        <v>60</v>
      </c>
      <c r="E8" s="10" t="s">
        <v>30</v>
      </c>
      <c r="F8" s="9" t="s">
        <v>336</v>
      </c>
      <c r="G8" s="11">
        <v>1.2</v>
      </c>
      <c r="H8" s="9" t="s">
        <v>31</v>
      </c>
      <c r="I8" s="16" t="s">
        <v>342</v>
      </c>
    </row>
    <row r="9" spans="1:13" s="2" customFormat="1" ht="54">
      <c r="B9" s="8" t="s">
        <v>338</v>
      </c>
      <c r="C9" s="9" t="s">
        <v>43</v>
      </c>
      <c r="D9" s="10" t="s">
        <v>57</v>
      </c>
      <c r="E9" s="10" t="s">
        <v>30</v>
      </c>
      <c r="F9" s="9" t="s">
        <v>333</v>
      </c>
      <c r="G9" s="11">
        <v>0.7</v>
      </c>
      <c r="H9" s="9" t="s">
        <v>27</v>
      </c>
      <c r="I9" s="16" t="s">
        <v>343</v>
      </c>
    </row>
    <row r="10" spans="1:13" s="2" customFormat="1" ht="13.5">
      <c r="B10" s="8" t="s">
        <v>338</v>
      </c>
      <c r="C10" s="9" t="s">
        <v>28</v>
      </c>
      <c r="D10" s="10" t="s">
        <v>31</v>
      </c>
      <c r="E10" s="10" t="s">
        <v>34</v>
      </c>
      <c r="F10" s="9" t="s">
        <v>42</v>
      </c>
      <c r="G10" s="11">
        <v>0.7</v>
      </c>
      <c r="H10" s="9" t="s">
        <v>31</v>
      </c>
      <c r="I10" s="16" t="s">
        <v>344</v>
      </c>
    </row>
    <row r="11" spans="1:13" s="2" customFormat="1" ht="54">
      <c r="B11" s="8" t="s">
        <v>338</v>
      </c>
      <c r="C11" s="9" t="s">
        <v>43</v>
      </c>
      <c r="D11" s="10" t="s">
        <v>50</v>
      </c>
      <c r="E11" s="10" t="s">
        <v>30</v>
      </c>
      <c r="F11" s="9" t="s">
        <v>333</v>
      </c>
      <c r="G11" s="11">
        <v>0.2</v>
      </c>
      <c r="H11" s="9" t="s">
        <v>27</v>
      </c>
      <c r="I11" s="16" t="s">
        <v>347</v>
      </c>
    </row>
    <row r="12" spans="1:13" s="2" customFormat="1" ht="54">
      <c r="B12" s="8" t="s">
        <v>338</v>
      </c>
      <c r="C12" s="9" t="s">
        <v>43</v>
      </c>
      <c r="D12" s="10" t="s">
        <v>57</v>
      </c>
      <c r="E12" s="10" t="s">
        <v>30</v>
      </c>
      <c r="F12" s="9" t="s">
        <v>333</v>
      </c>
      <c r="G12" s="11">
        <v>1.6</v>
      </c>
      <c r="H12" s="9" t="s">
        <v>27</v>
      </c>
      <c r="I12" s="16" t="s">
        <v>351</v>
      </c>
    </row>
    <row r="13" spans="1:13" s="2" customFormat="1" ht="27">
      <c r="B13" s="8" t="s">
        <v>338</v>
      </c>
      <c r="C13" s="9" t="s">
        <v>44</v>
      </c>
      <c r="D13" s="10" t="s">
        <v>51</v>
      </c>
      <c r="E13" s="10" t="s">
        <v>30</v>
      </c>
      <c r="F13" s="9" t="s">
        <v>323</v>
      </c>
      <c r="G13" s="11">
        <v>3.2</v>
      </c>
      <c r="H13" s="9" t="s">
        <v>27</v>
      </c>
      <c r="I13" s="16" t="s">
        <v>350</v>
      </c>
    </row>
    <row r="14" spans="1:13" s="2" customFormat="1" ht="40.5">
      <c r="B14" s="8" t="s">
        <v>338</v>
      </c>
      <c r="C14" s="9" t="s">
        <v>22</v>
      </c>
      <c r="D14" s="10" t="s">
        <v>61</v>
      </c>
      <c r="E14" s="10" t="s">
        <v>30</v>
      </c>
      <c r="F14" s="9" t="s">
        <v>336</v>
      </c>
      <c r="G14" s="11">
        <v>1</v>
      </c>
      <c r="H14" s="9" t="s">
        <v>31</v>
      </c>
      <c r="I14" s="16" t="s">
        <v>348</v>
      </c>
    </row>
    <row r="15" spans="1:13" s="2" customFormat="1" ht="27">
      <c r="B15" s="8" t="s">
        <v>338</v>
      </c>
      <c r="C15" s="9" t="s">
        <v>44</v>
      </c>
      <c r="D15" s="10" t="s">
        <v>47</v>
      </c>
      <c r="E15" s="10" t="s">
        <v>30</v>
      </c>
      <c r="F15" s="9" t="s">
        <v>323</v>
      </c>
      <c r="G15" s="11">
        <v>0.9</v>
      </c>
      <c r="H15" s="9" t="s">
        <v>73</v>
      </c>
      <c r="I15" s="16" t="s">
        <v>352</v>
      </c>
    </row>
    <row r="16" spans="1:13" s="2" customFormat="1" ht="13.5">
      <c r="B16" s="8" t="s">
        <v>338</v>
      </c>
      <c r="C16" s="9" t="s">
        <v>28</v>
      </c>
      <c r="D16" s="10" t="s">
        <v>31</v>
      </c>
      <c r="E16" s="10" t="s">
        <v>34</v>
      </c>
      <c r="F16" s="9" t="s">
        <v>40</v>
      </c>
      <c r="G16" s="11">
        <v>0.6</v>
      </c>
      <c r="H16" s="9" t="s">
        <v>31</v>
      </c>
      <c r="I16" s="16" t="s">
        <v>349</v>
      </c>
      <c r="L16" s="75"/>
      <c r="M16" s="75"/>
    </row>
    <row r="17" spans="2:13" s="2" customFormat="1" ht="40.5">
      <c r="B17" s="8" t="s">
        <v>338</v>
      </c>
      <c r="C17" s="9" t="s">
        <v>44</v>
      </c>
      <c r="D17" s="10" t="s">
        <v>51</v>
      </c>
      <c r="E17" s="10" t="s">
        <v>30</v>
      </c>
      <c r="F17" s="9" t="s">
        <v>323</v>
      </c>
      <c r="G17" s="11">
        <v>1.8</v>
      </c>
      <c r="H17" s="9" t="s">
        <v>73</v>
      </c>
      <c r="I17" s="16" t="s">
        <v>355</v>
      </c>
    </row>
    <row r="18" spans="2:13" s="2" customFormat="1" ht="67.5">
      <c r="B18" s="8" t="s">
        <v>338</v>
      </c>
      <c r="C18" s="9" t="s">
        <v>43</v>
      </c>
      <c r="D18" s="10" t="s">
        <v>57</v>
      </c>
      <c r="E18" s="10" t="s">
        <v>30</v>
      </c>
      <c r="F18" s="9" t="s">
        <v>333</v>
      </c>
      <c r="G18" s="11">
        <v>2.4</v>
      </c>
      <c r="H18" s="9" t="s">
        <v>27</v>
      </c>
      <c r="I18" s="16" t="s">
        <v>363</v>
      </c>
    </row>
    <row r="19" spans="2:13" s="2" customFormat="1" ht="54">
      <c r="B19" s="8" t="s">
        <v>338</v>
      </c>
      <c r="C19" s="9" t="s">
        <v>43</v>
      </c>
      <c r="D19" s="10" t="s">
        <v>47</v>
      </c>
      <c r="E19" s="10" t="s">
        <v>30</v>
      </c>
      <c r="F19" s="9" t="s">
        <v>333</v>
      </c>
      <c r="G19" s="11">
        <v>2.2999999999999998</v>
      </c>
      <c r="H19" s="9" t="s">
        <v>73</v>
      </c>
      <c r="I19" s="16" t="s">
        <v>353</v>
      </c>
    </row>
    <row r="20" spans="2:13" s="2" customFormat="1" ht="27">
      <c r="B20" s="8" t="s">
        <v>338</v>
      </c>
      <c r="C20" s="9" t="s">
        <v>28</v>
      </c>
      <c r="D20" s="10" t="s">
        <v>31</v>
      </c>
      <c r="E20" s="10" t="s">
        <v>34</v>
      </c>
      <c r="F20" s="9" t="s">
        <v>41</v>
      </c>
      <c r="G20" s="11">
        <v>0.5</v>
      </c>
      <c r="H20" s="9" t="s">
        <v>31</v>
      </c>
      <c r="I20" s="16" t="s">
        <v>354</v>
      </c>
      <c r="L20" s="75"/>
      <c r="M20" s="75"/>
    </row>
    <row r="21" spans="2:13" s="2" customFormat="1" ht="94.5">
      <c r="B21" s="8" t="s">
        <v>338</v>
      </c>
      <c r="C21" s="9" t="s">
        <v>44</v>
      </c>
      <c r="D21" s="10" t="s">
        <v>51</v>
      </c>
      <c r="E21" s="10" t="s">
        <v>30</v>
      </c>
      <c r="F21" s="9" t="s">
        <v>323</v>
      </c>
      <c r="G21" s="11">
        <v>4.5999999999999996</v>
      </c>
      <c r="H21" s="9" t="s">
        <v>27</v>
      </c>
      <c r="I21" s="16" t="s">
        <v>359</v>
      </c>
    </row>
    <row r="22" spans="2:13" s="2" customFormat="1" ht="54">
      <c r="B22" s="8" t="s">
        <v>338</v>
      </c>
      <c r="C22" s="9" t="s">
        <v>43</v>
      </c>
      <c r="D22" s="10" t="s">
        <v>46</v>
      </c>
      <c r="E22" s="10" t="s">
        <v>30</v>
      </c>
      <c r="F22" s="9" t="s">
        <v>333</v>
      </c>
      <c r="G22" s="11">
        <v>0.6</v>
      </c>
      <c r="H22" s="9" t="s">
        <v>27</v>
      </c>
      <c r="I22" s="16" t="s">
        <v>356</v>
      </c>
    </row>
    <row r="23" spans="2:13" s="2" customFormat="1" ht="40.5">
      <c r="B23" s="8" t="s">
        <v>338</v>
      </c>
      <c r="C23" s="9" t="s">
        <v>22</v>
      </c>
      <c r="D23" s="10" t="s">
        <v>60</v>
      </c>
      <c r="E23" s="10" t="s">
        <v>30</v>
      </c>
      <c r="F23" s="9" t="s">
        <v>336</v>
      </c>
      <c r="G23" s="11">
        <v>0.5</v>
      </c>
      <c r="H23" s="9" t="s">
        <v>27</v>
      </c>
      <c r="I23" s="16" t="s">
        <v>357</v>
      </c>
    </row>
    <row r="24" spans="2:13" s="2" customFormat="1" ht="54">
      <c r="B24" s="8" t="s">
        <v>338</v>
      </c>
      <c r="C24" s="9" t="s">
        <v>43</v>
      </c>
      <c r="D24" s="10" t="s">
        <v>47</v>
      </c>
      <c r="E24" s="10" t="s">
        <v>30</v>
      </c>
      <c r="F24" s="9" t="s">
        <v>333</v>
      </c>
      <c r="G24" s="11">
        <v>0.6</v>
      </c>
      <c r="H24" s="9" t="s">
        <v>27</v>
      </c>
      <c r="I24" s="16" t="s">
        <v>360</v>
      </c>
    </row>
    <row r="25" spans="2:13" s="2" customFormat="1" ht="13.5">
      <c r="B25" s="8" t="s">
        <v>338</v>
      </c>
      <c r="C25" s="9" t="s">
        <v>28</v>
      </c>
      <c r="D25" s="10" t="s">
        <v>31</v>
      </c>
      <c r="E25" s="10" t="s">
        <v>34</v>
      </c>
      <c r="F25" s="9" t="s">
        <v>40</v>
      </c>
      <c r="G25" s="11">
        <v>1</v>
      </c>
      <c r="H25" s="9" t="s">
        <v>31</v>
      </c>
      <c r="I25" s="16" t="s">
        <v>340</v>
      </c>
    </row>
    <row r="26" spans="2:13" s="2" customFormat="1" ht="27">
      <c r="B26" s="8" t="s">
        <v>338</v>
      </c>
      <c r="C26" s="9" t="s">
        <v>44</v>
      </c>
      <c r="D26" s="10" t="s">
        <v>51</v>
      </c>
      <c r="E26" s="10" t="s">
        <v>30</v>
      </c>
      <c r="F26" s="9" t="s">
        <v>323</v>
      </c>
      <c r="G26" s="11">
        <v>1</v>
      </c>
      <c r="H26" s="9" t="s">
        <v>27</v>
      </c>
      <c r="I26" s="16" t="s">
        <v>361</v>
      </c>
    </row>
    <row r="27" spans="2:13" s="2" customFormat="1" ht="54">
      <c r="B27" s="8" t="s">
        <v>338</v>
      </c>
      <c r="C27" s="9" t="s">
        <v>43</v>
      </c>
      <c r="D27" s="10" t="s">
        <v>57</v>
      </c>
      <c r="E27" s="10" t="s">
        <v>30</v>
      </c>
      <c r="F27" s="9" t="s">
        <v>333</v>
      </c>
      <c r="G27" s="11">
        <v>0.6</v>
      </c>
      <c r="H27" s="9" t="s">
        <v>27</v>
      </c>
      <c r="I27" s="16" t="s">
        <v>362</v>
      </c>
    </row>
    <row r="28" spans="2:13" s="2" customFormat="1" ht="13.5">
      <c r="B28" s="8"/>
      <c r="C28" s="9"/>
      <c r="D28" s="10"/>
      <c r="E28" s="10"/>
      <c r="F28" s="9"/>
      <c r="G28" s="11"/>
      <c r="H28" s="9"/>
      <c r="I28" s="16"/>
      <c r="K28" s="75"/>
    </row>
    <row r="29" spans="2:13" s="2" customFormat="1" ht="14.5" customHeight="1">
      <c r="B29" s="80" t="s">
        <v>32</v>
      </c>
      <c r="C29" s="81"/>
      <c r="D29" s="82"/>
      <c r="E29" s="12"/>
      <c r="F29" s="12"/>
      <c r="G29" s="83">
        <f>SUM(G6:G28)</f>
        <v>31.200000000000003</v>
      </c>
      <c r="H29" s="84"/>
      <c r="I29" s="85"/>
    </row>
    <row r="32" spans="2:13">
      <c r="B32" s="17" t="s">
        <v>81</v>
      </c>
      <c r="C32" s="18" t="s">
        <v>358</v>
      </c>
    </row>
    <row r="33" spans="3:3">
      <c r="C33" s="18" t="s">
        <v>331</v>
      </c>
    </row>
  </sheetData>
  <mergeCells count="4">
    <mergeCell ref="B1:I1"/>
    <mergeCell ref="B2:H2"/>
    <mergeCell ref="B29:D29"/>
    <mergeCell ref="G29:I29"/>
  </mergeCells>
  <phoneticPr fontId="10" type="noConversion"/>
  <dataValidations count="3">
    <dataValidation type="list" errorStyle="warning" allowBlank="1" sqref="C10:C28" xr:uid="{00000000-0002-0000-0000-000005000000}">
      <formula1>项目事项分类项目名称</formula1>
    </dataValidation>
    <dataValidation type="list" allowBlank="1" showInputMessage="1" showErrorMessage="1" sqref="F6:F28" xr:uid="{00000000-0002-0000-0000-000002000000}">
      <formula1>INDIRECT($E6)</formula1>
    </dataValidation>
    <dataValidation type="list" allowBlank="1" showInputMessage="1" showErrorMessage="1" sqref="H6:H28"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C6:C9</xm:sqref>
        </x14:dataValidation>
        <x14:dataValidation type="list" allowBlank="1" showInputMessage="1" showErrorMessage="1" promptTitle="Internal Client" xr:uid="{00000000-0002-0000-0000-000004000000}">
          <x14:formula1>
            <xm:f>'Exhibit II - Internal Client'!$A$1:$A$20</xm:f>
          </x14:formula1>
          <xm:sqref>D6:D28</xm:sqref>
        </x14:dataValidation>
        <x14:dataValidation type="list" allowBlank="1" showInputMessage="1" showErrorMessage="1" xr:uid="{00000000-0002-0000-0000-000007000000}">
          <x14:formula1>
            <xm:f>Tag!$B$2:$E$2</xm:f>
          </x14:formula1>
          <xm:sqref>E6:E28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topLeftCell="A9" zoomScale="80" zoomScaleNormal="80" workbookViewId="0">
      <selection activeCell="C21" sqref="C21"/>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332</v>
      </c>
      <c r="C3" s="1" t="s">
        <v>35</v>
      </c>
      <c r="D3" s="1" t="s">
        <v>80</v>
      </c>
      <c r="E3" s="1" t="s">
        <v>20</v>
      </c>
    </row>
    <row r="4" spans="2:5" ht="43.5">
      <c r="B4" s="1" t="s">
        <v>323</v>
      </c>
      <c r="C4" s="1" t="s">
        <v>36</v>
      </c>
      <c r="D4" s="1" t="s">
        <v>37</v>
      </c>
      <c r="E4" s="1" t="s">
        <v>38</v>
      </c>
    </row>
    <row r="5" spans="2:5" ht="87">
      <c r="B5" s="1" t="s">
        <v>337</v>
      </c>
      <c r="C5" s="1" t="s">
        <v>39</v>
      </c>
      <c r="D5" s="1" t="s">
        <v>40</v>
      </c>
      <c r="E5" s="1"/>
    </row>
    <row r="6" spans="2:5" ht="94.5" customHeight="1">
      <c r="B6" s="1" t="s">
        <v>324</v>
      </c>
      <c r="C6" s="1"/>
      <c r="D6" s="1" t="s">
        <v>41</v>
      </c>
      <c r="E6" s="1"/>
    </row>
    <row r="7" spans="2:5" ht="54" customHeight="1">
      <c r="B7" s="1" t="s">
        <v>333</v>
      </c>
      <c r="C7" s="1"/>
      <c r="D7" s="1" t="s">
        <v>42</v>
      </c>
      <c r="E7" s="1"/>
    </row>
    <row r="8" spans="2:5" ht="53.15" customHeight="1">
      <c r="B8" s="1" t="s">
        <v>325</v>
      </c>
      <c r="E8" s="1"/>
    </row>
    <row r="9" spans="2:5" ht="29">
      <c r="B9" s="1" t="s">
        <v>326</v>
      </c>
      <c r="C9" s="1"/>
      <c r="D9" s="1"/>
    </row>
    <row r="10" spans="2:5" ht="29">
      <c r="B10" s="1" t="s">
        <v>327</v>
      </c>
      <c r="C10" s="1"/>
      <c r="D10" s="1"/>
    </row>
    <row r="11" spans="2:5" ht="29">
      <c r="B11" s="1" t="s">
        <v>335</v>
      </c>
      <c r="C11" s="1"/>
      <c r="D11" s="1"/>
    </row>
    <row r="12" spans="2:5" ht="43.5">
      <c r="B12" s="1" t="s">
        <v>336</v>
      </c>
      <c r="C12" s="1"/>
      <c r="D12" s="1"/>
    </row>
    <row r="13" spans="2:5" ht="29">
      <c r="B13" s="1" t="s">
        <v>334</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13" workbookViewId="0">
      <selection activeCell="F12" sqref="F12"/>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c r="C4" s="124"/>
      <c r="D4" s="105"/>
      <c r="E4" s="117"/>
      <c r="F4" s="124"/>
      <c r="G4" s="124"/>
      <c r="H4" s="124"/>
      <c r="I4" s="124"/>
      <c r="J4" s="124"/>
      <c r="K4" s="20" t="s">
        <v>64</v>
      </c>
      <c r="L4" s="20" t="s">
        <v>65</v>
      </c>
      <c r="M4" s="20" t="s">
        <v>66</v>
      </c>
      <c r="N4" s="20" t="s">
        <v>67</v>
      </c>
    </row>
    <row r="5" spans="2:14" ht="108.5" outlineLevel="1">
      <c r="C5" s="21" t="s">
        <v>100</v>
      </c>
      <c r="D5" s="108" t="s">
        <v>101</v>
      </c>
      <c r="E5" s="101"/>
      <c r="F5" s="22" t="s">
        <v>102</v>
      </c>
      <c r="G5" s="21" t="s">
        <v>103</v>
      </c>
      <c r="H5" s="21" t="s">
        <v>104</v>
      </c>
      <c r="I5" s="21" t="s">
        <v>105</v>
      </c>
      <c r="J5" s="21" t="s">
        <v>106</v>
      </c>
      <c r="K5" s="109" t="s">
        <v>107</v>
      </c>
      <c r="L5" s="109"/>
      <c r="M5" s="109"/>
      <c r="N5" s="109"/>
    </row>
    <row r="6" spans="2:14" s="23" customFormat="1" ht="201.5" outlineLevel="1">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2"/>
      <c r="C7" s="110"/>
      <c r="D7" s="110"/>
      <c r="E7" s="32" t="s">
        <v>116</v>
      </c>
      <c r="F7" s="33" t="s">
        <v>117</v>
      </c>
      <c r="G7" s="27" t="s">
        <v>118</v>
      </c>
      <c r="H7" s="34">
        <v>5</v>
      </c>
      <c r="I7" s="35" t="s">
        <v>119</v>
      </c>
      <c r="J7" s="29" t="s">
        <v>120</v>
      </c>
      <c r="K7" s="36" t="s">
        <v>121</v>
      </c>
      <c r="L7" s="37" t="s">
        <v>115</v>
      </c>
      <c r="M7" s="36" t="s">
        <v>122</v>
      </c>
      <c r="N7" s="38" t="s">
        <v>123</v>
      </c>
    </row>
    <row r="8" spans="2:14" s="23" customFormat="1" ht="217" outlineLevel="1">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2"/>
      <c r="C9" s="111"/>
      <c r="D9" s="115"/>
      <c r="E9" s="27" t="s">
        <v>131</v>
      </c>
      <c r="F9" s="26" t="s">
        <v>132</v>
      </c>
      <c r="G9" s="39" t="s">
        <v>133</v>
      </c>
      <c r="H9" s="28">
        <v>5</v>
      </c>
      <c r="I9" s="29" t="s">
        <v>128</v>
      </c>
      <c r="J9" s="29" t="s">
        <v>134</v>
      </c>
      <c r="K9" s="39" t="s">
        <v>135</v>
      </c>
      <c r="L9" s="39" t="s">
        <v>136</v>
      </c>
      <c r="M9" s="39" t="s">
        <v>137</v>
      </c>
      <c r="N9" s="38" t="s">
        <v>137</v>
      </c>
    </row>
    <row r="10" spans="2:14" s="23" customFormat="1" ht="77.5" outlineLevel="1">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263.5" outlineLevel="1">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5" outlineLevel="1">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55" outlineLevel="1">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93" outlineLevel="1">
      <c r="B20" s="92"/>
      <c r="C20" s="97"/>
      <c r="D20" s="102" t="s">
        <v>87</v>
      </c>
      <c r="E20" s="103"/>
      <c r="F20" s="50" t="s">
        <v>188</v>
      </c>
      <c r="G20" s="44" t="s">
        <v>70</v>
      </c>
      <c r="H20" s="42">
        <v>5</v>
      </c>
      <c r="I20" s="29" t="s">
        <v>189</v>
      </c>
      <c r="J20" s="29" t="s">
        <v>190</v>
      </c>
      <c r="K20" s="36" t="s">
        <v>191</v>
      </c>
      <c r="L20" s="36" t="s">
        <v>192</v>
      </c>
      <c r="M20" s="36" t="s">
        <v>191</v>
      </c>
      <c r="N20" s="38" t="s">
        <v>191</v>
      </c>
    </row>
    <row r="21" spans="2:14" ht="170.5">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310" outlineLevel="1">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5" outlineLevel="1">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39.5" outlineLevel="1">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2025-03-31T04:19:19Z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