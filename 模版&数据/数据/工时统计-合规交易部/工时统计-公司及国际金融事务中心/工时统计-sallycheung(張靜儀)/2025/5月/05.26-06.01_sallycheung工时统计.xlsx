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Sally\"/>
    </mc:Choice>
  </mc:AlternateContent>
  <xr:revisionPtr revIDLastSave="0" documentId="13_ncr:1_{B15F2B89-EFAE-479A-A7E6-CBDF7A924062}"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6" i="1" l="1"/>
</calcChain>
</file>

<file path=xl/sharedStrings.xml><?xml version="1.0" encoding="utf-8"?>
<sst xmlns="http://schemas.openxmlformats.org/spreadsheetml/2006/main" count="644" uniqueCount="372">
  <si>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</si>
  <si>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</si>
  <si>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</si>
  <si>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</si>
  <si>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</si>
  <si>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</si>
  <si>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</si>
  <si>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</si>
  <si>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</si>
  <si>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</si>
  <si>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</si>
  <si>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</si>
  <si>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</si>
  <si>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</si>
  <si>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</si>
  <si>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</si>
  <si>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</si>
  <si>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</si>
  <si>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</si>
  <si>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</si>
  <si>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</si>
  <si>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</si>
  <si>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</si>
  <si>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</si>
  <si>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</si>
  <si>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</si>
  <si>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</si>
  <si>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</si>
  <si>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</si>
  <si>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</si>
  <si>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</si>
  <si>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</si>
  <si>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</si>
  <si>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</si>
  <si>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</si>
  <si>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</si>
  <si>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</si>
  <si>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</si>
  <si>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</si>
  <si>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</si>
  <si>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</si>
  <si>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</si>
  <si>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</si>
  <si>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</si>
  <si>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</si>
  <si>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</si>
  <si>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</si>
  <si>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</si>
  <si>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</si>
  <si>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</si>
  <si>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</si>
  <si>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</si>
  <si>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</si>
  <si>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</si>
  <si>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</si>
  <si>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</si>
  <si>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</si>
  <si>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</si>
  <si>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</si>
  <si>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</si>
  <si>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</si>
  <si>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</si>
  <si>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</si>
  <si>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</si>
  <si>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</si>
  <si>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</si>
  <si>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</si>
  <si>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</si>
  <si>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</si>
  <si>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</si>
  <si>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</si>
  <si>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</si>
  <si>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</si>
  <si>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</si>
  <si>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</si>
  <si>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</si>
  <si>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</si>
  <si>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</si>
  <si>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</si>
  <si>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</si>
  <si>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</si>
  <si>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</si>
  <si>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</si>
  <si>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</si>
  <si>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</si>
  <si>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</si>
  <si>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</si>
  <si>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</si>
  <si>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</si>
  <si>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</si>
  <si>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</si>
  <si>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</si>
  <si>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</si>
  <si>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</si>
  <si>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</si>
  <si>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</si>
  <si>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</si>
  <si>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</si>
  <si>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</si>
  <si>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</si>
  <si>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</si>
  <si>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</si>
  <si>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</si>
  <si>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</si>
  <si>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</si>
  <si>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</si>
  <si>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</si>
  <si>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</si>
  <si>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</si>
  <si>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</si>
  <si>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</si>
  <si>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</si>
  <si>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</si>
  <si>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</si>
  <si>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</si>
  <si>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</si>
  <si>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</si>
  <si>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</si>
  <si>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</si>
  <si>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</si>
  <si>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</si>
  <si>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</si>
  <si>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</si>
  <si>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</si>
  <si>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</si>
  <si>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</si>
  <si>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</si>
  <si>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</si>
  <si>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</si>
  <si>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</si>
  <si>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</si>
  <si>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</si>
  <si>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</si>
  <si>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</si>
  <si>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</si>
  <si>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</si>
  <si>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</si>
  <si>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</si>
  <si>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</si>
  <si>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</si>
  <si>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</si>
  <si>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</si>
  <si>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</si>
  <si>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</si>
  <si>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</si>
  <si>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</si>
  <si>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</si>
  <si>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</si>
  <si>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</si>
  <si>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</si>
  <si>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</si>
  <si>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</si>
  <si>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</si>
  <si>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</si>
  <si>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</si>
  <si>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</si>
  <si>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</si>
  <si>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</si>
  <si>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</si>
  <si>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</si>
  <si>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</si>
  <si>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</si>
  <si>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</si>
  <si>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</si>
  <si>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</si>
  <si>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</si>
  <si>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</si>
  <si>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</si>
  <si>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</si>
  <si>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</si>
  <si>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</si>
  <si>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</si>
  <si>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</si>
  <si>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</si>
  <si>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</si>
  <si>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</si>
  <si>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</si>
  <si>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</si>
  <si>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</si>
  <si>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</si>
  <si>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</si>
  <si>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</si>
  <si>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</si>
  <si>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</si>
  <si>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</si>
  <si>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</si>
  <si>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</si>
  <si>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</si>
  <si>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</si>
  <si>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</si>
  <si>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</si>
  <si>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</si>
  <si>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</si>
  <si>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</si>
  <si>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</si>
  <si>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</si>
  <si>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</si>
  <si>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</si>
  <si>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</si>
  <si>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</si>
  <si>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</si>
  <si>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</si>
  <si>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</si>
  <si>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</si>
  <si>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</si>
  <si>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</si>
  <si>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</si>
  <si>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</si>
  <si>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</si>
  <si>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</si>
  <si>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</si>
  <si>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</si>
  <si>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</si>
  <si>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</si>
  <si>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</si>
  <si>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</si>
  <si>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</si>
  <si>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</si>
  <si>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</si>
  <si>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</si>
  <si>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</si>
  <si>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</si>
  <si>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</si>
  <si>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</si>
  <si>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</si>
  <si>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</si>
  <si>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</si>
  <si>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</si>
  <si>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</si>
  <si>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</si>
  <si>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</si>
  <si>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</si>
  <si>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</si>
  <si>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</si>
  <si>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</si>
  <si>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</si>
  <si>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</si>
  <si>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</si>
  <si>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</si>
  <si>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</si>
  <si>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</si>
  <si>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</si>
  <si>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</si>
  <si>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</si>
  <si>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</si>
  <si>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</si>
  <si>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</si>
  <si>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</si>
  <si>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</si>
  <si>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</si>
  <si>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</si>
  <si>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</si>
  <si>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</si>
  <si>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</si>
  <si>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</si>
  <si>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</si>
  <si>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</si>
  <si>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</si>
  <si>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</si>
  <si>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</si>
  <si>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</si>
  <si>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</si>
  <si>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</si>
  <si>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</si>
  <si>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</si>
  <si>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</si>
  <si>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</si>
  <si>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</si>
  <si>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</si>
  <si>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</si>
  <si>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</si>
  <si>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</si>
  <si>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</si>
  <si>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</si>
  <si>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</si>
  <si>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</si>
  <si>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</si>
  <si>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</si>
  <si>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</si>
  <si>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</si>
  <si>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</si>
  <si>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</si>
  <si>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</si>
  <si>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</si>
  <si>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</si>
  <si>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</si>
  <si>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</si>
  <si>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</si>
  <si>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</si>
  <si>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</si>
  <si>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</si>
  <si>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</si>
  <si>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</si>
  <si>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</si>
  <si>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</si>
  <si>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</si>
  <si>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</si>
  <si>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</si>
  <si>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</si>
  <si>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</si>
  <si>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</si>
  <si>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</si>
  <si>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</si>
  <si>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</si>
  <si>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</si>
  <si>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</si>
  <si>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</si>
  <si>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</si>
  <si>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</si>
  <si>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</si>
  <si>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</si>
  <si>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</si>
  <si>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</si>
  <si>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</si>
  <si>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</si>
  <si>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</si>
  <si>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</si>
  <si>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</si>
  <si>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</si>
  <si>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</si>
  <si>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</si>
  <si>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</si>
  <si>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</si>
  <si>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</si>
  <si>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</si>
  <si>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</si>
  <si>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</si>
  <si>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</si>
  <si>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</si>
  <si>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</si>
  <si>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</si>
  <si>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</si>
  <si>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</si>
  <si>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</si>
  <si>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</si>
  <si>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</si>
  <si>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</si>
  <si>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sallycheung</t>
  </si>
  <si>
    <t>CTD-0301 国际业务监管应对  International regulatory requests/queries/responses</t>
  </si>
  <si>
    <t xml:space="preserve"> </t>
  </si>
  <si>
    <t>Timesheets  and Imanage</t>
  </si>
  <si>
    <t>Prosus update of OC</t>
  </si>
  <si>
    <t>review comsec documents</t>
  </si>
  <si>
    <t xml:space="preserve">Public Holiday on </t>
  </si>
  <si>
    <t>discuss with Kim re directorships</t>
  </si>
  <si>
    <t>Gfunds annual submissions, Wewin FS</t>
  </si>
  <si>
    <t>Management meeting and discussions on AI tools</t>
  </si>
  <si>
    <t>review of comsec documents, discussions</t>
  </si>
  <si>
    <t>review Naspers OC</t>
  </si>
  <si>
    <t>POA discussion with Ian, review documents</t>
  </si>
  <si>
    <t>arrange for posting of CVs, review CVs</t>
  </si>
  <si>
    <t>draft amendment agreements to intragroup loans</t>
  </si>
  <si>
    <t>review of changes for Kim</t>
  </si>
  <si>
    <r>
      <t>Date: 2025</t>
    </r>
    <r>
      <rPr>
        <b/>
        <sz val="10"/>
        <color theme="0"/>
        <rFont val="等线"/>
        <charset val="134"/>
      </rPr>
      <t xml:space="preserve"> - </t>
    </r>
    <r>
      <rPr>
        <b/>
        <sz val="10"/>
        <color theme="0"/>
        <rFont val="新細明體"/>
        <family val="1"/>
        <charset val="136"/>
      </rPr>
      <t xml:space="preserve">05 </t>
    </r>
    <r>
      <rPr>
        <b/>
        <sz val="10"/>
        <color theme="0"/>
        <rFont val="等线"/>
        <charset val="134"/>
      </rPr>
      <t>-</t>
    </r>
    <r>
      <rPr>
        <b/>
        <sz val="10"/>
        <color theme="0"/>
        <rFont val="新細明體"/>
        <family val="1"/>
        <charset val="136"/>
      </rPr>
      <t xml:space="preserve"> 26 - </t>
    </r>
    <r>
      <rPr>
        <b/>
        <sz val="10"/>
        <color theme="0"/>
        <rFont val="新細明體"/>
        <family val="2"/>
        <scheme val="minor"/>
      </rPr>
      <t>2025 - 06 - 01</t>
    </r>
  </si>
  <si>
    <t>discuss with Mei re. Vistra's responses. Review org chart</t>
  </si>
  <si>
    <t>review Mariati questions and review MOA</t>
  </si>
  <si>
    <t xml:space="preserve">discuss with Queenie </t>
  </si>
  <si>
    <t>review audit, liaise with Katie, discuss with team on AI and matter reporting requirements</t>
  </si>
  <si>
    <t>interviews,report to Liz, AI tools, Anderson secondment</t>
  </si>
  <si>
    <t>review signed documents, circulate for filing, discuss with local counsel</t>
  </si>
  <si>
    <t>AL/SL/Other Leave on</t>
  </si>
  <si>
    <t>discussion with Queenie re updates</t>
  </si>
  <si>
    <t>AI discussions</t>
  </si>
  <si>
    <t>discuss with Jap office re. intragroup, discuss new loan, signing of BR and arranging for approvals</t>
  </si>
  <si>
    <t>discussion re. change of director at simple solutions level</t>
  </si>
  <si>
    <t>review comsec documents, discussion with Iris and Mei re. BVI filings, review comsec documents</t>
  </si>
  <si>
    <t>arrange for signatures, certify documents and arrange to send, review BOC's comments on the DDA</t>
  </si>
  <si>
    <t>interview and discuss with Cindy re. candidates</t>
  </si>
  <si>
    <t>review new FIT scheme and internal discussions, discussions with Mindy re. shareholder loan to Yiche, review PA loan agreement</t>
  </si>
  <si>
    <t>discussion with Comsec re. change in directorship</t>
  </si>
  <si>
    <t>sanctions slides, discuss with Jassy and review FIT's proposal, internal discussions</t>
  </si>
  <si>
    <t>Gfunds - discussions on termination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</si>
</sst>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0">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0">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177" fontId="1" fillId="0" borderId="0" xfId="0" applyNumberFormat="1" applyFon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7" borderId="22" xfId="0" applyFont="1" applyFill="1" applyBorder="1" applyAlignment="1">
      <alignment horizontal="left" vertical="center" wrapText="1"/>
    </xf>
    <xf numFmtId="0" fontId="21" fillId="0" borderId="23" xfId="0" applyFont="1" applyBorder="1">
      <alignment vertical="center"/>
    </xf>
    <xf numFmtId="0" fontId="22" fillId="7" borderId="1" xfId="0" applyFont="1" applyFill="1" applyBorder="1" applyAlignment="1">
      <alignment horizontal="center" vertical="center" wrapText="1"/>
    </xf>
    <xf numFmtId="0" fontId="23" fillId="6"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8" borderId="1" xfId="0" applyFont="1" applyFill="1" applyBorder="1" applyAlignment="1">
      <alignment vertical="center" wrapText="1"/>
    </xf>
    <xf numFmtId="0" fontId="21" fillId="8" borderId="22" xfId="0" applyFont="1" applyFill="1" applyBorder="1" applyAlignment="1">
      <alignment vertical="center" wrapText="1"/>
    </xf>
    <xf numFmtId="0" fontId="24" fillId="0" borderId="16" xfId="0" applyFont="1" applyBorder="1" applyAlignment="1">
      <alignment horizontal="left" vertical="center" wrapText="1"/>
    </xf>
    <xf numFmtId="0" fontId="21" fillId="8"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0"/>
  <sheetViews>
    <sheetView tabSelected="1" topLeftCell="A16" zoomScale="80" zoomScaleNormal="80" workbookViewId="0">
      <selection activeCell="AA30" sqref="AA30"/>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11" ht="17">
      <c r="B1" s="76" t="s">
        <v>0</v>
      </c>
      <c r="C1" s="77"/>
      <c r="D1" s="77"/>
      <c r="E1" s="77"/>
      <c r="F1" s="77"/>
      <c r="G1" s="77"/>
      <c r="H1" s="77"/>
      <c r="I1" s="77"/>
    </row>
    <row r="2" spans="1:11" ht="17">
      <c r="B2" s="78"/>
      <c r="C2" s="79"/>
      <c r="D2" s="79"/>
      <c r="E2" s="79"/>
      <c r="F2" s="79"/>
      <c r="G2" s="79"/>
      <c r="H2" s="79"/>
      <c r="I2" s="13" t="s">
        <v>353</v>
      </c>
    </row>
    <row r="3" spans="1:11">
      <c r="B3" s="3" t="s">
        <v>1</v>
      </c>
      <c r="C3" s="4" t="s">
        <v>2</v>
      </c>
      <c r="D3" s="4" t="s">
        <v>3</v>
      </c>
      <c r="E3" s="4" t="s">
        <v>4</v>
      </c>
      <c r="F3" s="4" t="s">
        <v>5</v>
      </c>
      <c r="G3" s="4" t="s">
        <v>6</v>
      </c>
      <c r="H3" s="4" t="s">
        <v>7</v>
      </c>
      <c r="I3" s="14" t="s">
        <v>8</v>
      </c>
    </row>
    <row r="4" spans="1:11">
      <c r="B4" s="3"/>
      <c r="C4" s="4"/>
      <c r="D4" s="4"/>
      <c r="E4" s="4"/>
      <c r="F4" s="4"/>
      <c r="G4" s="4"/>
      <c r="H4" s="4"/>
      <c r="I4" s="14"/>
    </row>
    <row r="5" spans="1:11" s="2" customFormat="1" ht="165.5" customHeight="1">
      <c r="A5" s="5" t="s">
        <v>9</v>
      </c>
      <c r="B5" s="6" t="s">
        <v>10</v>
      </c>
      <c r="C5" s="7" t="s">
        <v>11</v>
      </c>
      <c r="D5" s="7" t="s">
        <v>12</v>
      </c>
      <c r="E5" s="7" t="s">
        <v>322</v>
      </c>
      <c r="F5" s="7" t="s">
        <v>13</v>
      </c>
      <c r="G5" s="7" t="s">
        <v>14</v>
      </c>
      <c r="H5" s="7" t="s">
        <v>15</v>
      </c>
      <c r="I5" s="15" t="s">
        <v>16</v>
      </c>
    </row>
    <row r="6" spans="1:11" s="2" customFormat="1" ht="27">
      <c r="B6" s="8" t="s">
        <v>337</v>
      </c>
      <c r="C6" s="9" t="s">
        <v>44</v>
      </c>
      <c r="D6" s="10" t="s">
        <v>51</v>
      </c>
      <c r="E6" s="10" t="s">
        <v>30</v>
      </c>
      <c r="F6" s="9" t="s">
        <v>323</v>
      </c>
      <c r="G6" s="11">
        <v>1.1000000000000001</v>
      </c>
      <c r="H6" s="9" t="s">
        <v>73</v>
      </c>
      <c r="I6" s="16" t="s">
        <v>351</v>
      </c>
    </row>
    <row r="7" spans="1:11" s="2" customFormat="1" ht="13.5">
      <c r="B7" s="8" t="s">
        <v>337</v>
      </c>
      <c r="C7" s="9" t="s">
        <v>28</v>
      </c>
      <c r="D7" s="10" t="s">
        <v>31</v>
      </c>
      <c r="E7" s="10" t="s">
        <v>34</v>
      </c>
      <c r="F7" s="9" t="s">
        <v>42</v>
      </c>
      <c r="G7" s="11">
        <v>0.6</v>
      </c>
      <c r="H7" s="9" t="s">
        <v>31</v>
      </c>
      <c r="I7" s="16" t="s">
        <v>350</v>
      </c>
    </row>
    <row r="8" spans="1:11" s="2" customFormat="1" ht="54">
      <c r="B8" s="8" t="s">
        <v>337</v>
      </c>
      <c r="C8" s="9" t="s">
        <v>43</v>
      </c>
      <c r="D8" s="10" t="s">
        <v>50</v>
      </c>
      <c r="E8" s="10" t="s">
        <v>30</v>
      </c>
      <c r="F8" s="9" t="s">
        <v>332</v>
      </c>
      <c r="G8" s="11">
        <v>0.9</v>
      </c>
      <c r="H8" s="9" t="s">
        <v>27</v>
      </c>
      <c r="I8" s="16" t="s">
        <v>349</v>
      </c>
    </row>
    <row r="9" spans="1:11" s="2" customFormat="1" ht="27">
      <c r="B9" s="8" t="s">
        <v>337</v>
      </c>
      <c r="C9" s="9" t="s">
        <v>44</v>
      </c>
      <c r="D9" s="10" t="s">
        <v>18</v>
      </c>
      <c r="E9" s="10" t="s">
        <v>30</v>
      </c>
      <c r="F9" s="9" t="s">
        <v>323</v>
      </c>
      <c r="G9" s="11">
        <v>3.6</v>
      </c>
      <c r="H9" s="9" t="s">
        <v>73</v>
      </c>
      <c r="I9" s="16" t="s">
        <v>348</v>
      </c>
    </row>
    <row r="10" spans="1:11" s="2" customFormat="1" ht="54">
      <c r="B10" s="8" t="s">
        <v>337</v>
      </c>
      <c r="C10" s="9" t="s">
        <v>43</v>
      </c>
      <c r="D10" s="10" t="s">
        <v>57</v>
      </c>
      <c r="E10" s="10" t="s">
        <v>30</v>
      </c>
      <c r="F10" s="9" t="s">
        <v>332</v>
      </c>
      <c r="G10" s="11">
        <v>1.6</v>
      </c>
      <c r="H10" s="9" t="s">
        <v>73</v>
      </c>
      <c r="I10" s="16" t="s">
        <v>359</v>
      </c>
    </row>
    <row r="11" spans="1:11" s="2" customFormat="1" ht="27">
      <c r="B11" s="8" t="s">
        <v>337</v>
      </c>
      <c r="C11" s="9" t="s">
        <v>44</v>
      </c>
      <c r="D11" s="10" t="s">
        <v>51</v>
      </c>
      <c r="E11" s="10" t="s">
        <v>30</v>
      </c>
      <c r="F11" s="9" t="s">
        <v>323</v>
      </c>
      <c r="G11" s="11">
        <v>3.4</v>
      </c>
      <c r="H11" s="9" t="s">
        <v>73</v>
      </c>
      <c r="I11" s="16" t="s">
        <v>370</v>
      </c>
    </row>
    <row r="12" spans="1:11" s="2" customFormat="1" ht="27">
      <c r="B12" s="8" t="s">
        <v>337</v>
      </c>
      <c r="C12" s="9" t="s">
        <v>43</v>
      </c>
      <c r="D12" s="10" t="s">
        <v>47</v>
      </c>
      <c r="E12" s="10" t="s">
        <v>30</v>
      </c>
      <c r="F12" s="9" t="s">
        <v>326</v>
      </c>
      <c r="G12" s="11">
        <v>0.8</v>
      </c>
      <c r="H12" s="9" t="s">
        <v>27</v>
      </c>
      <c r="I12" s="16" t="s">
        <v>354</v>
      </c>
    </row>
    <row r="13" spans="1:11" s="2" customFormat="1" ht="27">
      <c r="B13" s="8" t="s">
        <v>337</v>
      </c>
      <c r="C13" s="9" t="s">
        <v>43</v>
      </c>
      <c r="D13" s="10" t="s">
        <v>57</v>
      </c>
      <c r="E13" s="10" t="s">
        <v>30</v>
      </c>
      <c r="F13" s="9" t="s">
        <v>326</v>
      </c>
      <c r="G13" s="11">
        <v>0.9</v>
      </c>
      <c r="H13" s="9" t="s">
        <v>73</v>
      </c>
      <c r="I13" s="16" t="s">
        <v>355</v>
      </c>
    </row>
    <row r="14" spans="1:11" s="2" customFormat="1" ht="40.5">
      <c r="B14" s="8" t="s">
        <v>337</v>
      </c>
      <c r="C14" s="9" t="s">
        <v>22</v>
      </c>
      <c r="D14" s="10" t="s">
        <v>61</v>
      </c>
      <c r="E14" s="10" t="s">
        <v>30</v>
      </c>
      <c r="F14" s="9" t="s">
        <v>335</v>
      </c>
      <c r="G14" s="11">
        <v>0.4</v>
      </c>
      <c r="H14" s="9" t="s">
        <v>27</v>
      </c>
      <c r="I14" s="16" t="s">
        <v>356</v>
      </c>
    </row>
    <row r="15" spans="1:11" s="2" customFormat="1" ht="27">
      <c r="B15" s="8" t="s">
        <v>337</v>
      </c>
      <c r="C15" s="9" t="s">
        <v>28</v>
      </c>
      <c r="D15" s="10" t="s">
        <v>31</v>
      </c>
      <c r="E15" s="10" t="s">
        <v>34</v>
      </c>
      <c r="F15" s="9" t="s">
        <v>42</v>
      </c>
      <c r="G15" s="11">
        <v>1.4</v>
      </c>
      <c r="H15" s="9" t="s">
        <v>27</v>
      </c>
      <c r="I15" s="16" t="s">
        <v>358</v>
      </c>
    </row>
    <row r="16" spans="1:11" s="2" customFormat="1" ht="54">
      <c r="B16" s="8" t="s">
        <v>337</v>
      </c>
      <c r="C16" s="9" t="s">
        <v>43</v>
      </c>
      <c r="D16" s="10" t="s">
        <v>50</v>
      </c>
      <c r="E16" s="10" t="s">
        <v>30</v>
      </c>
      <c r="F16" s="9" t="s">
        <v>332</v>
      </c>
      <c r="G16" s="11">
        <v>0.3</v>
      </c>
      <c r="H16" s="9" t="s">
        <v>73</v>
      </c>
      <c r="I16" s="16" t="s">
        <v>352</v>
      </c>
      <c r="K16" s="2" t="s">
        <v>339</v>
      </c>
    </row>
    <row r="17" spans="2:12" s="2" customFormat="1" ht="27">
      <c r="B17" s="8" t="s">
        <v>337</v>
      </c>
      <c r="C17" s="9" t="s">
        <v>44</v>
      </c>
      <c r="D17" s="10" t="s">
        <v>18</v>
      </c>
      <c r="E17" s="10" t="s">
        <v>30</v>
      </c>
      <c r="F17" s="9" t="s">
        <v>323</v>
      </c>
      <c r="G17" s="11">
        <v>0.7</v>
      </c>
      <c r="H17" s="9" t="s">
        <v>73</v>
      </c>
      <c r="I17" s="16" t="s">
        <v>341</v>
      </c>
    </row>
    <row r="18" spans="2:12" s="2" customFormat="1" ht="54">
      <c r="B18" s="8" t="s">
        <v>337</v>
      </c>
      <c r="C18" s="9" t="s">
        <v>43</v>
      </c>
      <c r="D18" s="10" t="s">
        <v>57</v>
      </c>
      <c r="E18" s="10" t="s">
        <v>30</v>
      </c>
      <c r="F18" s="9" t="s">
        <v>332</v>
      </c>
      <c r="G18" s="11">
        <v>0.6</v>
      </c>
      <c r="H18" s="9" t="s">
        <v>27</v>
      </c>
      <c r="I18" s="16" t="s">
        <v>371</v>
      </c>
    </row>
    <row r="19" spans="2:12" s="2" customFormat="1" ht="27">
      <c r="B19" s="8" t="s">
        <v>337</v>
      </c>
      <c r="C19" s="9" t="s">
        <v>28</v>
      </c>
      <c r="D19" s="10" t="s">
        <v>31</v>
      </c>
      <c r="E19" s="10" t="s">
        <v>34</v>
      </c>
      <c r="F19" s="9" t="s">
        <v>42</v>
      </c>
      <c r="G19" s="11">
        <v>1.8</v>
      </c>
      <c r="H19" s="9" t="s">
        <v>31</v>
      </c>
      <c r="I19" s="16" t="s">
        <v>357</v>
      </c>
    </row>
    <row r="20" spans="2:12" s="2" customFormat="1" ht="54">
      <c r="B20" s="8" t="s">
        <v>337</v>
      </c>
      <c r="C20" s="9" t="s">
        <v>43</v>
      </c>
      <c r="D20" s="10" t="s">
        <v>47</v>
      </c>
      <c r="E20" s="10" t="s">
        <v>30</v>
      </c>
      <c r="F20" s="9" t="s">
        <v>332</v>
      </c>
      <c r="G20" s="11">
        <v>1.9</v>
      </c>
      <c r="H20" s="9" t="s">
        <v>73</v>
      </c>
      <c r="I20" s="16" t="s">
        <v>342</v>
      </c>
    </row>
    <row r="21" spans="2:12" s="2" customFormat="1" ht="54">
      <c r="B21" s="8" t="s">
        <v>337</v>
      </c>
      <c r="C21" s="9" t="s">
        <v>43</v>
      </c>
      <c r="D21" s="10" t="s">
        <v>50</v>
      </c>
      <c r="E21" s="10" t="s">
        <v>30</v>
      </c>
      <c r="F21" s="9" t="s">
        <v>332</v>
      </c>
      <c r="G21" s="11">
        <v>0.2</v>
      </c>
      <c r="H21" s="9" t="s">
        <v>27</v>
      </c>
      <c r="I21" s="16" t="s">
        <v>344</v>
      </c>
    </row>
    <row r="22" spans="2:12" s="2" customFormat="1" ht="27">
      <c r="B22" s="8" t="s">
        <v>337</v>
      </c>
      <c r="C22" s="9" t="s">
        <v>44</v>
      </c>
      <c r="D22" s="10" t="s">
        <v>51</v>
      </c>
      <c r="E22" s="10" t="s">
        <v>30</v>
      </c>
      <c r="F22" s="9" t="s">
        <v>323</v>
      </c>
      <c r="G22" s="11">
        <v>1.5</v>
      </c>
      <c r="H22" s="9" t="s">
        <v>27</v>
      </c>
      <c r="I22" s="16" t="s">
        <v>363</v>
      </c>
      <c r="L22" s="75"/>
    </row>
    <row r="23" spans="2:12" s="2" customFormat="1" ht="40.5">
      <c r="B23" s="8" t="s">
        <v>337</v>
      </c>
      <c r="C23" s="9" t="s">
        <v>22</v>
      </c>
      <c r="D23" s="10" t="s">
        <v>61</v>
      </c>
      <c r="E23" s="10" t="s">
        <v>30</v>
      </c>
      <c r="F23" s="9" t="s">
        <v>335</v>
      </c>
      <c r="G23" s="11">
        <v>0.7</v>
      </c>
      <c r="H23" s="9" t="s">
        <v>27</v>
      </c>
      <c r="I23" s="16" t="s">
        <v>361</v>
      </c>
    </row>
    <row r="24" spans="2:12" s="2" customFormat="1" ht="40.5">
      <c r="B24" s="8" t="s">
        <v>337</v>
      </c>
      <c r="C24" s="9" t="s">
        <v>43</v>
      </c>
      <c r="D24" s="10" t="s">
        <v>60</v>
      </c>
      <c r="E24" s="10" t="s">
        <v>30</v>
      </c>
      <c r="F24" s="9" t="s">
        <v>335</v>
      </c>
      <c r="G24" s="11">
        <v>0.6</v>
      </c>
      <c r="H24" s="9" t="s">
        <v>27</v>
      </c>
      <c r="I24" s="16" t="s">
        <v>364</v>
      </c>
    </row>
    <row r="25" spans="2:12" s="2" customFormat="1" ht="67.5">
      <c r="B25" s="8" t="s">
        <v>337</v>
      </c>
      <c r="C25" s="9" t="s">
        <v>28</v>
      </c>
      <c r="D25" s="10" t="s">
        <v>18</v>
      </c>
      <c r="E25" s="10" t="s">
        <v>30</v>
      </c>
      <c r="F25" s="9" t="s">
        <v>329</v>
      </c>
      <c r="G25" s="11">
        <v>1</v>
      </c>
      <c r="H25" s="9" t="s">
        <v>27</v>
      </c>
      <c r="I25" s="16" t="s">
        <v>362</v>
      </c>
    </row>
    <row r="26" spans="2:12" s="2" customFormat="1" ht="54">
      <c r="B26" s="8" t="s">
        <v>337</v>
      </c>
      <c r="C26" s="9" t="s">
        <v>43</v>
      </c>
      <c r="D26" s="10" t="s">
        <v>47</v>
      </c>
      <c r="E26" s="10" t="s">
        <v>30</v>
      </c>
      <c r="F26" s="9" t="s">
        <v>332</v>
      </c>
      <c r="G26" s="11">
        <v>1.7</v>
      </c>
      <c r="H26" s="9" t="s">
        <v>73</v>
      </c>
      <c r="I26" s="16" t="s">
        <v>365</v>
      </c>
    </row>
    <row r="27" spans="2:12" s="2" customFormat="1" ht="27">
      <c r="B27" s="8" t="s">
        <v>337</v>
      </c>
      <c r="C27" s="9" t="s">
        <v>44</v>
      </c>
      <c r="D27" s="10" t="s">
        <v>51</v>
      </c>
      <c r="E27" s="10" t="s">
        <v>30</v>
      </c>
      <c r="F27" s="9" t="s">
        <v>323</v>
      </c>
      <c r="G27" s="11">
        <v>0.7</v>
      </c>
      <c r="H27" s="9" t="s">
        <v>27</v>
      </c>
      <c r="I27" s="16" t="s">
        <v>366</v>
      </c>
    </row>
    <row r="28" spans="2:12" s="2" customFormat="1" ht="54">
      <c r="B28" s="8" t="s">
        <v>337</v>
      </c>
      <c r="C28" s="9" t="s">
        <v>43</v>
      </c>
      <c r="D28" s="10" t="s">
        <v>57</v>
      </c>
      <c r="E28" s="10" t="s">
        <v>30</v>
      </c>
      <c r="F28" s="9" t="s">
        <v>332</v>
      </c>
      <c r="G28" s="11">
        <v>0.3</v>
      </c>
      <c r="H28" s="9" t="s">
        <v>27</v>
      </c>
      <c r="I28" s="16" t="s">
        <v>345</v>
      </c>
    </row>
    <row r="29" spans="2:12" s="2" customFormat="1" ht="40.5">
      <c r="B29" s="8" t="s">
        <v>337</v>
      </c>
      <c r="C29" s="9" t="s">
        <v>43</v>
      </c>
      <c r="D29" s="10" t="s">
        <v>60</v>
      </c>
      <c r="E29" s="10" t="s">
        <v>30</v>
      </c>
      <c r="F29" s="9" t="s">
        <v>335</v>
      </c>
      <c r="G29" s="11">
        <v>0.3</v>
      </c>
      <c r="H29" s="9" t="s">
        <v>27</v>
      </c>
      <c r="I29" s="16" t="s">
        <v>369</v>
      </c>
    </row>
    <row r="30" spans="2:12" s="2" customFormat="1" ht="40.5">
      <c r="B30" s="8" t="s">
        <v>337</v>
      </c>
      <c r="C30" s="9" t="s">
        <v>44</v>
      </c>
      <c r="D30" s="10" t="s">
        <v>51</v>
      </c>
      <c r="E30" s="10" t="s">
        <v>30</v>
      </c>
      <c r="F30" s="9" t="s">
        <v>323</v>
      </c>
      <c r="G30" s="11">
        <v>5.6</v>
      </c>
      <c r="H30" s="9" t="s">
        <v>27</v>
      </c>
      <c r="I30" s="16" t="s">
        <v>368</v>
      </c>
    </row>
    <row r="31" spans="2:12" s="2" customFormat="1" ht="54">
      <c r="B31" s="8" t="s">
        <v>337</v>
      </c>
      <c r="C31" s="9" t="s">
        <v>43</v>
      </c>
      <c r="D31" s="10" t="s">
        <v>47</v>
      </c>
      <c r="E31" s="10" t="s">
        <v>30</v>
      </c>
      <c r="F31" s="9" t="s">
        <v>332</v>
      </c>
      <c r="G31" s="11">
        <v>0.9</v>
      </c>
      <c r="H31" s="9" t="s">
        <v>27</v>
      </c>
      <c r="I31" s="16" t="s">
        <v>347</v>
      </c>
    </row>
    <row r="32" spans="2:12" s="2" customFormat="1" ht="27">
      <c r="B32" s="8" t="s">
        <v>337</v>
      </c>
      <c r="C32" s="9" t="s">
        <v>28</v>
      </c>
      <c r="D32" s="10" t="s">
        <v>31</v>
      </c>
      <c r="E32" s="10" t="s">
        <v>34</v>
      </c>
      <c r="F32" s="9" t="s">
        <v>42</v>
      </c>
      <c r="G32" s="11">
        <v>0.5</v>
      </c>
      <c r="H32" s="9" t="s">
        <v>27</v>
      </c>
      <c r="I32" s="16" t="s">
        <v>367</v>
      </c>
    </row>
    <row r="33" spans="2:11" s="2" customFormat="1" ht="27">
      <c r="B33" s="8" t="s">
        <v>337</v>
      </c>
      <c r="C33" s="9" t="s">
        <v>28</v>
      </c>
      <c r="D33" s="10" t="s">
        <v>31</v>
      </c>
      <c r="E33" s="10" t="s">
        <v>33</v>
      </c>
      <c r="F33" s="9" t="s">
        <v>39</v>
      </c>
      <c r="G33" s="11">
        <v>1.5</v>
      </c>
      <c r="H33" s="9" t="s">
        <v>31</v>
      </c>
      <c r="I33" s="16" t="s">
        <v>340</v>
      </c>
    </row>
    <row r="34" spans="2:11" s="2" customFormat="1" ht="40.5">
      <c r="B34" s="8" t="s">
        <v>337</v>
      </c>
      <c r="C34" s="9" t="s">
        <v>28</v>
      </c>
      <c r="D34" s="10" t="s">
        <v>31</v>
      </c>
      <c r="E34" s="10" t="s">
        <v>30</v>
      </c>
      <c r="F34" s="9" t="s">
        <v>330</v>
      </c>
      <c r="G34" s="11">
        <v>0.7</v>
      </c>
      <c r="H34" s="9" t="s">
        <v>27</v>
      </c>
      <c r="I34" s="16" t="s">
        <v>346</v>
      </c>
    </row>
    <row r="35" spans="2:11" s="2" customFormat="1" ht="13.5">
      <c r="B35" s="8"/>
      <c r="C35" s="9"/>
      <c r="D35" s="10"/>
      <c r="E35" s="10"/>
      <c r="F35" s="9"/>
      <c r="G35" s="11"/>
      <c r="H35" s="9"/>
      <c r="I35" s="16"/>
      <c r="K35" s="75"/>
    </row>
    <row r="36" spans="2:11" s="2" customFormat="1" ht="14.5" customHeight="1">
      <c r="B36" s="80" t="s">
        <v>32</v>
      </c>
      <c r="C36" s="81"/>
      <c r="D36" s="82"/>
      <c r="E36" s="12"/>
      <c r="F36" s="12"/>
      <c r="G36" s="83">
        <f>SUM(G6:G35)</f>
        <v>36.200000000000003</v>
      </c>
      <c r="H36" s="84"/>
      <c r="I36" s="85"/>
    </row>
    <row r="39" spans="2:11">
      <c r="B39" s="17" t="s">
        <v>81</v>
      </c>
      <c r="C39" s="18" t="s">
        <v>360</v>
      </c>
    </row>
    <row r="40" spans="2:11">
      <c r="C40" s="18" t="s">
        <v>343</v>
      </c>
    </row>
  </sheetData>
  <mergeCells count="4">
    <mergeCell ref="B1:I1"/>
    <mergeCell ref="B2:H2"/>
    <mergeCell ref="B36:D36"/>
    <mergeCell ref="G36:I36"/>
  </mergeCells>
  <phoneticPr fontId="10" type="noConversion"/>
  <dataValidations count="3">
    <dataValidation type="list" errorStyle="warning" allowBlank="1" sqref="C19:C35" xr:uid="{00000000-0002-0000-0000-000005000000}">
      <formula1>项目事项分类项目名称</formula1>
    </dataValidation>
    <dataValidation type="list" allowBlank="1" showInputMessage="1" showErrorMessage="1" sqref="F6:F35" xr:uid="{00000000-0002-0000-0000-000002000000}">
      <formula1>INDIRECT($E6)</formula1>
    </dataValidation>
    <dataValidation type="list" allowBlank="1" showInputMessage="1" showErrorMessage="1" sqref="H6:H35"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errorStyle="warning" allowBlank="1" xr:uid="{00000000-0002-0000-0000-000003000000}">
          <x14:formula1>
            <xm:f>'Exhibit I - Virtual Group'!$A$1:$A$7</xm:f>
          </x14:formula1>
          <xm:sqref>C6:C18</xm:sqref>
        </x14:dataValidation>
        <x14:dataValidation type="list" allowBlank="1" showInputMessage="1" showErrorMessage="1" promptTitle="Internal Client" xr:uid="{00000000-0002-0000-0000-000004000000}">
          <x14:formula1>
            <xm:f>'Exhibit II - Internal Client'!$A$1:$A$20</xm:f>
          </x14:formula1>
          <xm:sqref>D6:D35</xm:sqref>
        </x14:dataValidation>
        <x14:dataValidation type="list" allowBlank="1" showInputMessage="1" showErrorMessage="1" xr:uid="{00000000-0002-0000-0000-000007000000}">
          <x14:formula1>
            <xm:f>Tag!$B$2:$E$2</xm:f>
          </x14:formula1>
          <xm:sqref>E6:E35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topLeftCell="A9" zoomScale="80" zoomScaleNormal="80" workbookViewId="0">
      <selection activeCell="C21" sqref="C21"/>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331</v>
      </c>
      <c r="C3" s="1" t="s">
        <v>35</v>
      </c>
      <c r="D3" s="1" t="s">
        <v>80</v>
      </c>
      <c r="E3" s="1" t="s">
        <v>20</v>
      </c>
    </row>
    <row r="4" spans="2:5" ht="43.5">
      <c r="B4" s="1" t="s">
        <v>323</v>
      </c>
      <c r="C4" s="1" t="s">
        <v>36</v>
      </c>
      <c r="D4" s="1" t="s">
        <v>37</v>
      </c>
      <c r="E4" s="1" t="s">
        <v>38</v>
      </c>
    </row>
    <row r="5" spans="2:5" ht="87">
      <c r="B5" s="1" t="s">
        <v>336</v>
      </c>
      <c r="C5" s="1" t="s">
        <v>39</v>
      </c>
      <c r="D5" s="1" t="s">
        <v>40</v>
      </c>
      <c r="E5" s="1"/>
    </row>
    <row r="6" spans="2:5" ht="94.5" customHeight="1">
      <c r="B6" s="1" t="s">
        <v>324</v>
      </c>
      <c r="C6" s="1"/>
      <c r="D6" s="1" t="s">
        <v>41</v>
      </c>
      <c r="E6" s="1"/>
    </row>
    <row r="7" spans="2:5" ht="54" customHeight="1">
      <c r="B7" s="1" t="s">
        <v>332</v>
      </c>
      <c r="C7" s="1"/>
      <c r="D7" s="1" t="s">
        <v>42</v>
      </c>
      <c r="E7" s="1"/>
    </row>
    <row r="8" spans="2:5" ht="53.15" customHeight="1">
      <c r="B8" s="1" t="s">
        <v>325</v>
      </c>
      <c r="E8" s="1"/>
    </row>
    <row r="9" spans="2:5" ht="29">
      <c r="B9" s="1" t="s">
        <v>326</v>
      </c>
      <c r="C9" s="1"/>
      <c r="D9" s="1"/>
    </row>
    <row r="10" spans="2:5" ht="29">
      <c r="B10" s="1" t="s">
        <v>327</v>
      </c>
      <c r="C10" s="1"/>
      <c r="D10" s="1"/>
    </row>
    <row r="11" spans="2:5" ht="29">
      <c r="B11" s="1" t="s">
        <v>334</v>
      </c>
      <c r="C11" s="1"/>
      <c r="D11" s="1"/>
    </row>
    <row r="12" spans="2:5" ht="43.5">
      <c r="B12" s="1" t="s">
        <v>335</v>
      </c>
      <c r="C12" s="1"/>
      <c r="D12" s="1"/>
    </row>
    <row r="13" spans="2:5" ht="29">
      <c r="B13" s="1" t="s">
        <v>333</v>
      </c>
      <c r="C13" s="1"/>
      <c r="D13" s="1"/>
    </row>
    <row r="14" spans="2:5" ht="29">
      <c r="B14" s="1" t="s">
        <v>338</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13" workbookViewId="0">
      <selection activeCell="F12" sqref="F12"/>
    </sheetView>
  </sheetViews>
  <sheetFormatPr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86" t="s">
        <v>92</v>
      </c>
      <c r="D1" s="87"/>
      <c r="E1" s="87"/>
      <c r="F1" s="87"/>
      <c r="G1" s="87"/>
      <c r="H1" s="87"/>
      <c r="I1" s="87"/>
      <c r="J1" s="87"/>
      <c r="K1" s="87"/>
      <c r="L1" s="87"/>
      <c r="M1" s="87"/>
      <c r="N1" s="87"/>
    </row>
    <row r="2" spans="2:14">
      <c r="C2" s="88" t="s">
        <v>93</v>
      </c>
      <c r="D2" s="88"/>
      <c r="E2" s="88"/>
      <c r="F2" s="88"/>
      <c r="G2" s="88"/>
      <c r="H2" s="88"/>
      <c r="I2" s="88"/>
      <c r="J2" s="88"/>
      <c r="K2" s="88"/>
      <c r="L2" s="88"/>
      <c r="M2" s="88"/>
      <c r="N2" s="88"/>
    </row>
    <row r="3" spans="2:14">
      <c r="C3" s="89" t="s">
        <v>94</v>
      </c>
      <c r="D3" s="91" t="s">
        <v>95</v>
      </c>
      <c r="E3" s="92"/>
      <c r="F3" s="89" t="s">
        <v>96</v>
      </c>
      <c r="G3" s="89" t="s">
        <v>97</v>
      </c>
      <c r="H3" s="89" t="s">
        <v>98</v>
      </c>
      <c r="I3" s="95" t="s">
        <v>99</v>
      </c>
      <c r="J3" s="89" t="s">
        <v>63</v>
      </c>
      <c r="K3" s="96" t="s">
        <v>62</v>
      </c>
      <c r="L3" s="97"/>
      <c r="M3" s="97"/>
      <c r="N3" s="98"/>
    </row>
    <row r="4" spans="2:14">
      <c r="C4" s="90"/>
      <c r="D4" s="93"/>
      <c r="E4" s="94"/>
      <c r="F4" s="90"/>
      <c r="G4" s="90"/>
      <c r="H4" s="90"/>
      <c r="I4" s="90"/>
      <c r="J4" s="90"/>
      <c r="K4" s="20" t="s">
        <v>64</v>
      </c>
      <c r="L4" s="20" t="s">
        <v>65</v>
      </c>
      <c r="M4" s="20" t="s">
        <v>66</v>
      </c>
      <c r="N4" s="20" t="s">
        <v>67</v>
      </c>
    </row>
    <row r="5" spans="2:14" ht="108.5" outlineLevel="1">
      <c r="C5" s="21" t="s">
        <v>100</v>
      </c>
      <c r="D5" s="99" t="s">
        <v>101</v>
      </c>
      <c r="E5" s="100"/>
      <c r="F5" s="22" t="s">
        <v>102</v>
      </c>
      <c r="G5" s="21" t="s">
        <v>103</v>
      </c>
      <c r="H5" s="21" t="s">
        <v>104</v>
      </c>
      <c r="I5" s="21" t="s">
        <v>105</v>
      </c>
      <c r="J5" s="21" t="s">
        <v>106</v>
      </c>
      <c r="K5" s="101" t="s">
        <v>107</v>
      </c>
      <c r="L5" s="101"/>
      <c r="M5" s="101"/>
      <c r="N5" s="101"/>
    </row>
    <row r="6" spans="2:14" s="23" customFormat="1" ht="201.5" outlineLevel="1">
      <c r="B6" s="102"/>
      <c r="C6" s="103" t="s">
        <v>108</v>
      </c>
      <c r="D6" s="107"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102"/>
      <c r="C7" s="104"/>
      <c r="D7" s="104"/>
      <c r="E7" s="32" t="s">
        <v>116</v>
      </c>
      <c r="F7" s="33" t="s">
        <v>117</v>
      </c>
      <c r="G7" s="27" t="s">
        <v>118</v>
      </c>
      <c r="H7" s="34">
        <v>5</v>
      </c>
      <c r="I7" s="35" t="s">
        <v>119</v>
      </c>
      <c r="J7" s="29" t="s">
        <v>120</v>
      </c>
      <c r="K7" s="36" t="s">
        <v>121</v>
      </c>
      <c r="L7" s="37" t="s">
        <v>115</v>
      </c>
      <c r="M7" s="36" t="s">
        <v>122</v>
      </c>
      <c r="N7" s="38" t="s">
        <v>123</v>
      </c>
    </row>
    <row r="8" spans="2:14" s="23" customFormat="1" ht="217" outlineLevel="1">
      <c r="B8" s="102"/>
      <c r="C8" s="105"/>
      <c r="D8" s="108"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102"/>
      <c r="C9" s="105"/>
      <c r="D9" s="109"/>
      <c r="E9" s="27" t="s">
        <v>131</v>
      </c>
      <c r="F9" s="26" t="s">
        <v>132</v>
      </c>
      <c r="G9" s="39" t="s">
        <v>133</v>
      </c>
      <c r="H9" s="28">
        <v>5</v>
      </c>
      <c r="I9" s="29" t="s">
        <v>128</v>
      </c>
      <c r="J9" s="29" t="s">
        <v>134</v>
      </c>
      <c r="K9" s="39" t="s">
        <v>135</v>
      </c>
      <c r="L9" s="39" t="s">
        <v>136</v>
      </c>
      <c r="M9" s="39" t="s">
        <v>137</v>
      </c>
      <c r="N9" s="38" t="s">
        <v>137</v>
      </c>
    </row>
    <row r="10" spans="2:14" s="23" customFormat="1" ht="77.5" outlineLevel="1">
      <c r="B10" s="102"/>
      <c r="C10" s="104"/>
      <c r="D10" s="110" t="s">
        <v>138</v>
      </c>
      <c r="E10" s="94"/>
      <c r="F10" s="27" t="s">
        <v>139</v>
      </c>
      <c r="G10" s="40" t="s">
        <v>140</v>
      </c>
      <c r="H10" s="35">
        <v>4</v>
      </c>
      <c r="I10" s="29" t="s">
        <v>128</v>
      </c>
      <c r="J10" s="30" t="s">
        <v>141</v>
      </c>
      <c r="K10" s="39" t="s">
        <v>142</v>
      </c>
      <c r="L10" s="39" t="s">
        <v>142</v>
      </c>
      <c r="M10" s="39" t="s">
        <v>142</v>
      </c>
      <c r="N10" s="38" t="s">
        <v>142</v>
      </c>
    </row>
    <row r="11" spans="2:14" s="23" customFormat="1" ht="263.5" outlineLevel="1">
      <c r="B11" s="102"/>
      <c r="C11" s="104"/>
      <c r="D11" s="107" t="s">
        <v>143</v>
      </c>
      <c r="E11" s="100"/>
      <c r="F11" s="27" t="s">
        <v>144</v>
      </c>
      <c r="G11" s="27" t="s">
        <v>145</v>
      </c>
      <c r="H11" s="28">
        <v>5</v>
      </c>
      <c r="I11" s="29" t="s">
        <v>146</v>
      </c>
      <c r="J11" s="29" t="s">
        <v>147</v>
      </c>
      <c r="K11" s="29" t="s">
        <v>148</v>
      </c>
      <c r="L11" s="29" t="s">
        <v>148</v>
      </c>
      <c r="M11" s="29" t="s">
        <v>148</v>
      </c>
      <c r="N11" s="29" t="s">
        <v>148</v>
      </c>
    </row>
    <row r="12" spans="2:14" s="23" customFormat="1" ht="409.5" outlineLevel="1">
      <c r="B12" s="102"/>
      <c r="C12" s="105"/>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05"/>
      <c r="D13" s="111"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06"/>
      <c r="D14" s="112"/>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93"/>
      <c r="D15" s="112"/>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102"/>
      <c r="C16" s="113" t="s">
        <v>167</v>
      </c>
      <c r="D16" s="116"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102"/>
      <c r="C17" s="114"/>
      <c r="D17" s="117"/>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102"/>
      <c r="C18" s="114"/>
      <c r="D18" s="118" t="s">
        <v>85</v>
      </c>
      <c r="E18" s="119"/>
      <c r="F18" s="44" t="s">
        <v>179</v>
      </c>
      <c r="G18" s="44" t="s">
        <v>180</v>
      </c>
      <c r="H18" s="42">
        <v>5</v>
      </c>
      <c r="I18" s="29" t="s">
        <v>181</v>
      </c>
      <c r="J18" s="29" t="s">
        <v>26</v>
      </c>
      <c r="K18" s="36" t="s">
        <v>182</v>
      </c>
      <c r="L18" s="36" t="s">
        <v>183</v>
      </c>
      <c r="M18" s="36" t="s">
        <v>183</v>
      </c>
      <c r="N18" s="38" t="s">
        <v>183</v>
      </c>
    </row>
    <row r="19" spans="2:14" s="23" customFormat="1" ht="155" outlineLevel="1">
      <c r="B19" s="102"/>
      <c r="C19" s="114"/>
      <c r="D19" s="120" t="s">
        <v>86</v>
      </c>
      <c r="E19" s="100"/>
      <c r="F19" s="44" t="s">
        <v>184</v>
      </c>
      <c r="G19" s="27" t="s">
        <v>175</v>
      </c>
      <c r="H19" s="42">
        <v>5</v>
      </c>
      <c r="I19" s="29" t="s">
        <v>185</v>
      </c>
      <c r="J19" s="44" t="s">
        <v>186</v>
      </c>
      <c r="K19" s="36" t="s">
        <v>187</v>
      </c>
      <c r="L19" s="36" t="s">
        <v>187</v>
      </c>
      <c r="M19" s="36" t="s">
        <v>187</v>
      </c>
      <c r="N19" s="49" t="s">
        <v>187</v>
      </c>
    </row>
    <row r="20" spans="2:14" s="23" customFormat="1" ht="93" outlineLevel="1">
      <c r="B20" s="102"/>
      <c r="C20" s="115"/>
      <c r="D20" s="121" t="s">
        <v>87</v>
      </c>
      <c r="E20" s="122"/>
      <c r="F20" s="50" t="s">
        <v>188</v>
      </c>
      <c r="G20" s="44" t="s">
        <v>70</v>
      </c>
      <c r="H20" s="42">
        <v>5</v>
      </c>
      <c r="I20" s="29" t="s">
        <v>189</v>
      </c>
      <c r="J20" s="29" t="s">
        <v>190</v>
      </c>
      <c r="K20" s="36" t="s">
        <v>191</v>
      </c>
      <c r="L20" s="36" t="s">
        <v>192</v>
      </c>
      <c r="M20" s="36" t="s">
        <v>191</v>
      </c>
      <c r="N20" s="38" t="s">
        <v>191</v>
      </c>
    </row>
    <row r="21" spans="2:14" ht="170.5">
      <c r="B21" s="102"/>
      <c r="C21" s="114"/>
      <c r="D21" s="123"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102"/>
      <c r="C22" s="114"/>
      <c r="D22" s="93"/>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102"/>
      <c r="C23" s="113"/>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102"/>
      <c r="C24" s="114"/>
      <c r="D24" s="120" t="s">
        <v>214</v>
      </c>
      <c r="E24" s="92"/>
      <c r="F24" s="44" t="s">
        <v>215</v>
      </c>
      <c r="G24" s="44" t="s">
        <v>216</v>
      </c>
      <c r="H24" s="42">
        <v>5</v>
      </c>
      <c r="I24" s="29" t="s">
        <v>128</v>
      </c>
      <c r="J24" s="29" t="s">
        <v>141</v>
      </c>
      <c r="K24" s="29" t="s">
        <v>217</v>
      </c>
      <c r="L24" s="29" t="s">
        <v>218</v>
      </c>
      <c r="M24" s="29" t="s">
        <v>218</v>
      </c>
      <c r="N24" s="29" t="s">
        <v>218</v>
      </c>
    </row>
    <row r="25" spans="2:14" s="23" customFormat="1" ht="310" outlineLevel="1">
      <c r="B25" s="102"/>
      <c r="C25" s="115"/>
      <c r="D25" s="121" t="s">
        <v>219</v>
      </c>
      <c r="E25" s="122"/>
      <c r="F25" s="50" t="s">
        <v>220</v>
      </c>
      <c r="G25" s="44" t="s">
        <v>221</v>
      </c>
      <c r="H25" s="42">
        <v>5</v>
      </c>
      <c r="I25" s="29" t="s">
        <v>128</v>
      </c>
      <c r="J25" s="29" t="s">
        <v>222</v>
      </c>
      <c r="K25" s="29" t="s">
        <v>223</v>
      </c>
      <c r="L25" s="29" t="s">
        <v>224</v>
      </c>
      <c r="M25" s="29" t="s">
        <v>225</v>
      </c>
      <c r="N25" s="29" t="s">
        <v>226</v>
      </c>
    </row>
    <row r="26" spans="2:14" s="23" customFormat="1" ht="409.5" outlineLevel="1">
      <c r="B26" s="102"/>
      <c r="C26" s="114"/>
      <c r="D26" s="116"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102"/>
      <c r="C27" s="114"/>
      <c r="D27" s="124"/>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102"/>
      <c r="C28" s="114"/>
      <c r="D28" s="118" t="s">
        <v>89</v>
      </c>
      <c r="E28" s="119"/>
      <c r="F28" s="44" t="s">
        <v>243</v>
      </c>
      <c r="G28" s="44" t="s">
        <v>244</v>
      </c>
      <c r="H28" s="42">
        <v>5</v>
      </c>
      <c r="I28" s="29" t="s">
        <v>245</v>
      </c>
      <c r="J28" s="55" t="s">
        <v>246</v>
      </c>
      <c r="K28" s="29" t="s">
        <v>247</v>
      </c>
      <c r="L28" s="29" t="s">
        <v>247</v>
      </c>
      <c r="M28" s="29" t="s">
        <v>248</v>
      </c>
      <c r="N28" s="29" t="s">
        <v>248</v>
      </c>
    </row>
    <row r="29" spans="2:14" s="23" customFormat="1" ht="139.5" outlineLevel="1">
      <c r="B29" s="102"/>
      <c r="C29" s="113" t="s">
        <v>249</v>
      </c>
      <c r="D29" s="126"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102"/>
      <c r="C30" s="125"/>
      <c r="D30" s="127"/>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102"/>
      <c r="C31" s="125"/>
      <c r="D31" s="116"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102"/>
      <c r="C32" s="125"/>
      <c r="D32" s="128"/>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102"/>
      <c r="C33" s="113" t="s">
        <v>270</v>
      </c>
      <c r="D33" s="103"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102"/>
      <c r="C34" s="114"/>
      <c r="D34" s="129"/>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102"/>
      <c r="C35" s="114"/>
      <c r="D35" s="117"/>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102"/>
      <c r="C36" s="114"/>
      <c r="D36" s="103"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102"/>
      <c r="C37" s="114"/>
      <c r="D37" s="117"/>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102"/>
      <c r="C38" s="114"/>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2025-06-02T07:35:11Z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