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D:\Tencent\Admin\Timesheets\"/>
    </mc:Choice>
  </mc:AlternateContent>
  <xr:revisionPtr revIDLastSave="0" documentId="13_ncr:1_{EA1E42A8-D283-4BDC-8AA3-16F9C5B83575}" xr6:coauthVersionLast="47" xr6:coauthVersionMax="47" xr10:uidLastSave="{00000000-0000-0000-0000-000000000000}"/>
  <bookViews>
    <workbookView xWindow="-57720" yWindow="-120" windowWidth="29040" windowHeight="157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3" i="1" l="1"/>
</calcChain>
</file>

<file path=xl/sharedStrings.xml><?xml version="1.0" encoding="utf-8"?>
<sst xmlns="http://schemas.openxmlformats.org/spreadsheetml/2006/main" count="629" uniqueCount="369">
  <si>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</si>
  <si>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</si>
  <si>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</si>
  <si>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</si>
  <si>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</si>
  <si>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</si>
  <si>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</si>
  <si>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</si>
  <si>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</si>
  <si>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</si>
  <si>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</si>
  <si>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</si>
  <si>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</si>
  <si>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</si>
  <si>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</si>
  <si>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</si>
  <si>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</si>
  <si>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</si>
  <si>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</si>
  <si>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</si>
  <si>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</si>
  <si>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</si>
  <si>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</si>
  <si>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</si>
  <si>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</si>
  <si>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</si>
  <si>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</si>
  <si>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</si>
  <si>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</si>
  <si>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</si>
  <si>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</si>
  <si>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</si>
  <si>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</si>
  <si>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</si>
  <si>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</si>
  <si>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</si>
  <si>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</si>
  <si>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</si>
  <si>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</si>
  <si>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</si>
  <si>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</si>
  <si>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</si>
  <si>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</si>
  <si>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</si>
  <si>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</si>
  <si>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</si>
  <si>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</si>
  <si>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</si>
  <si>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</si>
  <si>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</si>
  <si>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</si>
  <si>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</si>
  <si>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</si>
  <si>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</si>
  <si>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</si>
  <si>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</si>
  <si>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</si>
  <si>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</si>
  <si>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</si>
  <si>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</si>
  <si>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</si>
  <si>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</si>
  <si>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</si>
  <si>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</si>
  <si>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</si>
  <si>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</si>
  <si>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</si>
  <si>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</si>
  <si>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</si>
  <si>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</si>
  <si>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</si>
  <si>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</si>
  <si>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</si>
  <si>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</si>
  <si>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</si>
  <si>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</si>
  <si>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</si>
  <si>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</si>
  <si>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</si>
  <si>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</si>
  <si>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</si>
  <si>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</si>
  <si>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</si>
  <si>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</si>
  <si>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</si>
  <si>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</si>
  <si>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</si>
  <si>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</si>
  <si>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</si>
  <si>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</si>
  <si>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</si>
  <si>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</si>
  <si>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</si>
  <si>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</si>
  <si>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</si>
  <si>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</si>
  <si>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</si>
  <si>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</si>
  <si>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</si>
  <si>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</si>
  <si>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</si>
  <si>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</si>
  <si>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</si>
  <si>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</si>
  <si>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</si>
  <si>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</si>
  <si>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</si>
  <si>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</si>
  <si>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</si>
  <si>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</si>
  <si>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</si>
  <si>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</si>
  <si>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</si>
  <si>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</si>
  <si>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</si>
  <si>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</si>
  <si>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</si>
  <si>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</si>
  <si>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</si>
  <si>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</si>
  <si>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</si>
  <si>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</si>
  <si>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</si>
  <si>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</si>
  <si>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</si>
  <si>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</si>
  <si>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</si>
  <si>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</si>
  <si>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</si>
  <si>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</si>
  <si>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</si>
  <si>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</si>
  <si>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</si>
  <si>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</si>
  <si>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</si>
  <si>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</si>
  <si>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</si>
  <si>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</si>
  <si>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</si>
  <si>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</si>
  <si>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</si>
  <si>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</si>
  <si>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</si>
  <si>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</si>
  <si>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</si>
  <si>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</si>
  <si>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</si>
  <si>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</si>
  <si>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</si>
  <si>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</si>
  <si>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</si>
  <si>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</si>
  <si>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</si>
  <si>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</si>
  <si>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</si>
  <si>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</si>
  <si>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</si>
  <si>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</si>
  <si>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</si>
  <si>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</si>
  <si>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</si>
  <si>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</si>
  <si>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</si>
  <si>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</si>
  <si>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</si>
  <si>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</si>
  <si>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</si>
  <si>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</si>
  <si>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</si>
  <si>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</si>
  <si>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</si>
  <si>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</si>
  <si>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</si>
  <si>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</si>
  <si>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</si>
  <si>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</si>
  <si>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</si>
  <si>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</si>
  <si>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</si>
  <si>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</si>
  <si>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</si>
  <si>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</si>
  <si>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</si>
  <si>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</si>
  <si>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</si>
  <si>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</si>
  <si>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</si>
  <si>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</si>
  <si>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</si>
  <si>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</si>
  <si>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</si>
  <si>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</si>
  <si>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</si>
  <si>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</si>
  <si>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</si>
  <si>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</si>
  <si>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</si>
  <si>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</si>
  <si>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</si>
  <si>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</si>
  <si>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</si>
  <si>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</si>
  <si>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</si>
  <si>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</si>
  <si>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</si>
  <si>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</si>
  <si>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</si>
  <si>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</si>
  <si>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</si>
  <si>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</si>
  <si>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</si>
  <si>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</si>
  <si>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</si>
  <si>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</si>
  <si>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</si>
  <si>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</si>
  <si>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</si>
  <si>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</si>
  <si>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</si>
  <si>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</si>
  <si>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</si>
  <si>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</si>
  <si>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</si>
  <si>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</si>
  <si>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</si>
  <si>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</si>
  <si>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</si>
  <si>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</si>
  <si>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</si>
  <si>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</si>
  <si>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</si>
  <si>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</si>
  <si>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</si>
  <si>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</si>
  <si>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</si>
  <si>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</si>
  <si>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</si>
  <si>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</si>
  <si>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</si>
  <si>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</si>
  <si>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</si>
  <si>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</si>
  <si>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</si>
  <si>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</si>
  <si>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</si>
  <si>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</si>
  <si>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</si>
  <si>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</si>
  <si>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</si>
  <si>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</si>
  <si>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</si>
  <si>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</si>
  <si>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</si>
  <si>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</si>
  <si>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</si>
  <si>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</si>
  <si>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</si>
  <si>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</si>
  <si>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</si>
  <si>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</si>
  <si>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</si>
  <si>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</si>
  <si>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</si>
  <si>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</si>
  <si>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</si>
  <si>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</si>
  <si>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</si>
  <si>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</si>
  <si>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</si>
  <si>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</si>
  <si>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</si>
  <si>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</si>
  <si>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</si>
  <si>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</si>
  <si>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</si>
  <si>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</si>
  <si>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</si>
  <si>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</si>
  <si>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</si>
  <si>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</si>
  <si>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</si>
  <si>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</si>
  <si>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</si>
  <si>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</si>
  <si>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</si>
  <si>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</si>
  <si>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</si>
  <si>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</si>
  <si>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</si>
  <si>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</si>
  <si>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</si>
  <si>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</si>
  <si>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</si>
  <si>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</si>
  <si>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</si>
  <si>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</si>
  <si>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</si>
  <si>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</si>
  <si>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</si>
  <si>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</si>
  <si>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</si>
  <si>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</si>
  <si>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</si>
  <si>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</si>
  <si>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</si>
  <si>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</si>
  <si>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</si>
  <si>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</si>
  <si>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</si>
  <si>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</si>
  <si>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</si>
  <si>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</si>
  <si>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</si>
  <si>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</si>
  <si>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</si>
  <si>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</si>
  <si>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</si>
  <si>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</si>
  <si>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</si>
  <si>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</si>
  <si>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</si>
  <si>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</si>
  <si>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</si>
  <si>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</si>
  <si>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</si>
  <si>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</si>
  <si>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</si>
  <si>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</si>
  <si>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</si>
  <si>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</si>
  <si>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</si>
  <si>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</si>
  <si>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</si>
  <si>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</si>
  <si>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</si>
  <si>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</si>
  <si>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</si>
  <si>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sallycheung</t>
  </si>
  <si>
    <t>CTD-0301 国际业务监管应对  International regulatory requests/queries/responses</t>
  </si>
  <si>
    <t>Timesheets  and Imanage</t>
  </si>
  <si>
    <r>
      <t>Date: 2025</t>
    </r>
    <r>
      <rPr>
        <b/>
        <sz val="10"/>
        <color theme="0"/>
        <rFont val="等线"/>
        <charset val="134"/>
      </rPr>
      <t xml:space="preserve"> - </t>
    </r>
    <r>
      <rPr>
        <b/>
        <sz val="10"/>
        <color theme="0"/>
        <rFont val="Calibri"/>
        <family val="2"/>
        <scheme val="minor"/>
      </rPr>
      <t>06 - 30</t>
    </r>
    <r>
      <rPr>
        <b/>
        <sz val="10"/>
        <color theme="0"/>
        <rFont val="新細明體"/>
        <family val="1"/>
        <charset val="136"/>
      </rPr>
      <t xml:space="preserve"> - </t>
    </r>
    <r>
      <rPr>
        <b/>
        <sz val="10"/>
        <color theme="0"/>
        <rFont val="Calibri"/>
        <family val="2"/>
        <scheme val="minor"/>
      </rPr>
      <t>2025 - 07 - 06</t>
    </r>
  </si>
  <si>
    <t>Public Holiday on</t>
  </si>
  <si>
    <t>AL/SL/Other Leave on</t>
  </si>
  <si>
    <t>review comsec documents</t>
  </si>
  <si>
    <t>discuss re. Saudi POA requirement</t>
  </si>
  <si>
    <t>discussions with Finance team re. PPTA and PBO requirements</t>
  </si>
  <si>
    <t>review account opening documents</t>
  </si>
  <si>
    <t>Review advice from local counsels on capital injection and summarise for finance team, review Turkey POA, review securities account documents</t>
  </si>
  <si>
    <t>discussions with CC re. new internal investment management structure, discussions with Luey re. posting of announcements</t>
  </si>
  <si>
    <t>review slides and email to CC re. instructions, final review on announcements</t>
  </si>
  <si>
    <t>review CC advice and summarised further follow up questions</t>
  </si>
  <si>
    <t>reviewed BR on distribution in kind, summarised HK requirements on distributions</t>
  </si>
  <si>
    <t>donation agreement</t>
  </si>
  <si>
    <t>biweekly call</t>
  </si>
  <si>
    <t>closing call for soup dumpling, call with CC re. advice and follow up questions</t>
  </si>
  <si>
    <t>review SOW, discuss with Cindy, review US party agreement, review lease agreement</t>
  </si>
  <si>
    <t>discussion with Harvey and Ian re. documents to provide</t>
  </si>
  <si>
    <t>discuss with Cat on the SSV arrangement</t>
  </si>
  <si>
    <t>review advice and summarise</t>
  </si>
  <si>
    <t>reviewing local German counsel advice on capital injection, summarise, review KYC requirements</t>
  </si>
  <si>
    <t>discuss with Thai counsel re thai structure</t>
  </si>
  <si>
    <t>draft response to finance team re. possibility of an intragroup loan</t>
  </si>
  <si>
    <t>review board resolutions and account packs</t>
  </si>
  <si>
    <t xml:space="preserve">management meeting </t>
  </si>
  <si>
    <t>discussion with Ceci and Anderson re. treasury questions, discussion with Amy re commission split and timing</t>
  </si>
  <si>
    <t>review KYC requirements, review changes to DBS FA, draft message to Jed and Catherine re. SSV funds</t>
  </si>
  <si>
    <t>consider and respond to Liz re. POA requirements</t>
  </si>
  <si>
    <t>discussions with Bell re. Russian signatures</t>
  </si>
  <si>
    <t>reviewing advice from local counsels re. injection of capital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</si>
</sst>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65" fontId="1" fillId="0" borderId="0" xfId="0" applyNumberFormat="1"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7"/>
  <sheetViews>
    <sheetView tabSelected="1" zoomScale="80" zoomScaleNormal="80" workbookViewId="0">
      <selection activeCell="D24" sqref="D24"/>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76" t="s">
        <v>0</v>
      </c>
      <c r="C1" s="77"/>
      <c r="D1" s="77"/>
      <c r="E1" s="77"/>
      <c r="F1" s="77"/>
      <c r="G1" s="77"/>
      <c r="H1" s="77"/>
      <c r="I1" s="77"/>
    </row>
    <row r="2" spans="1:9" ht="15.5">
      <c r="B2" s="78"/>
      <c r="C2" s="79"/>
      <c r="D2" s="79"/>
      <c r="E2" s="79"/>
      <c r="F2" s="79"/>
      <c r="G2" s="79"/>
      <c r="H2" s="79"/>
      <c r="I2" s="13" t="s">
        <v>340</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39">
      <c r="B6" s="8" t="s">
        <v>337</v>
      </c>
      <c r="C6" s="9" t="s">
        <v>44</v>
      </c>
      <c r="D6" s="10" t="s">
        <v>51</v>
      </c>
      <c r="E6" s="10" t="s">
        <v>30</v>
      </c>
      <c r="F6" s="9" t="s">
        <v>323</v>
      </c>
      <c r="G6" s="11">
        <v>1.2</v>
      </c>
      <c r="H6" s="9" t="s">
        <v>27</v>
      </c>
      <c r="I6" s="16" t="s">
        <v>348</v>
      </c>
    </row>
    <row r="7" spans="1:9" s="2" customFormat="1" ht="26">
      <c r="B7" s="8" t="s">
        <v>337</v>
      </c>
      <c r="C7" s="9" t="s">
        <v>44</v>
      </c>
      <c r="D7" s="10" t="s">
        <v>51</v>
      </c>
      <c r="E7" s="10" t="s">
        <v>30</v>
      </c>
      <c r="F7" s="9" t="s">
        <v>323</v>
      </c>
      <c r="G7" s="11">
        <v>1.7</v>
      </c>
      <c r="H7" s="9" t="s">
        <v>73</v>
      </c>
      <c r="I7" s="16" t="s">
        <v>349</v>
      </c>
    </row>
    <row r="8" spans="1:9" s="2" customFormat="1" ht="52">
      <c r="B8" s="8" t="s">
        <v>337</v>
      </c>
      <c r="C8" s="9" t="s">
        <v>43</v>
      </c>
      <c r="D8" s="10" t="s">
        <v>57</v>
      </c>
      <c r="E8" s="10" t="s">
        <v>30</v>
      </c>
      <c r="F8" s="9" t="s">
        <v>332</v>
      </c>
      <c r="G8" s="11">
        <v>0.6</v>
      </c>
      <c r="H8" s="9" t="s">
        <v>27</v>
      </c>
      <c r="I8" s="16" t="s">
        <v>345</v>
      </c>
    </row>
    <row r="9" spans="1:9" s="2" customFormat="1" ht="52">
      <c r="B9" s="8" t="s">
        <v>337</v>
      </c>
      <c r="C9" s="9" t="s">
        <v>43</v>
      </c>
      <c r="D9" s="10" t="s">
        <v>57</v>
      </c>
      <c r="E9" s="10" t="s">
        <v>30</v>
      </c>
      <c r="F9" s="9" t="s">
        <v>332</v>
      </c>
      <c r="G9" s="11">
        <v>1.9</v>
      </c>
      <c r="H9" s="9" t="s">
        <v>73</v>
      </c>
      <c r="I9" s="16" t="s">
        <v>347</v>
      </c>
    </row>
    <row r="10" spans="1:9" s="2" customFormat="1" ht="52">
      <c r="B10" s="8" t="s">
        <v>337</v>
      </c>
      <c r="C10" s="9" t="s">
        <v>43</v>
      </c>
      <c r="D10" s="10" t="s">
        <v>50</v>
      </c>
      <c r="E10" s="10" t="s">
        <v>30</v>
      </c>
      <c r="F10" s="9" t="s">
        <v>332</v>
      </c>
      <c r="G10" s="11">
        <v>0.5</v>
      </c>
      <c r="H10" s="9" t="s">
        <v>27</v>
      </c>
      <c r="I10" s="16" t="s">
        <v>344</v>
      </c>
    </row>
    <row r="11" spans="1:9" s="2" customFormat="1" ht="52">
      <c r="B11" s="8" t="s">
        <v>337</v>
      </c>
      <c r="C11" s="9" t="s">
        <v>43</v>
      </c>
      <c r="D11" s="10" t="s">
        <v>47</v>
      </c>
      <c r="E11" s="10" t="s">
        <v>30</v>
      </c>
      <c r="F11" s="9" t="s">
        <v>332</v>
      </c>
      <c r="G11" s="11">
        <v>2.1</v>
      </c>
      <c r="H11" s="9" t="s">
        <v>73</v>
      </c>
      <c r="I11" s="16" t="s">
        <v>346</v>
      </c>
    </row>
    <row r="12" spans="1:9" s="2" customFormat="1" ht="52">
      <c r="B12" s="8" t="s">
        <v>337</v>
      </c>
      <c r="C12" s="9" t="s">
        <v>43</v>
      </c>
      <c r="D12" s="10" t="s">
        <v>49</v>
      </c>
      <c r="E12" s="10" t="s">
        <v>30</v>
      </c>
      <c r="F12" s="9" t="s">
        <v>332</v>
      </c>
      <c r="G12" s="11">
        <v>2.7</v>
      </c>
      <c r="H12" s="9" t="s">
        <v>73</v>
      </c>
      <c r="I12" s="16" t="s">
        <v>355</v>
      </c>
    </row>
    <row r="13" spans="1:9" s="2" customFormat="1" ht="26">
      <c r="B13" s="8" t="s">
        <v>337</v>
      </c>
      <c r="C13" s="9" t="s">
        <v>44</v>
      </c>
      <c r="D13" s="10" t="s">
        <v>51</v>
      </c>
      <c r="E13" s="10" t="s">
        <v>30</v>
      </c>
      <c r="F13" s="9" t="s">
        <v>323</v>
      </c>
      <c r="G13" s="11">
        <v>0.6</v>
      </c>
      <c r="H13" s="9" t="s">
        <v>73</v>
      </c>
      <c r="I13" s="16" t="s">
        <v>350</v>
      </c>
    </row>
    <row r="14" spans="1:9" s="2" customFormat="1" ht="26">
      <c r="B14" s="8" t="s">
        <v>337</v>
      </c>
      <c r="C14" s="9" t="s">
        <v>44</v>
      </c>
      <c r="D14" s="10" t="s">
        <v>51</v>
      </c>
      <c r="E14" s="10" t="s">
        <v>30</v>
      </c>
      <c r="F14" s="9" t="s">
        <v>323</v>
      </c>
      <c r="G14" s="11">
        <v>0.9</v>
      </c>
      <c r="H14" s="9" t="s">
        <v>27</v>
      </c>
      <c r="I14" s="16" t="s">
        <v>354</v>
      </c>
    </row>
    <row r="15" spans="1:9" s="2" customFormat="1" ht="26">
      <c r="B15" s="8" t="s">
        <v>337</v>
      </c>
      <c r="C15" s="9" t="s">
        <v>43</v>
      </c>
      <c r="D15" s="10" t="s">
        <v>57</v>
      </c>
      <c r="E15" s="10" t="s">
        <v>30</v>
      </c>
      <c r="F15" s="9" t="s">
        <v>326</v>
      </c>
      <c r="G15" s="11">
        <v>0.6</v>
      </c>
      <c r="H15" s="9" t="s">
        <v>73</v>
      </c>
      <c r="I15" s="16" t="s">
        <v>351</v>
      </c>
    </row>
    <row r="16" spans="1:9" s="2" customFormat="1" ht="13">
      <c r="B16" s="8" t="s">
        <v>337</v>
      </c>
      <c r="C16" s="9" t="s">
        <v>28</v>
      </c>
      <c r="D16" s="10" t="s">
        <v>31</v>
      </c>
      <c r="E16" s="10" t="s">
        <v>33</v>
      </c>
      <c r="F16" s="9" t="s">
        <v>35</v>
      </c>
      <c r="G16" s="11">
        <v>1</v>
      </c>
      <c r="H16" s="9" t="s">
        <v>21</v>
      </c>
      <c r="I16" s="16" t="s">
        <v>353</v>
      </c>
    </row>
    <row r="17" spans="2:12" s="2" customFormat="1" ht="13">
      <c r="B17" s="8" t="s">
        <v>337</v>
      </c>
      <c r="C17" s="9" t="s">
        <v>28</v>
      </c>
      <c r="D17" s="10" t="s">
        <v>31</v>
      </c>
      <c r="E17" s="10" t="s">
        <v>34</v>
      </c>
      <c r="F17" s="9" t="s">
        <v>42</v>
      </c>
      <c r="G17" s="11">
        <v>1</v>
      </c>
      <c r="H17" s="9" t="s">
        <v>73</v>
      </c>
      <c r="I17" s="16" t="s">
        <v>352</v>
      </c>
    </row>
    <row r="18" spans="2:12" s="2" customFormat="1" ht="52">
      <c r="B18" s="8" t="s">
        <v>337</v>
      </c>
      <c r="C18" s="9" t="s">
        <v>43</v>
      </c>
      <c r="D18" s="10" t="s">
        <v>47</v>
      </c>
      <c r="E18" s="10" t="s">
        <v>30</v>
      </c>
      <c r="F18" s="9" t="s">
        <v>332</v>
      </c>
      <c r="G18" s="11">
        <v>0.9</v>
      </c>
      <c r="H18" s="9" t="s">
        <v>73</v>
      </c>
      <c r="I18" s="16" t="s">
        <v>343</v>
      </c>
    </row>
    <row r="19" spans="2:12" s="2" customFormat="1" ht="52">
      <c r="B19" s="8" t="s">
        <v>337</v>
      </c>
      <c r="C19" s="9" t="s">
        <v>43</v>
      </c>
      <c r="D19" s="10" t="s">
        <v>57</v>
      </c>
      <c r="E19" s="10" t="s">
        <v>30</v>
      </c>
      <c r="F19" s="9" t="s">
        <v>332</v>
      </c>
      <c r="G19" s="11">
        <v>1.8</v>
      </c>
      <c r="H19" s="9" t="s">
        <v>73</v>
      </c>
      <c r="I19" s="16" t="s">
        <v>359</v>
      </c>
    </row>
    <row r="20" spans="2:12" s="2" customFormat="1" ht="26">
      <c r="B20" s="8" t="s">
        <v>337</v>
      </c>
      <c r="C20" s="9" t="s">
        <v>44</v>
      </c>
      <c r="D20" s="10" t="s">
        <v>51</v>
      </c>
      <c r="E20" s="10" t="s">
        <v>30</v>
      </c>
      <c r="F20" s="9" t="s">
        <v>323</v>
      </c>
      <c r="G20" s="11">
        <v>2</v>
      </c>
      <c r="H20" s="9" t="s">
        <v>73</v>
      </c>
      <c r="I20" s="16" t="s">
        <v>358</v>
      </c>
      <c r="L20" s="75"/>
    </row>
    <row r="21" spans="2:12" s="2" customFormat="1" ht="26">
      <c r="B21" s="8" t="s">
        <v>337</v>
      </c>
      <c r="C21" s="9" t="s">
        <v>44</v>
      </c>
      <c r="D21" s="10" t="s">
        <v>51</v>
      </c>
      <c r="E21" s="10" t="s">
        <v>30</v>
      </c>
      <c r="F21" s="9" t="s">
        <v>323</v>
      </c>
      <c r="G21" s="11">
        <v>0.4</v>
      </c>
      <c r="H21" s="9" t="s">
        <v>27</v>
      </c>
      <c r="I21" s="16" t="s">
        <v>357</v>
      </c>
      <c r="L21" s="75"/>
    </row>
    <row r="22" spans="2:12" s="2" customFormat="1" ht="52">
      <c r="B22" s="8" t="s">
        <v>337</v>
      </c>
      <c r="C22" s="9" t="s">
        <v>43</v>
      </c>
      <c r="D22" s="10" t="s">
        <v>50</v>
      </c>
      <c r="E22" s="10" t="s">
        <v>30</v>
      </c>
      <c r="F22" s="9" t="s">
        <v>332</v>
      </c>
      <c r="G22" s="11">
        <v>0.5</v>
      </c>
      <c r="H22" s="9" t="s">
        <v>27</v>
      </c>
      <c r="I22" s="16" t="s">
        <v>360</v>
      </c>
    </row>
    <row r="23" spans="2:12" s="2" customFormat="1" ht="52">
      <c r="B23" s="8" t="s">
        <v>337</v>
      </c>
      <c r="C23" s="9" t="s">
        <v>43</v>
      </c>
      <c r="D23" s="10" t="s">
        <v>47</v>
      </c>
      <c r="E23" s="10" t="s">
        <v>30</v>
      </c>
      <c r="F23" s="9" t="s">
        <v>332</v>
      </c>
      <c r="G23" s="11">
        <v>1.1000000000000001</v>
      </c>
      <c r="H23" s="9" t="s">
        <v>73</v>
      </c>
      <c r="I23" s="16" t="s">
        <v>362</v>
      </c>
    </row>
    <row r="24" spans="2:12" s="2" customFormat="1" ht="52">
      <c r="B24" s="8" t="s">
        <v>337</v>
      </c>
      <c r="C24" s="9" t="s">
        <v>43</v>
      </c>
      <c r="D24" s="10" t="s">
        <v>57</v>
      </c>
      <c r="E24" s="10" t="s">
        <v>30</v>
      </c>
      <c r="F24" s="9" t="s">
        <v>332</v>
      </c>
      <c r="G24" s="11">
        <v>0.8</v>
      </c>
      <c r="H24" s="9" t="s">
        <v>73</v>
      </c>
      <c r="I24" s="16" t="s">
        <v>361</v>
      </c>
    </row>
    <row r="25" spans="2:12" s="2" customFormat="1" ht="26">
      <c r="B25" s="8" t="s">
        <v>337</v>
      </c>
      <c r="C25" s="9" t="s">
        <v>44</v>
      </c>
      <c r="D25" s="10" t="s">
        <v>51</v>
      </c>
      <c r="E25" s="10" t="s">
        <v>30</v>
      </c>
      <c r="F25" s="9" t="s">
        <v>323</v>
      </c>
      <c r="G25" s="11">
        <v>3.5</v>
      </c>
      <c r="H25" s="9" t="s">
        <v>73</v>
      </c>
      <c r="I25" s="16" t="s">
        <v>365</v>
      </c>
    </row>
    <row r="26" spans="2:12" s="2" customFormat="1" ht="52">
      <c r="B26" s="8" t="s">
        <v>337</v>
      </c>
      <c r="C26" s="9" t="s">
        <v>43</v>
      </c>
      <c r="D26" s="10" t="s">
        <v>57</v>
      </c>
      <c r="E26" s="10" t="s">
        <v>30</v>
      </c>
      <c r="F26" s="9" t="s">
        <v>332</v>
      </c>
      <c r="G26" s="11">
        <v>1.3</v>
      </c>
      <c r="H26" s="9" t="s">
        <v>73</v>
      </c>
      <c r="I26" s="16" t="s">
        <v>368</v>
      </c>
    </row>
    <row r="27" spans="2:12" s="2" customFormat="1" ht="39">
      <c r="B27" s="8" t="s">
        <v>337</v>
      </c>
      <c r="C27" s="9" t="s">
        <v>44</v>
      </c>
      <c r="D27" s="10" t="s">
        <v>51</v>
      </c>
      <c r="E27" s="10" t="s">
        <v>30</v>
      </c>
      <c r="F27" s="9" t="s">
        <v>323</v>
      </c>
      <c r="G27" s="11">
        <v>1.1000000000000001</v>
      </c>
      <c r="H27" s="9" t="s">
        <v>27</v>
      </c>
      <c r="I27" s="16" t="s">
        <v>364</v>
      </c>
    </row>
    <row r="28" spans="2:12" s="2" customFormat="1" ht="52">
      <c r="B28" s="8" t="s">
        <v>337</v>
      </c>
      <c r="C28" s="9" t="s">
        <v>43</v>
      </c>
      <c r="D28" s="10" t="s">
        <v>50</v>
      </c>
      <c r="E28" s="10" t="s">
        <v>30</v>
      </c>
      <c r="F28" s="9" t="s">
        <v>332</v>
      </c>
      <c r="G28" s="11">
        <v>0.5</v>
      </c>
      <c r="H28" s="9" t="s">
        <v>73</v>
      </c>
      <c r="I28" s="16" t="s">
        <v>366</v>
      </c>
    </row>
    <row r="29" spans="2:12" s="2" customFormat="1" ht="52">
      <c r="B29" s="8" t="s">
        <v>337</v>
      </c>
      <c r="C29" s="9" t="s">
        <v>43</v>
      </c>
      <c r="D29" s="10" t="s">
        <v>47</v>
      </c>
      <c r="E29" s="10" t="s">
        <v>30</v>
      </c>
      <c r="F29" s="9" t="s">
        <v>332</v>
      </c>
      <c r="G29" s="11">
        <v>0.9</v>
      </c>
      <c r="H29" s="9" t="s">
        <v>27</v>
      </c>
      <c r="I29" s="16" t="s">
        <v>367</v>
      </c>
    </row>
    <row r="30" spans="2:12" s="2" customFormat="1" ht="26">
      <c r="B30" s="8" t="s">
        <v>337</v>
      </c>
      <c r="C30" s="9" t="s">
        <v>28</v>
      </c>
      <c r="D30" s="10" t="s">
        <v>31</v>
      </c>
      <c r="E30" s="10" t="s">
        <v>33</v>
      </c>
      <c r="F30" s="9" t="s">
        <v>39</v>
      </c>
      <c r="G30" s="11">
        <v>1.5</v>
      </c>
      <c r="H30" s="9" t="s">
        <v>31</v>
      </c>
      <c r="I30" s="16" t="s">
        <v>339</v>
      </c>
    </row>
    <row r="31" spans="2:12" s="2" customFormat="1" ht="13">
      <c r="B31" s="8" t="s">
        <v>337</v>
      </c>
      <c r="C31" s="9" t="s">
        <v>28</v>
      </c>
      <c r="D31" s="10" t="s">
        <v>31</v>
      </c>
      <c r="E31" s="10" t="s">
        <v>34</v>
      </c>
      <c r="F31" s="9" t="s">
        <v>80</v>
      </c>
      <c r="G31" s="11">
        <v>1.2</v>
      </c>
      <c r="H31" s="9" t="s">
        <v>21</v>
      </c>
      <c r="I31" s="16" t="s">
        <v>363</v>
      </c>
    </row>
    <row r="32" spans="2:12" s="2" customFormat="1" ht="65">
      <c r="B32" s="8" t="s">
        <v>337</v>
      </c>
      <c r="C32" s="9" t="s">
        <v>28</v>
      </c>
      <c r="D32" s="10" t="s">
        <v>18</v>
      </c>
      <c r="E32" s="10" t="s">
        <v>30</v>
      </c>
      <c r="F32" s="9" t="s">
        <v>329</v>
      </c>
      <c r="G32" s="11">
        <v>0.4</v>
      </c>
      <c r="H32" s="9" t="s">
        <v>27</v>
      </c>
      <c r="I32" s="16" t="s">
        <v>356</v>
      </c>
      <c r="K32" s="75"/>
    </row>
    <row r="33" spans="2:9" s="2" customFormat="1" ht="14.5" customHeight="1">
      <c r="B33" s="80" t="s">
        <v>32</v>
      </c>
      <c r="C33" s="81"/>
      <c r="D33" s="82"/>
      <c r="E33" s="12"/>
      <c r="F33" s="12"/>
      <c r="G33" s="83">
        <f>SUM(G6:G32)</f>
        <v>32.700000000000003</v>
      </c>
      <c r="H33" s="84"/>
      <c r="I33" s="85"/>
    </row>
    <row r="36" spans="2:9">
      <c r="B36" s="17" t="s">
        <v>81</v>
      </c>
      <c r="C36" s="18" t="s">
        <v>342</v>
      </c>
    </row>
    <row r="37" spans="2:9">
      <c r="C37" s="18" t="s">
        <v>341</v>
      </c>
    </row>
  </sheetData>
  <mergeCells count="4">
    <mergeCell ref="B1:I1"/>
    <mergeCell ref="B2:H2"/>
    <mergeCell ref="B33:D33"/>
    <mergeCell ref="G33:I33"/>
  </mergeCells>
  <phoneticPr fontId="10" type="noConversion"/>
  <dataValidations count="3">
    <dataValidation type="list" errorStyle="warning" allowBlank="1" sqref="C18:C32" xr:uid="{00000000-0002-0000-0000-000005000000}">
      <formula1>项目事项分类项目名称</formula1>
    </dataValidation>
    <dataValidation type="list" allowBlank="1" showInputMessage="1" showErrorMessage="1" sqref="F6:F32" xr:uid="{00000000-0002-0000-0000-000002000000}">
      <formula1>INDIRECT($E6)</formula1>
    </dataValidation>
    <dataValidation type="list" allowBlank="1" showInputMessage="1" showErrorMessage="1" sqref="H6:H32" xr:uid="{00000000-0002-0000-0000-000006000000}">
      <formula1>事项分类指定内容</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C6:C17</xm:sqref>
        </x14:dataValidation>
        <x14:dataValidation type="list" allowBlank="1" showInputMessage="1" showErrorMessage="1" promptTitle="Internal Client" xr:uid="{00000000-0002-0000-0000-000004000000}">
          <x14:formula1>
            <xm:f>'Exhibit II - Internal Client'!$A$1:$A$20</xm:f>
          </x14:formula1>
          <xm:sqref>D6:D32</xm:sqref>
        </x14:dataValidation>
        <x14:dataValidation type="list" allowBlank="1" showInputMessage="1" showErrorMessage="1" xr:uid="{00000000-0002-0000-0000-000007000000}">
          <x14:formula1>
            <xm:f>Tag!$B$2:$E$2</xm:f>
          </x14:formula1>
          <xm:sqref>E6:E32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topLeftCell="A9" zoomScale="80" zoomScaleNormal="80" workbookViewId="0">
      <selection activeCell="C21" sqref="C21"/>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338</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13" workbookViewId="0">
      <selection activeCell="F12" sqref="F12"/>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c r="C4" s="124"/>
      <c r="D4" s="105"/>
      <c r="E4" s="117"/>
      <c r="F4" s="124"/>
      <c r="G4" s="124"/>
      <c r="H4" s="124"/>
      <c r="I4" s="124"/>
      <c r="J4" s="124"/>
      <c r="K4" s="20" t="s">
        <v>64</v>
      </c>
      <c r="L4" s="20" t="s">
        <v>65</v>
      </c>
      <c r="M4" s="20" t="s">
        <v>66</v>
      </c>
      <c r="N4" s="20" t="s">
        <v>67</v>
      </c>
    </row>
    <row r="5" spans="2:14" ht="108.5" outlineLevel="1">
      <c r="C5" s="21" t="s">
        <v>100</v>
      </c>
      <c r="D5" s="108" t="s">
        <v>101</v>
      </c>
      <c r="E5" s="101"/>
      <c r="F5" s="22" t="s">
        <v>102</v>
      </c>
      <c r="G5" s="21" t="s">
        <v>103</v>
      </c>
      <c r="H5" s="21" t="s">
        <v>104</v>
      </c>
      <c r="I5" s="21" t="s">
        <v>105</v>
      </c>
      <c r="J5" s="21" t="s">
        <v>106</v>
      </c>
      <c r="K5" s="109" t="s">
        <v>107</v>
      </c>
      <c r="L5" s="109"/>
      <c r="M5" s="109"/>
      <c r="N5" s="109"/>
    </row>
    <row r="6" spans="2:14" s="23" customFormat="1" ht="186" outlineLevel="1">
      <c r="B6" s="92"/>
      <c r="C6" s="94" t="s">
        <v>108</v>
      </c>
      <c r="D6" s="113" t="s">
        <v>109</v>
      </c>
      <c r="E6" s="25" t="s">
        <v>110</v>
      </c>
      <c r="F6" s="26" t="s">
        <v>111</v>
      </c>
      <c r="G6" s="27" t="s">
        <v>112</v>
      </c>
      <c r="H6" s="28">
        <v>5</v>
      </c>
      <c r="I6" s="29" t="s">
        <v>113</v>
      </c>
      <c r="J6" s="29" t="s">
        <v>114</v>
      </c>
      <c r="K6" s="30" t="s">
        <v>115</v>
      </c>
      <c r="L6" s="31" t="s">
        <v>115</v>
      </c>
      <c r="M6" s="31" t="s">
        <v>115</v>
      </c>
      <c r="N6" s="31" t="s">
        <v>115</v>
      </c>
    </row>
    <row r="7" spans="2:14" s="23" customFormat="1" ht="356.5" outlineLevel="1">
      <c r="B7" s="92"/>
      <c r="C7" s="110"/>
      <c r="D7" s="110"/>
      <c r="E7" s="32" t="s">
        <v>116</v>
      </c>
      <c r="F7" s="33" t="s">
        <v>117</v>
      </c>
      <c r="G7" s="27" t="s">
        <v>118</v>
      </c>
      <c r="H7" s="34">
        <v>5</v>
      </c>
      <c r="I7" s="35" t="s">
        <v>119</v>
      </c>
      <c r="J7" s="29" t="s">
        <v>120</v>
      </c>
      <c r="K7" s="36" t="s">
        <v>121</v>
      </c>
      <c r="L7" s="37" t="s">
        <v>115</v>
      </c>
      <c r="M7" s="36" t="s">
        <v>122</v>
      </c>
      <c r="N7" s="38" t="s">
        <v>123</v>
      </c>
    </row>
    <row r="8" spans="2:14" s="23" customFormat="1" ht="248" outlineLevel="1">
      <c r="B8" s="92"/>
      <c r="C8" s="111"/>
      <c r="D8" s="114"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2"/>
      <c r="C9" s="111"/>
      <c r="D9" s="115"/>
      <c r="E9" s="27" t="s">
        <v>131</v>
      </c>
      <c r="F9" s="26" t="s">
        <v>132</v>
      </c>
      <c r="G9" s="39" t="s">
        <v>133</v>
      </c>
      <c r="H9" s="28">
        <v>5</v>
      </c>
      <c r="I9" s="29" t="s">
        <v>128</v>
      </c>
      <c r="J9" s="29" t="s">
        <v>134</v>
      </c>
      <c r="K9" s="39" t="s">
        <v>135</v>
      </c>
      <c r="L9" s="39" t="s">
        <v>136</v>
      </c>
      <c r="M9" s="39" t="s">
        <v>137</v>
      </c>
      <c r="N9" s="38" t="s">
        <v>137</v>
      </c>
    </row>
    <row r="10" spans="2:14" s="23" customFormat="1" ht="77.5" outlineLevel="1">
      <c r="B10" s="92"/>
      <c r="C10" s="110"/>
      <c r="D10" s="116" t="s">
        <v>138</v>
      </c>
      <c r="E10" s="117"/>
      <c r="F10" s="27" t="s">
        <v>139</v>
      </c>
      <c r="G10" s="40" t="s">
        <v>140</v>
      </c>
      <c r="H10" s="35">
        <v>4</v>
      </c>
      <c r="I10" s="29" t="s">
        <v>128</v>
      </c>
      <c r="J10" s="30" t="s">
        <v>141</v>
      </c>
      <c r="K10" s="39" t="s">
        <v>142</v>
      </c>
      <c r="L10" s="39" t="s">
        <v>142</v>
      </c>
      <c r="M10" s="39" t="s">
        <v>142</v>
      </c>
      <c r="N10" s="38" t="s">
        <v>142</v>
      </c>
    </row>
    <row r="11" spans="2:14" s="23" customFormat="1" ht="310" outlineLevel="1">
      <c r="B11" s="92"/>
      <c r="C11" s="110"/>
      <c r="D11" s="113" t="s">
        <v>143</v>
      </c>
      <c r="E11" s="101"/>
      <c r="F11" s="27" t="s">
        <v>144</v>
      </c>
      <c r="G11" s="27" t="s">
        <v>145</v>
      </c>
      <c r="H11" s="28">
        <v>5</v>
      </c>
      <c r="I11" s="29" t="s">
        <v>146</v>
      </c>
      <c r="J11" s="29" t="s">
        <v>147</v>
      </c>
      <c r="K11" s="29" t="s">
        <v>148</v>
      </c>
      <c r="L11" s="29" t="s">
        <v>148</v>
      </c>
      <c r="M11" s="29" t="s">
        <v>148</v>
      </c>
      <c r="N11" s="29" t="s">
        <v>148</v>
      </c>
    </row>
    <row r="12" spans="2:14" s="23" customFormat="1" ht="409.5" outlineLevel="1">
      <c r="B12" s="92"/>
      <c r="C12" s="111"/>
      <c r="D12" s="25" t="s">
        <v>82</v>
      </c>
      <c r="E12" s="39" t="s">
        <v>68</v>
      </c>
      <c r="F12" s="41" t="s">
        <v>149</v>
      </c>
      <c r="G12" s="27" t="s">
        <v>69</v>
      </c>
      <c r="H12" s="42">
        <v>5</v>
      </c>
      <c r="I12" s="30" t="s">
        <v>150</v>
      </c>
      <c r="J12" s="30" t="s">
        <v>151</v>
      </c>
      <c r="K12" s="36" t="s">
        <v>152</v>
      </c>
      <c r="L12" s="36" t="s">
        <v>152</v>
      </c>
      <c r="M12" s="36" t="s">
        <v>152</v>
      </c>
      <c r="N12" s="38" t="s">
        <v>152</v>
      </c>
    </row>
    <row r="13" spans="2:14" s="23" customFormat="1" ht="93" outlineLevel="1">
      <c r="B13" s="24"/>
      <c r="C13" s="111"/>
      <c r="D13" s="118" t="s">
        <v>83</v>
      </c>
      <c r="E13" s="43" t="s">
        <v>153</v>
      </c>
      <c r="F13" s="27" t="s">
        <v>153</v>
      </c>
      <c r="G13" s="44" t="s">
        <v>154</v>
      </c>
      <c r="H13" s="42">
        <v>5</v>
      </c>
      <c r="I13" s="30" t="s">
        <v>155</v>
      </c>
      <c r="J13" s="44" t="s">
        <v>156</v>
      </c>
      <c r="K13" s="37" t="s">
        <v>115</v>
      </c>
      <c r="L13" s="37" t="s">
        <v>115</v>
      </c>
      <c r="M13" s="37" t="s">
        <v>115</v>
      </c>
      <c r="N13" s="45" t="s">
        <v>115</v>
      </c>
    </row>
    <row r="14" spans="2:14" s="23" customFormat="1" ht="108.5" outlineLevel="1">
      <c r="B14" s="24"/>
      <c r="C14" s="112"/>
      <c r="D14" s="119"/>
      <c r="E14" s="25" t="s">
        <v>157</v>
      </c>
      <c r="F14" s="41" t="s">
        <v>158</v>
      </c>
      <c r="G14" s="44" t="s">
        <v>159</v>
      </c>
      <c r="H14" s="42">
        <v>4</v>
      </c>
      <c r="I14" s="29" t="s">
        <v>128</v>
      </c>
      <c r="J14" s="29" t="s">
        <v>160</v>
      </c>
      <c r="K14" s="29" t="s">
        <v>161</v>
      </c>
      <c r="L14" s="29" t="s">
        <v>161</v>
      </c>
      <c r="M14" s="29" t="s">
        <v>161</v>
      </c>
      <c r="N14" s="29" t="s">
        <v>161</v>
      </c>
    </row>
    <row r="15" spans="2:14" s="23" customFormat="1" ht="294.5" outlineLevel="1">
      <c r="B15" s="24"/>
      <c r="C15" s="105"/>
      <c r="D15" s="119"/>
      <c r="E15" s="46" t="s">
        <v>162</v>
      </c>
      <c r="F15" s="47" t="s">
        <v>163</v>
      </c>
      <c r="G15" s="44" t="s">
        <v>164</v>
      </c>
      <c r="H15" s="42">
        <v>5</v>
      </c>
      <c r="I15" s="29" t="s">
        <v>72</v>
      </c>
      <c r="J15" s="44" t="s">
        <v>165</v>
      </c>
      <c r="K15" s="48" t="s">
        <v>166</v>
      </c>
      <c r="L15" s="48" t="s">
        <v>166</v>
      </c>
      <c r="M15" s="48" t="s">
        <v>166</v>
      </c>
      <c r="N15" s="48" t="s">
        <v>166</v>
      </c>
    </row>
    <row r="16" spans="2:14" s="23" customFormat="1" ht="201.5" outlineLevel="1">
      <c r="B16" s="92"/>
      <c r="C16" s="86" t="s">
        <v>167</v>
      </c>
      <c r="D16" s="90"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2"/>
      <c r="C17" s="93"/>
      <c r="D17" s="96"/>
      <c r="E17" s="40" t="s">
        <v>173</v>
      </c>
      <c r="F17" s="44" t="s">
        <v>174</v>
      </c>
      <c r="G17" s="44" t="s">
        <v>175</v>
      </c>
      <c r="H17" s="42">
        <v>4</v>
      </c>
      <c r="I17" s="29" t="s">
        <v>176</v>
      </c>
      <c r="J17" s="29" t="s">
        <v>177</v>
      </c>
      <c r="K17" s="36" t="s">
        <v>178</v>
      </c>
      <c r="L17" s="36" t="s">
        <v>178</v>
      </c>
      <c r="M17" s="36" t="s">
        <v>178</v>
      </c>
      <c r="N17" s="49" t="s">
        <v>178</v>
      </c>
    </row>
    <row r="18" spans="2:14" s="23" customFormat="1" ht="217" outlineLevel="1">
      <c r="B18" s="92"/>
      <c r="C18" s="93"/>
      <c r="D18" s="98" t="s">
        <v>85</v>
      </c>
      <c r="E18" s="99"/>
      <c r="F18" s="44" t="s">
        <v>179</v>
      </c>
      <c r="G18" s="44" t="s">
        <v>180</v>
      </c>
      <c r="H18" s="42">
        <v>5</v>
      </c>
      <c r="I18" s="29" t="s">
        <v>181</v>
      </c>
      <c r="J18" s="29" t="s">
        <v>26</v>
      </c>
      <c r="K18" s="36" t="s">
        <v>182</v>
      </c>
      <c r="L18" s="36" t="s">
        <v>183</v>
      </c>
      <c r="M18" s="36" t="s">
        <v>183</v>
      </c>
      <c r="N18" s="38" t="s">
        <v>183</v>
      </c>
    </row>
    <row r="19" spans="2:14" s="23" customFormat="1" ht="155" outlineLevel="1">
      <c r="B19" s="92"/>
      <c r="C19" s="93"/>
      <c r="D19" s="100" t="s">
        <v>86</v>
      </c>
      <c r="E19" s="101"/>
      <c r="F19" s="44" t="s">
        <v>184</v>
      </c>
      <c r="G19" s="27" t="s">
        <v>175</v>
      </c>
      <c r="H19" s="42">
        <v>5</v>
      </c>
      <c r="I19" s="29" t="s">
        <v>185</v>
      </c>
      <c r="J19" s="44" t="s">
        <v>186</v>
      </c>
      <c r="K19" s="36" t="s">
        <v>187</v>
      </c>
      <c r="L19" s="36" t="s">
        <v>187</v>
      </c>
      <c r="M19" s="36" t="s">
        <v>187</v>
      </c>
      <c r="N19" s="49" t="s">
        <v>187</v>
      </c>
    </row>
    <row r="20" spans="2:14" s="23" customFormat="1" ht="108.5" outlineLevel="1">
      <c r="B20" s="92"/>
      <c r="C20" s="97"/>
      <c r="D20" s="102" t="s">
        <v>87</v>
      </c>
      <c r="E20" s="103"/>
      <c r="F20" s="50" t="s">
        <v>188</v>
      </c>
      <c r="G20" s="44" t="s">
        <v>70</v>
      </c>
      <c r="H20" s="42">
        <v>5</v>
      </c>
      <c r="I20" s="29" t="s">
        <v>189</v>
      </c>
      <c r="J20" s="29" t="s">
        <v>190</v>
      </c>
      <c r="K20" s="36" t="s">
        <v>191</v>
      </c>
      <c r="L20" s="36" t="s">
        <v>192</v>
      </c>
      <c r="M20" s="36" t="s">
        <v>191</v>
      </c>
      <c r="N20" s="38" t="s">
        <v>191</v>
      </c>
    </row>
    <row r="21" spans="2:14" ht="232.5">
      <c r="B21" s="92"/>
      <c r="C21" s="93"/>
      <c r="D21" s="104" t="s">
        <v>193</v>
      </c>
      <c r="E21" s="51" t="s">
        <v>194</v>
      </c>
      <c r="F21" s="50" t="s">
        <v>195</v>
      </c>
      <c r="G21" s="44" t="s">
        <v>164</v>
      </c>
      <c r="H21" s="42">
        <v>5</v>
      </c>
      <c r="I21" s="29" t="s">
        <v>196</v>
      </c>
      <c r="J21" s="44" t="s">
        <v>165</v>
      </c>
      <c r="K21" s="36" t="s">
        <v>197</v>
      </c>
      <c r="L21" s="36" t="s">
        <v>197</v>
      </c>
      <c r="M21" s="36" t="s">
        <v>197</v>
      </c>
      <c r="N21" s="49" t="s">
        <v>197</v>
      </c>
    </row>
    <row r="22" spans="2:14" s="23" customFormat="1" ht="248" outlineLevel="1">
      <c r="B22" s="92"/>
      <c r="C22" s="93"/>
      <c r="D22" s="105"/>
      <c r="E22" s="39" t="s">
        <v>198</v>
      </c>
      <c r="F22" s="50" t="s">
        <v>199</v>
      </c>
      <c r="G22" s="44" t="s">
        <v>200</v>
      </c>
      <c r="H22" s="42">
        <v>5</v>
      </c>
      <c r="I22" s="29" t="s">
        <v>201</v>
      </c>
      <c r="J22" s="29" t="s">
        <v>202</v>
      </c>
      <c r="K22" s="52" t="s">
        <v>203</v>
      </c>
      <c r="L22" s="52" t="s">
        <v>204</v>
      </c>
      <c r="M22" s="52" t="s">
        <v>205</v>
      </c>
      <c r="N22" s="53" t="s">
        <v>206</v>
      </c>
    </row>
    <row r="23" spans="2:14" s="23" customFormat="1" ht="294.5" outlineLevel="1">
      <c r="B23" s="92"/>
      <c r="C23" s="86"/>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2"/>
      <c r="C24" s="93"/>
      <c r="D24" s="100" t="s">
        <v>214</v>
      </c>
      <c r="E24" s="106"/>
      <c r="F24" s="44" t="s">
        <v>215</v>
      </c>
      <c r="G24" s="44" t="s">
        <v>216</v>
      </c>
      <c r="H24" s="42">
        <v>5</v>
      </c>
      <c r="I24" s="29" t="s">
        <v>128</v>
      </c>
      <c r="J24" s="29" t="s">
        <v>141</v>
      </c>
      <c r="K24" s="29" t="s">
        <v>217</v>
      </c>
      <c r="L24" s="29" t="s">
        <v>218</v>
      </c>
      <c r="M24" s="29" t="s">
        <v>218</v>
      </c>
      <c r="N24" s="29" t="s">
        <v>218</v>
      </c>
    </row>
    <row r="25" spans="2:14" s="23" customFormat="1" ht="341" outlineLevel="1">
      <c r="B25" s="92"/>
      <c r="C25" s="97"/>
      <c r="D25" s="102" t="s">
        <v>219</v>
      </c>
      <c r="E25" s="103"/>
      <c r="F25" s="50" t="s">
        <v>220</v>
      </c>
      <c r="G25" s="44" t="s">
        <v>221</v>
      </c>
      <c r="H25" s="42">
        <v>5</v>
      </c>
      <c r="I25" s="29" t="s">
        <v>128</v>
      </c>
      <c r="J25" s="29" t="s">
        <v>222</v>
      </c>
      <c r="K25" s="29" t="s">
        <v>223</v>
      </c>
      <c r="L25" s="29" t="s">
        <v>224</v>
      </c>
      <c r="M25" s="29" t="s">
        <v>225</v>
      </c>
      <c r="N25" s="29" t="s">
        <v>226</v>
      </c>
    </row>
    <row r="26" spans="2:14" s="23" customFormat="1" ht="409.5" outlineLevel="1">
      <c r="B26" s="92"/>
      <c r="C26" s="93"/>
      <c r="D26" s="90"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2"/>
      <c r="C27" s="93"/>
      <c r="D27" s="107"/>
      <c r="E27" s="44" t="s">
        <v>235</v>
      </c>
      <c r="F27" s="44" t="s">
        <v>236</v>
      </c>
      <c r="G27" s="44" t="s">
        <v>237</v>
      </c>
      <c r="H27" s="42">
        <v>5</v>
      </c>
      <c r="I27" s="29" t="s">
        <v>238</v>
      </c>
      <c r="J27" s="29" t="s">
        <v>239</v>
      </c>
      <c r="K27" s="36" t="s">
        <v>240</v>
      </c>
      <c r="L27" s="36" t="s">
        <v>240</v>
      </c>
      <c r="M27" s="36" t="s">
        <v>241</v>
      </c>
      <c r="N27" s="38" t="s">
        <v>242</v>
      </c>
    </row>
    <row r="28" spans="2:14" s="23" customFormat="1" ht="279" outlineLevel="1">
      <c r="B28" s="92"/>
      <c r="C28" s="93"/>
      <c r="D28" s="98" t="s">
        <v>89</v>
      </c>
      <c r="E28" s="99"/>
      <c r="F28" s="44" t="s">
        <v>243</v>
      </c>
      <c r="G28" s="44" t="s">
        <v>244</v>
      </c>
      <c r="H28" s="42">
        <v>5</v>
      </c>
      <c r="I28" s="29" t="s">
        <v>245</v>
      </c>
      <c r="J28" s="55" t="s">
        <v>246</v>
      </c>
      <c r="K28" s="29" t="s">
        <v>247</v>
      </c>
      <c r="L28" s="29" t="s">
        <v>247</v>
      </c>
      <c r="M28" s="29" t="s">
        <v>248</v>
      </c>
      <c r="N28" s="29" t="s">
        <v>248</v>
      </c>
    </row>
    <row r="29" spans="2:14" s="23" customFormat="1" ht="155" outlineLevel="1">
      <c r="B29" s="92"/>
      <c r="C29" s="86" t="s">
        <v>249</v>
      </c>
      <c r="D29" s="88" t="s">
        <v>90</v>
      </c>
      <c r="E29" s="46" t="s">
        <v>250</v>
      </c>
      <c r="F29" s="27" t="s">
        <v>251</v>
      </c>
      <c r="G29" s="44" t="s">
        <v>252</v>
      </c>
      <c r="H29" s="42">
        <v>5</v>
      </c>
      <c r="I29" s="29" t="s">
        <v>128</v>
      </c>
      <c r="J29" s="29" t="s">
        <v>160</v>
      </c>
      <c r="K29" s="29" t="s">
        <v>253</v>
      </c>
      <c r="L29" s="29" t="s">
        <v>254</v>
      </c>
      <c r="M29" s="29" t="s">
        <v>253</v>
      </c>
      <c r="N29" s="29" t="s">
        <v>254</v>
      </c>
    </row>
    <row r="30" spans="2:14" s="23" customFormat="1" ht="155" outlineLevel="1">
      <c r="B30" s="92"/>
      <c r="C30" s="87"/>
      <c r="D30" s="89"/>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2"/>
      <c r="C31" s="87"/>
      <c r="D31" s="90" t="s">
        <v>259</v>
      </c>
      <c r="E31" s="27" t="s">
        <v>260</v>
      </c>
      <c r="F31" s="27" t="s">
        <v>261</v>
      </c>
      <c r="G31" s="44" t="s">
        <v>262</v>
      </c>
      <c r="H31" s="42">
        <v>5</v>
      </c>
      <c r="I31" s="29" t="s">
        <v>128</v>
      </c>
      <c r="J31" s="30" t="s">
        <v>263</v>
      </c>
      <c r="K31" s="29" t="s">
        <v>264</v>
      </c>
      <c r="L31" s="29" t="s">
        <v>264</v>
      </c>
      <c r="M31" s="29" t="s">
        <v>264</v>
      </c>
      <c r="N31" s="29" t="s">
        <v>264</v>
      </c>
    </row>
    <row r="32" spans="2:14" s="23" customFormat="1" ht="124" outlineLevel="1">
      <c r="B32" s="92"/>
      <c r="C32" s="87"/>
      <c r="D32" s="91"/>
      <c r="E32" s="27" t="s">
        <v>265</v>
      </c>
      <c r="F32" s="27" t="s">
        <v>266</v>
      </c>
      <c r="G32" s="44" t="s">
        <v>267</v>
      </c>
      <c r="H32" s="42">
        <v>4</v>
      </c>
      <c r="I32" s="29" t="s">
        <v>128</v>
      </c>
      <c r="J32" s="29" t="s">
        <v>268</v>
      </c>
      <c r="K32" s="36" t="s">
        <v>269</v>
      </c>
      <c r="L32" s="36" t="s">
        <v>269</v>
      </c>
      <c r="M32" s="36" t="s">
        <v>269</v>
      </c>
      <c r="N32" s="49" t="s">
        <v>269</v>
      </c>
    </row>
    <row r="33" spans="1:14" s="23" customFormat="1" ht="77.5" outlineLevel="1">
      <c r="B33" s="92"/>
      <c r="C33" s="86" t="s">
        <v>270</v>
      </c>
      <c r="D33" s="94"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2"/>
      <c r="C34" s="93"/>
      <c r="D34" s="95"/>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2"/>
      <c r="C35" s="93"/>
      <c r="D35" s="96"/>
      <c r="E35" s="27" t="s">
        <v>286</v>
      </c>
      <c r="F35" s="47" t="s">
        <v>287</v>
      </c>
      <c r="G35" s="44" t="s">
        <v>288</v>
      </c>
      <c r="H35" s="35">
        <v>4</v>
      </c>
      <c r="I35" s="29" t="s">
        <v>128</v>
      </c>
      <c r="J35" s="29" t="s">
        <v>289</v>
      </c>
      <c r="K35" s="48" t="s">
        <v>290</v>
      </c>
      <c r="L35" s="48" t="s">
        <v>291</v>
      </c>
      <c r="M35" s="48" t="s">
        <v>292</v>
      </c>
      <c r="N35" s="48" t="s">
        <v>293</v>
      </c>
    </row>
    <row r="36" spans="1:14" s="23" customFormat="1" ht="170.5" outlineLevel="1">
      <c r="B36" s="92"/>
      <c r="C36" s="93"/>
      <c r="D36" s="94"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2"/>
      <c r="C37" s="93"/>
      <c r="D37" s="9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2"/>
      <c r="C38" s="9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H101634</cp:lastModifiedBy>
  <dcterms:created xsi:type="dcterms:W3CDTF">2024-05-07T02:03:00Z</dcterms:created>
  <dcterms:modified xsi:type="dcterms:W3CDTF">2025-10-06T03:26:23Z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