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A0FF85D6-9B24-47BF-AB82-32A8078EAF1A}"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<sst xmlns="http://schemas.openxmlformats.org/spreadsheetml/2006/main" count="574" uniqueCount="362">
  <si>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</si>
  <si>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</si>
  <si>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</si>
  <si>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</si>
  <si>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</si>
  <si>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</si>
  <si>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</si>
  <si>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</si>
  <si>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</si>
  <si>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</si>
  <si>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</si>
  <si>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</si>
  <si>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</si>
  <si>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</si>
  <si>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</si>
  <si>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</si>
  <si>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</si>
  <si>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</si>
  <si>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</si>
  <si>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</si>
  <si>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</si>
  <si>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</si>
  <si>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</si>
  <si>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</si>
  <si>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</si>
  <si>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</si>
  <si>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</si>
  <si>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</si>
  <si>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</si>
  <si>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</si>
  <si>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</si>
  <si>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</si>
  <si>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</si>
  <si>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</si>
  <si>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</si>
  <si>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</si>
  <si>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</si>
  <si>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</si>
  <si>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</si>
  <si>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</si>
  <si>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</si>
  <si>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</si>
  <si>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</si>
  <si>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</si>
  <si>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</si>
  <si>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</si>
  <si>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</si>
  <si>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</si>
  <si>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</si>
  <si>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</si>
  <si>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</si>
  <si>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</si>
  <si>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</si>
  <si>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</si>
  <si>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</si>
  <si>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</si>
  <si>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</si>
  <si>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</si>
  <si>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</si>
  <si>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</si>
  <si>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</si>
  <si>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</si>
  <si>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</si>
  <si>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</si>
  <si>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</si>
  <si>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</si>
  <si>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</si>
  <si>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</si>
  <si>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</si>
  <si>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</si>
  <si>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</si>
  <si>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</si>
  <si>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</si>
  <si>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</si>
  <si>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</si>
  <si>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</si>
  <si>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</si>
  <si>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</si>
  <si>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</si>
  <si>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</si>
  <si>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</si>
  <si>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</si>
  <si>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</si>
  <si>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</si>
  <si>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</si>
  <si>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</si>
  <si>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</si>
  <si>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</si>
  <si>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</si>
  <si>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</si>
  <si>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</si>
  <si>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</si>
  <si>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</si>
  <si>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</si>
  <si>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</si>
  <si>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</si>
  <si>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</si>
  <si>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</si>
  <si>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</si>
  <si>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</si>
  <si>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</si>
  <si>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</si>
  <si>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</si>
  <si>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</si>
  <si>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</si>
  <si>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</si>
  <si>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</si>
  <si>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</si>
  <si>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</si>
  <si>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</si>
  <si>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</si>
  <si>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</si>
  <si>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</si>
  <si>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</si>
  <si>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</si>
  <si>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</si>
  <si>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</si>
  <si>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</si>
  <si>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</si>
  <si>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</si>
  <si>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</si>
  <si>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</si>
  <si>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</si>
  <si>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</si>
  <si>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</si>
  <si>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</si>
  <si>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</si>
  <si>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</si>
  <si>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</si>
  <si>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</si>
  <si>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</si>
  <si>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</si>
  <si>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</si>
  <si>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</si>
  <si>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</si>
  <si>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</si>
  <si>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</si>
  <si>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</si>
  <si>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</si>
  <si>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</si>
  <si>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</si>
  <si>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</si>
  <si>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</si>
  <si>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</si>
  <si>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</si>
  <si>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</si>
  <si>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</si>
  <si>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</si>
  <si>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</si>
  <si>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</si>
  <si>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</si>
  <si>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</si>
  <si>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</si>
  <si>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</si>
  <si>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</si>
  <si>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</si>
  <si>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</si>
  <si>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</si>
  <si>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</si>
  <si>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</si>
  <si>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</si>
  <si>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</si>
  <si>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</si>
  <si>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</si>
  <si>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</si>
  <si>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</si>
  <si>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</si>
  <si>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</si>
  <si>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</si>
  <si>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</si>
  <si>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</si>
  <si>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</si>
  <si>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</si>
  <si>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</si>
  <si>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</si>
  <si>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</si>
  <si>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</si>
  <si>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</si>
  <si>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</si>
  <si>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</si>
  <si>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</si>
  <si>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</si>
  <si>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</si>
  <si>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</si>
  <si>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</si>
  <si>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</si>
  <si>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</si>
  <si>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</si>
  <si>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</si>
  <si>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</si>
  <si>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</si>
  <si>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</si>
  <si>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</si>
  <si>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</si>
  <si>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</si>
  <si>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</si>
  <si>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</si>
  <si>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</si>
  <si>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</si>
  <si>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</si>
  <si>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</si>
  <si>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</si>
  <si>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</si>
  <si>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</si>
  <si>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</si>
  <si>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</si>
  <si>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</si>
  <si>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</si>
  <si>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</si>
  <si>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</si>
  <si>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</si>
  <si>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</si>
  <si>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</si>
  <si>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</si>
  <si>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</si>
  <si>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</si>
  <si>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</si>
  <si>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</si>
  <si>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</si>
  <si>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</si>
  <si>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</si>
  <si>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</si>
  <si>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</si>
  <si>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</si>
  <si>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</si>
  <si>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</si>
  <si>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</si>
  <si>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</si>
  <si>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</si>
  <si>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</si>
  <si>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</si>
  <si>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</si>
  <si>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</si>
  <si>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</si>
  <si>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</si>
  <si>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</si>
  <si>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</si>
  <si>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</si>
  <si>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</si>
  <si>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</si>
  <si>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</si>
  <si>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</si>
  <si>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</si>
  <si>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</si>
  <si>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</si>
  <si>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</si>
  <si>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</si>
  <si>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</si>
  <si>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</si>
  <si>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</si>
  <si>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</si>
  <si>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</si>
  <si>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</si>
  <si>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</si>
  <si>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</si>
  <si>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</si>
  <si>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</si>
  <si>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</si>
  <si>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</si>
  <si>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</si>
  <si>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</si>
  <si>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</si>
  <si>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</si>
  <si>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</si>
  <si>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</si>
  <si>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</si>
  <si>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</si>
  <si>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</si>
  <si>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</si>
  <si>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</si>
  <si>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</si>
  <si>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</si>
  <si>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</si>
  <si>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</si>
  <si>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</si>
  <si>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</si>
  <si>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</si>
  <si>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</si>
  <si>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</si>
  <si>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</si>
  <si>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</si>
  <si>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</si>
  <si>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</si>
  <si>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</si>
  <si>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</si>
  <si>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</si>
  <si>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</si>
  <si>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</si>
  <si>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</si>
  <si>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</si>
  <si>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</si>
  <si>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</si>
  <si>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</si>
  <si>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</si>
  <si>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</si>
  <si>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</si>
  <si>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</si>
  <si>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</si>
  <si>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</si>
  <si>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</si>
  <si>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</si>
  <si>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</si>
  <si>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</si>
  <si>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</si>
  <si>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</si>
  <si>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</si>
  <si>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</si>
  <si>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</si>
  <si>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</si>
  <si>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</si>
  <si>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</si>
  <si>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</si>
  <si>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</si>
  <si>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</si>
  <si>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</si>
  <si>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</si>
  <si>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</si>
  <si>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</si>
  <si>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</si>
  <si>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</si>
  <si>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</si>
  <si>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</si>
  <si>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</si>
  <si>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</si>
  <si>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</si>
  <si>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</si>
  <si>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</si>
  <si>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</si>
  <si>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</si>
  <si>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</si>
  <si>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</si>
  <si>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</si>
  <si>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</si>
  <si>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</si>
  <si>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</si>
  <si>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</si>
  <si>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</si>
  <si>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</si>
  <si>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</si>
  <si>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</si>
  <si>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</si>
  <si>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</si>
  <si>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Public Holiday on</t>
  </si>
  <si>
    <t>AL/SL/Other Leave on</t>
  </si>
  <si>
    <t>review risk factors, email to Treasury re. contact details, summary to RP, review ISDA and mark up</t>
  </si>
  <si>
    <t>review TPP drawdown documents</t>
  </si>
  <si>
    <t>review furniture procurement and revise as requested</t>
  </si>
  <si>
    <t>discussions with Alice and Mindy re. setting up MDD call, discussion with David re. checking in with Huan and tax team, discuss with Stephenie on drawdown doc, discuss re. consent and insurance question</t>
  </si>
  <si>
    <t>discuss with Kim re. requirements</t>
  </si>
  <si>
    <t>review PwC drafts, MDD</t>
  </si>
  <si>
    <t xml:space="preserve">discuss on PwC edits, discussions on board approvals, committee figures, timing of termination, </t>
  </si>
  <si>
    <t>revise MDDQ and circulate, review board email, review termination letter revise committee resolutions, circulate certified documents, revise 40 Act Certificate, review ICCC circulated by BOCHK</t>
  </si>
  <si>
    <t>email to external counsel re. Saudi POA</t>
  </si>
  <si>
    <t>US admin review of coffee machine renewal, discussions with Spring re. steps forward</t>
  </si>
  <si>
    <t>discussion with Weigao re. announcements, discussions with Mindy re. agency details, discussion re. dual counters with Amy, discussions on structure contracts, discuss NDRC approval issue, discuss with Ceci re PwC revisions, discussions re. allegations LW wish to be included in the MDD, discussion with Pauline re. announcements and with Amy re. circulation of revised documents</t>
  </si>
  <si>
    <t>review revised comments from GCTSM on POA and circulate to local counsel to confirm</t>
  </si>
  <si>
    <t>review board resolutions</t>
  </si>
  <si>
    <t>review cover letter to MS</t>
  </si>
  <si>
    <t>discussions with comsec re. resolutions and committee approvals, discussions with Amy re. circulation to PwC, discussions with Puipui re. documents to be signed off, discussions re. terminologies used and interest rate to utilise, discussions on necessity to circulate to committee</t>
  </si>
  <si>
    <t>review of THL board update email, review comments from comsec on the certificate, draft cover email to committee members</t>
  </si>
  <si>
    <t>MTN</t>
  </si>
  <si>
    <t xml:space="preserve"> budget figures with 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</si>
</sst>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topLeftCell="B1" zoomScale="80" zoomScaleNormal="80" workbookViewId="0">
      <selection activeCell="G40" sqref="G4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1" ht="15.5">
      <c r="B1" s="76" t="s">
        <v>0</v>
      </c>
      <c r="C1" s="77"/>
      <c r="D1" s="77"/>
      <c r="E1" s="77"/>
      <c r="F1" s="77"/>
      <c r="G1" s="77"/>
      <c r="H1" s="77"/>
      <c r="I1" s="77"/>
    </row>
    <row r="2" spans="1:11" ht="15.5">
      <c r="B2" s="78"/>
      <c r="C2" s="79"/>
      <c r="D2" s="79"/>
      <c r="E2" s="79"/>
      <c r="F2" s="79"/>
      <c r="G2" s="79"/>
      <c r="H2" s="79"/>
      <c r="I2" s="13" t="s">
        <v>341</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52">
      <c r="B6" s="8" t="s">
        <v>337</v>
      </c>
      <c r="C6" s="9" t="s">
        <v>44</v>
      </c>
      <c r="D6" s="10" t="s">
        <v>51</v>
      </c>
      <c r="E6" s="10" t="s">
        <v>30</v>
      </c>
      <c r="F6" s="9" t="s">
        <v>323</v>
      </c>
      <c r="G6" s="11">
        <v>3.6</v>
      </c>
      <c r="H6" s="9" t="s">
        <v>27</v>
      </c>
      <c r="I6" s="16" t="s">
        <v>347</v>
      </c>
    </row>
    <row r="7" spans="1:11" s="2" customFormat="1" ht="26">
      <c r="B7" s="8" t="s">
        <v>337</v>
      </c>
      <c r="C7" s="9" t="s">
        <v>44</v>
      </c>
      <c r="D7" s="10" t="s">
        <v>51</v>
      </c>
      <c r="E7" s="10" t="s">
        <v>30</v>
      </c>
      <c r="F7" s="9" t="s">
        <v>323</v>
      </c>
      <c r="G7" s="11">
        <v>0.9</v>
      </c>
      <c r="H7" s="9" t="s">
        <v>73</v>
      </c>
      <c r="I7" s="16" t="s">
        <v>345</v>
      </c>
    </row>
    <row r="8" spans="1:11" s="2" customFormat="1" ht="13">
      <c r="B8" s="8" t="s">
        <v>337</v>
      </c>
      <c r="C8" s="9" t="s">
        <v>28</v>
      </c>
      <c r="D8" s="10" t="s">
        <v>31</v>
      </c>
      <c r="E8" s="10" t="s">
        <v>34</v>
      </c>
      <c r="F8" s="9" t="s">
        <v>42</v>
      </c>
      <c r="G8" s="11">
        <v>2.6</v>
      </c>
      <c r="H8" s="9" t="s">
        <v>31</v>
      </c>
      <c r="I8" s="16" t="s">
        <v>361</v>
      </c>
    </row>
    <row r="9" spans="1:11" s="2" customFormat="1" ht="52">
      <c r="B9" s="8" t="s">
        <v>337</v>
      </c>
      <c r="C9" s="9" t="s">
        <v>43</v>
      </c>
      <c r="D9" s="10" t="s">
        <v>49</v>
      </c>
      <c r="E9" s="10" t="s">
        <v>30</v>
      </c>
      <c r="F9" s="9" t="s">
        <v>332</v>
      </c>
      <c r="G9" s="11">
        <v>1</v>
      </c>
      <c r="H9" s="9" t="s">
        <v>73</v>
      </c>
      <c r="I9" s="16" t="s">
        <v>346</v>
      </c>
    </row>
    <row r="10" spans="1:11" s="2" customFormat="1" ht="26">
      <c r="B10" s="8" t="s">
        <v>337</v>
      </c>
      <c r="C10" s="9" t="s">
        <v>44</v>
      </c>
      <c r="D10" s="10" t="s">
        <v>18</v>
      </c>
      <c r="E10" s="10" t="s">
        <v>30</v>
      </c>
      <c r="F10" s="9" t="s">
        <v>323</v>
      </c>
      <c r="G10" s="11">
        <v>3.2</v>
      </c>
      <c r="H10" s="9" t="s">
        <v>73</v>
      </c>
      <c r="I10" s="16" t="s">
        <v>349</v>
      </c>
    </row>
    <row r="11" spans="1:11" s="2" customFormat="1" ht="26">
      <c r="B11" s="8" t="s">
        <v>337</v>
      </c>
      <c r="C11" s="9" t="s">
        <v>44</v>
      </c>
      <c r="D11" s="10" t="s">
        <v>51</v>
      </c>
      <c r="E11" s="10" t="s">
        <v>30</v>
      </c>
      <c r="F11" s="9" t="s">
        <v>323</v>
      </c>
      <c r="G11" s="11">
        <v>1.8</v>
      </c>
      <c r="H11" s="9" t="s">
        <v>27</v>
      </c>
      <c r="I11" s="16" t="s">
        <v>350</v>
      </c>
    </row>
    <row r="12" spans="1:11" s="2" customFormat="1" ht="52">
      <c r="B12" s="8" t="s">
        <v>337</v>
      </c>
      <c r="C12" s="9" t="s">
        <v>43</v>
      </c>
      <c r="D12" s="10" t="s">
        <v>50</v>
      </c>
      <c r="E12" s="10" t="s">
        <v>30</v>
      </c>
      <c r="F12" s="9" t="s">
        <v>332</v>
      </c>
      <c r="G12" s="11">
        <v>0.5</v>
      </c>
      <c r="H12" s="9" t="s">
        <v>27</v>
      </c>
      <c r="I12" s="16" t="s">
        <v>348</v>
      </c>
    </row>
    <row r="13" spans="1:11" s="2" customFormat="1" ht="52">
      <c r="B13" s="8" t="s">
        <v>337</v>
      </c>
      <c r="C13" s="9" t="s">
        <v>43</v>
      </c>
      <c r="D13" s="10" t="s">
        <v>49</v>
      </c>
      <c r="E13" s="10" t="s">
        <v>30</v>
      </c>
      <c r="F13" s="9" t="s">
        <v>332</v>
      </c>
      <c r="G13" s="11">
        <v>1.1000000000000001</v>
      </c>
      <c r="H13" s="9" t="s">
        <v>73</v>
      </c>
      <c r="I13" s="16" t="s">
        <v>353</v>
      </c>
    </row>
    <row r="14" spans="1:11" s="2" customFormat="1" ht="52">
      <c r="B14" s="8" t="s">
        <v>337</v>
      </c>
      <c r="C14" s="9" t="s">
        <v>43</v>
      </c>
      <c r="D14" s="10" t="s">
        <v>50</v>
      </c>
      <c r="E14" s="10" t="s">
        <v>30</v>
      </c>
      <c r="F14" s="9" t="s">
        <v>332</v>
      </c>
      <c r="G14" s="11">
        <v>0.3</v>
      </c>
      <c r="H14" s="9" t="s">
        <v>73</v>
      </c>
      <c r="I14" s="16" t="s">
        <v>352</v>
      </c>
      <c r="K14" s="2" t="s">
        <v>339</v>
      </c>
    </row>
    <row r="15" spans="1:11" s="2" customFormat="1" ht="104">
      <c r="B15" s="8" t="s">
        <v>337</v>
      </c>
      <c r="C15" s="9" t="s">
        <v>44</v>
      </c>
      <c r="D15" s="10" t="s">
        <v>51</v>
      </c>
      <c r="E15" s="10" t="s">
        <v>30</v>
      </c>
      <c r="F15" s="9" t="s">
        <v>323</v>
      </c>
      <c r="G15" s="11">
        <v>3.9</v>
      </c>
      <c r="H15" s="9" t="s">
        <v>27</v>
      </c>
      <c r="I15" s="16" t="s">
        <v>354</v>
      </c>
    </row>
    <row r="16" spans="1:11" s="2" customFormat="1" ht="52">
      <c r="B16" s="8" t="s">
        <v>337</v>
      </c>
      <c r="C16" s="9" t="s">
        <v>44</v>
      </c>
      <c r="D16" s="10" t="s">
        <v>51</v>
      </c>
      <c r="E16" s="10" t="s">
        <v>30</v>
      </c>
      <c r="F16" s="9" t="s">
        <v>323</v>
      </c>
      <c r="G16" s="11">
        <v>3.4</v>
      </c>
      <c r="H16" s="9" t="s">
        <v>73</v>
      </c>
      <c r="I16" s="16" t="s">
        <v>351</v>
      </c>
    </row>
    <row r="17" spans="2:12" s="2" customFormat="1" ht="39">
      <c r="B17" s="8" t="s">
        <v>337</v>
      </c>
      <c r="C17" s="9" t="s">
        <v>44</v>
      </c>
      <c r="D17" s="10" t="s">
        <v>51</v>
      </c>
      <c r="E17" s="10" t="s">
        <v>30</v>
      </c>
      <c r="F17" s="9" t="s">
        <v>323</v>
      </c>
      <c r="G17" s="11">
        <v>4.2</v>
      </c>
      <c r="H17" s="9" t="s">
        <v>73</v>
      </c>
      <c r="I17" s="16" t="s">
        <v>359</v>
      </c>
      <c r="L17" s="75"/>
    </row>
    <row r="18" spans="2:12" s="2" customFormat="1" ht="78">
      <c r="B18" s="8" t="s">
        <v>337</v>
      </c>
      <c r="C18" s="9" t="s">
        <v>44</v>
      </c>
      <c r="D18" s="10" t="s">
        <v>51</v>
      </c>
      <c r="E18" s="10" t="s">
        <v>30</v>
      </c>
      <c r="F18" s="9" t="s">
        <v>323</v>
      </c>
      <c r="G18" s="11">
        <v>3.2</v>
      </c>
      <c r="H18" s="9" t="s">
        <v>27</v>
      </c>
      <c r="I18" s="16" t="s">
        <v>358</v>
      </c>
      <c r="L18" s="75"/>
    </row>
    <row r="19" spans="2:12" s="2" customFormat="1" ht="52">
      <c r="B19" s="8" t="s">
        <v>337</v>
      </c>
      <c r="C19" s="9" t="s">
        <v>43</v>
      </c>
      <c r="D19" s="10" t="s">
        <v>50</v>
      </c>
      <c r="E19" s="10" t="s">
        <v>30</v>
      </c>
      <c r="F19" s="9" t="s">
        <v>332</v>
      </c>
      <c r="G19" s="11">
        <v>0.4</v>
      </c>
      <c r="H19" s="9" t="s">
        <v>73</v>
      </c>
      <c r="I19" s="16" t="s">
        <v>355</v>
      </c>
    </row>
    <row r="20" spans="2:12" s="2" customFormat="1" ht="52">
      <c r="B20" s="8" t="s">
        <v>337</v>
      </c>
      <c r="C20" s="9" t="s">
        <v>43</v>
      </c>
      <c r="D20" s="10" t="s">
        <v>47</v>
      </c>
      <c r="E20" s="10" t="s">
        <v>30</v>
      </c>
      <c r="F20" s="9" t="s">
        <v>332</v>
      </c>
      <c r="G20" s="11">
        <v>0.6</v>
      </c>
      <c r="H20" s="9" t="s">
        <v>73</v>
      </c>
      <c r="I20" s="16" t="s">
        <v>356</v>
      </c>
    </row>
    <row r="21" spans="2:12" s="2" customFormat="1" ht="52">
      <c r="B21" s="8" t="s">
        <v>337</v>
      </c>
      <c r="C21" s="9" t="s">
        <v>43</v>
      </c>
      <c r="D21" s="10" t="s">
        <v>57</v>
      </c>
      <c r="E21" s="10" t="s">
        <v>30</v>
      </c>
      <c r="F21" s="9" t="s">
        <v>332</v>
      </c>
      <c r="G21" s="11">
        <v>0.4</v>
      </c>
      <c r="H21" s="9" t="s">
        <v>73</v>
      </c>
      <c r="I21" s="16" t="s">
        <v>357</v>
      </c>
    </row>
    <row r="22" spans="2:12" s="2" customFormat="1" ht="26">
      <c r="B22" s="8" t="s">
        <v>337</v>
      </c>
      <c r="C22" s="9" t="s">
        <v>44</v>
      </c>
      <c r="D22" s="10" t="s">
        <v>51</v>
      </c>
      <c r="E22" s="10" t="s">
        <v>30</v>
      </c>
      <c r="F22" s="9" t="s">
        <v>323</v>
      </c>
      <c r="G22" s="11">
        <v>19.399999999999999</v>
      </c>
      <c r="H22" s="9" t="s">
        <v>73</v>
      </c>
      <c r="I22" s="16" t="s">
        <v>344</v>
      </c>
    </row>
    <row r="23" spans="2:12" s="2" customFormat="1" ht="26">
      <c r="B23" s="8" t="s">
        <v>337</v>
      </c>
      <c r="C23" s="9" t="s">
        <v>44</v>
      </c>
      <c r="D23" s="10" t="s">
        <v>51</v>
      </c>
      <c r="E23" s="10" t="s">
        <v>30</v>
      </c>
      <c r="F23" s="9" t="s">
        <v>323</v>
      </c>
      <c r="G23" s="11">
        <v>14.7</v>
      </c>
      <c r="H23" s="9" t="s">
        <v>27</v>
      </c>
      <c r="I23" s="16" t="s">
        <v>360</v>
      </c>
    </row>
    <row r="24" spans="2:12" s="2" customFormat="1" ht="26">
      <c r="B24" s="8" t="s">
        <v>337</v>
      </c>
      <c r="C24" s="9" t="s">
        <v>28</v>
      </c>
      <c r="D24" s="10" t="s">
        <v>31</v>
      </c>
      <c r="E24" s="10" t="s">
        <v>33</v>
      </c>
      <c r="F24" s="9" t="s">
        <v>39</v>
      </c>
      <c r="G24" s="11">
        <v>1.6</v>
      </c>
      <c r="H24" s="9" t="s">
        <v>31</v>
      </c>
      <c r="I24" s="16" t="s">
        <v>340</v>
      </c>
    </row>
    <row r="25" spans="2:12" s="2" customFormat="1" ht="14.5" customHeight="1">
      <c r="B25" s="80" t="s">
        <v>32</v>
      </c>
      <c r="C25" s="81"/>
      <c r="D25" s="82"/>
      <c r="E25" s="12"/>
      <c r="F25" s="12"/>
      <c r="G25" s="83">
        <f>SUM(G6:G24)</f>
        <v>66.8</v>
      </c>
      <c r="H25" s="84"/>
      <c r="I25" s="85"/>
    </row>
    <row r="28" spans="2:12">
      <c r="B28" s="17" t="s">
        <v>81</v>
      </c>
      <c r="C28" s="18" t="s">
        <v>343</v>
      </c>
    </row>
    <row r="29" spans="2:12">
      <c r="C29" s="18" t="s">
        <v>342</v>
      </c>
    </row>
  </sheetData>
  <mergeCells count="4">
    <mergeCell ref="B1:I1"/>
    <mergeCell ref="B2:H2"/>
    <mergeCell ref="B25:D25"/>
    <mergeCell ref="G25:I25"/>
  </mergeCells>
  <phoneticPr fontId="10" type="noConversion"/>
  <dataValidations count="3">
    <dataValidation type="list" errorStyle="warning" allowBlank="1" sqref="C17:C24" xr:uid="{00000000-0002-0000-0000-000005000000}">
      <formula1>项目事项分类项目名称</formula1>
    </dataValidation>
    <dataValidation type="list" allowBlank="1" showInputMessage="1" showErrorMessage="1" sqref="H6:H24" xr:uid="{00000000-0002-0000-0000-000006000000}">
      <formula1>事项分类指定内容</formula1>
    </dataValidation>
    <dataValidation type="list" allowBlank="1" showInputMessage="1" showErrorMessage="1" sqref="F6:F24"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C6:C16</xm:sqref>
        </x14:dataValidation>
        <x14:dataValidation type="list" allowBlank="1" showInputMessage="1" showErrorMessage="1" promptTitle="Internal Client" xr:uid="{00000000-0002-0000-0000-000004000000}">
          <x14:formula1>
            <xm:f>'Exhibit II - Internal Client'!$A$1:$A$20</xm:f>
          </x14:formula1>
          <xm:sqref>D6:D24</xm:sqref>
        </x14:dataValidation>
        <x14:dataValidation type="list" allowBlank="1" showInputMessage="1" showErrorMessage="1" xr:uid="{00000000-0002-0000-0000-000007000000}">
          <x14:formula1>
            <xm:f>Tag!$B$2:$E$2</xm:f>
          </x14:formula1>
          <xm:sqref>E6:E24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186"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48"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10"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41"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2025-10-06T03:17:47Z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