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065491FF-2B14-4D50-9EE2-22B32491530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<sst xmlns="http://schemas.openxmlformats.org/spreadsheetml/2006/main" count="545" uniqueCount="357">
  <si>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</si>
  <si>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</si>
  <si>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</si>
  <si>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</si>
  <si>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</si>
  <si>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</si>
  <si>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</si>
  <si>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</si>
  <si>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</si>
  <si>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</si>
  <si>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</si>
  <si>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</si>
  <si>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</si>
  <si>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</si>
  <si>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</si>
  <si>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</si>
  <si>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</si>
  <si>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</si>
  <si>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</si>
  <si>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</si>
  <si>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</si>
  <si>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</si>
  <si>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</si>
  <si>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</si>
  <si>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</si>
  <si>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</si>
  <si>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</si>
  <si>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</si>
  <si>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</si>
  <si>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</si>
  <si>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</si>
  <si>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</si>
  <si>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</si>
  <si>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</si>
  <si>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</si>
  <si>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</si>
  <si>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</si>
  <si>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</si>
  <si>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</si>
  <si>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</si>
  <si>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</si>
  <si>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</si>
  <si>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</si>
  <si>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</si>
  <si>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</si>
  <si>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</si>
  <si>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</si>
  <si>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</si>
  <si>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</si>
  <si>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</si>
  <si>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</si>
  <si>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</si>
  <si>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</si>
  <si>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</si>
  <si>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</si>
  <si>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</si>
  <si>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</si>
  <si>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</si>
  <si>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</si>
  <si>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</si>
  <si>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</si>
  <si>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</si>
  <si>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</si>
  <si>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</si>
  <si>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</si>
  <si>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</si>
  <si>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</si>
  <si>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</si>
  <si>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</si>
  <si>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</si>
  <si>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</si>
  <si>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</si>
  <si>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</si>
  <si>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</si>
  <si>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</si>
  <si>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</si>
  <si>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</si>
  <si>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</si>
  <si>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</si>
  <si>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</si>
  <si>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</si>
  <si>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</si>
  <si>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</si>
  <si>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</si>
  <si>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</si>
  <si>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</si>
  <si>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</si>
  <si>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</si>
  <si>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</si>
  <si>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</si>
  <si>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</si>
  <si>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</si>
  <si>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</si>
  <si>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</si>
  <si>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</si>
  <si>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</si>
  <si>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</si>
  <si>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</si>
  <si>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</si>
  <si>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</si>
  <si>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</si>
  <si>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</si>
  <si>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</si>
  <si>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</si>
  <si>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</si>
  <si>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</si>
  <si>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</si>
  <si>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</si>
  <si>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</si>
  <si>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</si>
  <si>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</si>
  <si>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</si>
  <si>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</si>
  <si>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</si>
  <si>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</si>
  <si>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</si>
  <si>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</si>
  <si>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</si>
  <si>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</si>
  <si>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</si>
  <si>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</si>
  <si>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</si>
  <si>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</si>
  <si>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</si>
  <si>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</si>
  <si>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</si>
  <si>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</si>
  <si>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</si>
  <si>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</si>
  <si>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</si>
  <si>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</si>
  <si>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</si>
  <si>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</si>
  <si>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</si>
  <si>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</si>
  <si>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</si>
  <si>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</si>
  <si>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</si>
  <si>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</si>
  <si>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</si>
  <si>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</si>
  <si>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</si>
  <si>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</si>
  <si>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</si>
  <si>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</si>
  <si>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</si>
  <si>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</si>
  <si>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</si>
  <si>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</si>
  <si>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</si>
  <si>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</si>
  <si>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</si>
  <si>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</si>
  <si>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</si>
  <si>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</si>
  <si>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</si>
  <si>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</si>
  <si>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</si>
  <si>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</si>
  <si>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</si>
  <si>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</si>
  <si>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</si>
  <si>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</si>
  <si>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</si>
  <si>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</si>
  <si>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</si>
  <si>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</si>
  <si>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</si>
  <si>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</si>
  <si>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</si>
  <si>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</si>
  <si>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</si>
  <si>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</si>
  <si>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</si>
  <si>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</si>
  <si>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</si>
  <si>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</si>
  <si>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</si>
  <si>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</si>
  <si>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</si>
  <si>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</si>
  <si>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</si>
  <si>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</si>
  <si>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</si>
  <si>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</si>
  <si>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</si>
  <si>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</si>
  <si>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</si>
  <si>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</si>
  <si>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</si>
  <si>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</si>
  <si>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</si>
  <si>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</si>
  <si>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</si>
  <si>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</si>
  <si>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</si>
  <si>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</si>
  <si>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</si>
  <si>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</si>
  <si>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</si>
  <si>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</si>
  <si>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</si>
  <si>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</si>
  <si>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</si>
  <si>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</si>
  <si>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</si>
  <si>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</si>
  <si>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</si>
  <si>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</si>
  <si>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</si>
  <si>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</si>
  <si>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</si>
  <si>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</si>
  <si>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</si>
  <si>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</si>
  <si>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</si>
  <si>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</si>
  <si>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</si>
  <si>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</si>
  <si>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</si>
  <si>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</si>
  <si>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</si>
  <si>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</si>
  <si>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</si>
  <si>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</si>
  <si>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</si>
  <si>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</si>
  <si>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</si>
  <si>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</si>
  <si>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</si>
  <si>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</si>
  <si>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</si>
  <si>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</si>
  <si>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</si>
  <si>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</si>
  <si>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</si>
  <si>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</si>
  <si>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</si>
  <si>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</si>
  <si>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</si>
  <si>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</si>
  <si>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</si>
  <si>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</si>
  <si>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</si>
  <si>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</si>
  <si>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</si>
  <si>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</si>
  <si>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</si>
  <si>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</si>
  <si>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</si>
  <si>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</si>
  <si>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</si>
  <si>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</si>
  <si>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</si>
  <si>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</si>
  <si>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</si>
  <si>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</si>
  <si>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</si>
  <si>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</si>
  <si>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</si>
  <si>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</si>
  <si>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</si>
  <si>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</si>
  <si>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</si>
  <si>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</si>
  <si>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</si>
  <si>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</si>
  <si>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</si>
  <si>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</si>
  <si>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</si>
  <si>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</si>
  <si>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</si>
  <si>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</si>
  <si>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</si>
  <si>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</si>
  <si>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</si>
  <si>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</si>
  <si>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</si>
  <si>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</si>
  <si>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</si>
  <si>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</si>
  <si>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</si>
  <si>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</si>
  <si>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</si>
  <si>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</si>
  <si>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</si>
  <si>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</si>
  <si>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</si>
  <si>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</si>
  <si>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</si>
  <si>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</si>
  <si>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</si>
  <si>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</si>
  <si>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</si>
  <si>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</si>
  <si>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</si>
  <si>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</si>
  <si>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</si>
  <si>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</si>
  <si>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</si>
  <si>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</si>
  <si>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</si>
  <si>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</si>
  <si>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</si>
  <si>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</si>
  <si>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</si>
  <si>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</si>
  <si>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</si>
  <si>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</si>
  <si>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</si>
  <si>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</si>
  <si>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</si>
  <si>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</si>
  <si>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</si>
  <si>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</si>
  <si>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</si>
  <si>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</si>
  <si>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</si>
  <si>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</si>
  <si>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</si>
  <si>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</si>
  <si>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</si>
  <si>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</si>
  <si>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</si>
  <si>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</si>
  <si>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</si>
  <si>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</si>
  <si>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</si>
  <si>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</si>
  <si>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</si>
  <si>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</si>
  <si>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</si>
  <si>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</si>
  <si>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</si>
  <si>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</si>
  <si>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</si>
  <si>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</si>
  <si>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</si>
  <si>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</si>
  <si>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</si>
  <si>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</si>
  <si>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</si>
  <si>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AL/SL/Other Leave on</t>
  </si>
  <si>
    <t>revise MDDQ and circulate, review board email, review termination letter revise committee resolutions, circulate certified documents, revise 40 Act Certificate, review ICCC circulated by BOCHK</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</si>
  <si>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</si>
  <si>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review updates and draft directorship list</t>
  </si>
  <si>
    <t>discuss re. Saudi POA requirement, attend meeting on leyou</t>
  </si>
  <si>
    <t>discussion on PPTA identification</t>
  </si>
  <si>
    <t>review draft org charts and bearer shares KYC queries</t>
  </si>
  <si>
    <t xml:space="preserve">discussions re. wendy queries, discussions re. closing timing, </t>
  </si>
  <si>
    <t>annc reviews, pwc rep letter</t>
  </si>
  <si>
    <t>draft email to counsel to instruct on advice, review POA for finance team</t>
  </si>
  <si>
    <t>discussions with Cynthia, Alys and Fancy re. queries</t>
  </si>
  <si>
    <t>review comsec documents</t>
  </si>
  <si>
    <t>reviewing all agreements</t>
  </si>
  <si>
    <t>review DBS FA and Amendment Agreement, review announcements</t>
  </si>
  <si>
    <t>discussions re. new investee loan and waiver with Mindy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</si>
</sst>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topLeftCell="A5" zoomScale="80" zoomScaleNormal="80" workbookViewId="0">
      <selection activeCell="R12" sqref="R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337</v>
      </c>
      <c r="C6" s="9" t="s">
        <v>44</v>
      </c>
      <c r="D6" s="10" t="s">
        <v>51</v>
      </c>
      <c r="E6" s="10" t="s">
        <v>30</v>
      </c>
      <c r="F6" s="9" t="s">
        <v>323</v>
      </c>
      <c r="G6" s="11">
        <v>2.8</v>
      </c>
      <c r="H6" s="9" t="s">
        <v>27</v>
      </c>
      <c r="I6" s="16" t="s">
        <v>349</v>
      </c>
    </row>
    <row r="7" spans="1:9" s="2" customFormat="1" ht="27">
      <c r="B7" s="8" t="s">
        <v>337</v>
      </c>
      <c r="C7" s="9" t="s">
        <v>44</v>
      </c>
      <c r="D7" s="10" t="s">
        <v>51</v>
      </c>
      <c r="E7" s="10" t="s">
        <v>30</v>
      </c>
      <c r="F7" s="9" t="s">
        <v>323</v>
      </c>
      <c r="G7" s="11">
        <v>2.4</v>
      </c>
      <c r="H7" s="9" t="s">
        <v>73</v>
      </c>
      <c r="I7" s="16" t="s">
        <v>350</v>
      </c>
    </row>
    <row r="8" spans="1:9" s="2" customFormat="1" ht="40.5">
      <c r="B8" s="8" t="s">
        <v>337</v>
      </c>
      <c r="C8" s="9" t="s">
        <v>22</v>
      </c>
      <c r="D8" s="10" t="s">
        <v>61</v>
      </c>
      <c r="E8" s="10" t="s">
        <v>30</v>
      </c>
      <c r="F8" s="9" t="s">
        <v>335</v>
      </c>
      <c r="G8" s="11">
        <v>0.8</v>
      </c>
      <c r="H8" s="9" t="s">
        <v>73</v>
      </c>
      <c r="I8" s="16" t="s">
        <v>345</v>
      </c>
    </row>
    <row r="9" spans="1:9" s="2" customFormat="1" ht="54">
      <c r="B9" s="8" t="s">
        <v>337</v>
      </c>
      <c r="C9" s="9" t="s">
        <v>43</v>
      </c>
      <c r="D9" s="10" t="s">
        <v>57</v>
      </c>
      <c r="E9" s="10" t="s">
        <v>30</v>
      </c>
      <c r="F9" s="9" t="s">
        <v>332</v>
      </c>
      <c r="G9" s="11">
        <v>0.7</v>
      </c>
      <c r="H9" s="9" t="s">
        <v>27</v>
      </c>
      <c r="I9" s="16" t="s">
        <v>347</v>
      </c>
    </row>
    <row r="10" spans="1:9" s="2" customFormat="1" ht="54">
      <c r="B10" s="8" t="s">
        <v>337</v>
      </c>
      <c r="C10" s="9" t="s">
        <v>43</v>
      </c>
      <c r="D10" s="10" t="s">
        <v>50</v>
      </c>
      <c r="E10" s="10" t="s">
        <v>30</v>
      </c>
      <c r="F10" s="9" t="s">
        <v>332</v>
      </c>
      <c r="G10" s="11">
        <v>0.9</v>
      </c>
      <c r="H10" s="9" t="s">
        <v>27</v>
      </c>
      <c r="I10" s="16" t="s">
        <v>346</v>
      </c>
    </row>
    <row r="11" spans="1:9" s="2" customFormat="1" ht="54">
      <c r="B11" s="8" t="s">
        <v>337</v>
      </c>
      <c r="C11" s="9" t="s">
        <v>43</v>
      </c>
      <c r="D11" s="10" t="s">
        <v>47</v>
      </c>
      <c r="E11" s="10" t="s">
        <v>30</v>
      </c>
      <c r="F11" s="9" t="s">
        <v>332</v>
      </c>
      <c r="G11" s="11">
        <v>0.7</v>
      </c>
      <c r="H11" s="9" t="s">
        <v>73</v>
      </c>
      <c r="I11" s="16" t="s">
        <v>348</v>
      </c>
    </row>
    <row r="12" spans="1:9" s="2" customFormat="1" ht="108">
      <c r="B12" s="8" t="s">
        <v>337</v>
      </c>
      <c r="C12" s="9" t="s">
        <v>44</v>
      </c>
      <c r="D12" s="10" t="s">
        <v>51</v>
      </c>
      <c r="E12" s="10" t="s">
        <v>30</v>
      </c>
      <c r="F12" s="9" t="s">
        <v>323</v>
      </c>
      <c r="G12" s="11">
        <v>25.8</v>
      </c>
      <c r="H12" s="9" t="s">
        <v>27</v>
      </c>
      <c r="I12" s="16" t="s">
        <v>344</v>
      </c>
    </row>
    <row r="13" spans="1:9" s="2" customFormat="1" ht="54">
      <c r="B13" s="8" t="s">
        <v>337</v>
      </c>
      <c r="C13" s="9" t="s">
        <v>44</v>
      </c>
      <c r="D13" s="10" t="s">
        <v>51</v>
      </c>
      <c r="E13" s="10" t="s">
        <v>30</v>
      </c>
      <c r="F13" s="9" t="s">
        <v>323</v>
      </c>
      <c r="G13" s="11">
        <v>26.7</v>
      </c>
      <c r="H13" s="9" t="s">
        <v>73</v>
      </c>
      <c r="I13" s="16" t="s">
        <v>343</v>
      </c>
    </row>
    <row r="14" spans="1:9" s="2" customFormat="1" ht="54">
      <c r="B14" s="8" t="s">
        <v>337</v>
      </c>
      <c r="C14" s="9" t="s">
        <v>43</v>
      </c>
      <c r="D14" s="10" t="s">
        <v>47</v>
      </c>
      <c r="E14" s="10" t="s">
        <v>30</v>
      </c>
      <c r="F14" s="9" t="s">
        <v>332</v>
      </c>
      <c r="G14" s="11">
        <v>1</v>
      </c>
      <c r="H14" s="9" t="s">
        <v>73</v>
      </c>
      <c r="I14" s="16" t="s">
        <v>353</v>
      </c>
    </row>
    <row r="15" spans="1:9" s="2" customFormat="1" ht="54">
      <c r="B15" s="8" t="s">
        <v>337</v>
      </c>
      <c r="C15" s="9" t="s">
        <v>43</v>
      </c>
      <c r="D15" s="10" t="s">
        <v>47</v>
      </c>
      <c r="E15" s="10" t="s">
        <v>30</v>
      </c>
      <c r="F15" s="9" t="s">
        <v>332</v>
      </c>
      <c r="G15" s="11">
        <v>1.9</v>
      </c>
      <c r="H15" s="9" t="s">
        <v>27</v>
      </c>
      <c r="I15" s="16" t="s">
        <v>352</v>
      </c>
    </row>
    <row r="16" spans="1:9" s="2" customFormat="1" ht="54">
      <c r="B16" s="8" t="s">
        <v>337</v>
      </c>
      <c r="C16" s="9" t="s">
        <v>43</v>
      </c>
      <c r="D16" s="10" t="s">
        <v>57</v>
      </c>
      <c r="E16" s="10" t="s">
        <v>30</v>
      </c>
      <c r="F16" s="9" t="s">
        <v>332</v>
      </c>
      <c r="G16" s="11">
        <v>1.8</v>
      </c>
      <c r="H16" s="9" t="s">
        <v>73</v>
      </c>
      <c r="I16" s="16" t="s">
        <v>351</v>
      </c>
    </row>
    <row r="17" spans="2:12" s="2" customFormat="1" ht="54">
      <c r="B17" s="8" t="s">
        <v>337</v>
      </c>
      <c r="C17" s="9" t="s">
        <v>43</v>
      </c>
      <c r="D17" s="10" t="s">
        <v>49</v>
      </c>
      <c r="E17" s="10" t="s">
        <v>30</v>
      </c>
      <c r="F17" s="9" t="s">
        <v>332</v>
      </c>
      <c r="G17" s="11">
        <v>2.2999999999999998</v>
      </c>
      <c r="H17" s="9" t="s">
        <v>73</v>
      </c>
      <c r="I17" s="16" t="s">
        <v>354</v>
      </c>
    </row>
    <row r="18" spans="2:12" s="2" customFormat="1" ht="27">
      <c r="B18" s="8" t="s">
        <v>337</v>
      </c>
      <c r="C18" s="9" t="s">
        <v>44</v>
      </c>
      <c r="D18" s="10" t="s">
        <v>51</v>
      </c>
      <c r="E18" s="10" t="s">
        <v>30</v>
      </c>
      <c r="F18" s="9" t="s">
        <v>323</v>
      </c>
      <c r="G18" s="11">
        <v>2.4</v>
      </c>
      <c r="H18" s="9" t="s">
        <v>73</v>
      </c>
      <c r="I18" s="16" t="s">
        <v>355</v>
      </c>
      <c r="L18" s="75"/>
    </row>
    <row r="19" spans="2:12" s="2" customFormat="1" ht="27">
      <c r="B19" s="8" t="s">
        <v>337</v>
      </c>
      <c r="C19" s="9" t="s">
        <v>44</v>
      </c>
      <c r="D19" s="10" t="s">
        <v>51</v>
      </c>
      <c r="E19" s="10" t="s">
        <v>30</v>
      </c>
      <c r="F19" s="9" t="s">
        <v>323</v>
      </c>
      <c r="G19" s="11">
        <v>0.6</v>
      </c>
      <c r="H19" s="9" t="s">
        <v>27</v>
      </c>
      <c r="I19" s="16" t="s">
        <v>356</v>
      </c>
      <c r="L19" s="75"/>
    </row>
    <row r="20" spans="2:12" s="2" customFormat="1" ht="27">
      <c r="B20" s="8" t="s">
        <v>337</v>
      </c>
      <c r="C20" s="9" t="s">
        <v>28</v>
      </c>
      <c r="D20" s="10" t="s">
        <v>31</v>
      </c>
      <c r="E20" s="10" t="s">
        <v>33</v>
      </c>
      <c r="F20" s="9" t="s">
        <v>39</v>
      </c>
      <c r="G20" s="11">
        <v>1.5</v>
      </c>
      <c r="H20" s="9" t="s">
        <v>31</v>
      </c>
      <c r="I20" s="16" t="s">
        <v>339</v>
      </c>
    </row>
    <row r="21" spans="2:12" s="2" customFormat="1" ht="14.5" customHeight="1">
      <c r="B21" s="80" t="s">
        <v>32</v>
      </c>
      <c r="C21" s="81"/>
      <c r="D21" s="82"/>
      <c r="E21" s="12"/>
      <c r="F21" s="12"/>
      <c r="G21" s="83">
        <f>SUM(G6:G20)</f>
        <v>72.3</v>
      </c>
      <c r="H21" s="84"/>
      <c r="I21" s="85"/>
    </row>
    <row r="24" spans="2:12">
      <c r="B24" s="17" t="s">
        <v>81</v>
      </c>
      <c r="C24" s="18" t="s">
        <v>342</v>
      </c>
    </row>
    <row r="25" spans="2:12">
      <c r="C25" s="18" t="s">
        <v>341</v>
      </c>
    </row>
  </sheetData>
  <mergeCells count="4">
    <mergeCell ref="B1:I1"/>
    <mergeCell ref="B2:H2"/>
    <mergeCell ref="B21:D21"/>
    <mergeCell ref="G21:I21"/>
  </mergeCells>
  <phoneticPr fontId="10" type="noConversion"/>
  <dataValidations count="3">
    <dataValidation type="list" errorStyle="warning" allowBlank="1" sqref="C14:C20" xr:uid="{00000000-0002-0000-0000-000005000000}">
      <formula1>项目事项分类项目名称</formula1>
    </dataValidation>
    <dataValidation type="list" allowBlank="1" showInputMessage="1" showErrorMessage="1" sqref="H6:H20" xr:uid="{00000000-0002-0000-0000-000006000000}">
      <formula1>事项分类指定内容</formula1>
    </dataValidation>
    <dataValidation type="list" allowBlank="1" showInputMessage="1" showErrorMessage="1" sqref="F6:F20"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D6:D20</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