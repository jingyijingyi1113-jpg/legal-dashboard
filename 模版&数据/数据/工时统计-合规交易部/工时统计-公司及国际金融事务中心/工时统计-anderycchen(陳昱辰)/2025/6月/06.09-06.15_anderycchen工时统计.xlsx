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E42E471B-4B6C-4F5C-8074-7BF52C63FF7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<sst xmlns="http://schemas.openxmlformats.org/spreadsheetml/2006/main" count="503" uniqueCount="351">
  <si>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</si>
  <si>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</si>
  <si>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</si>
  <si>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</si>
  <si>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</si>
  <si>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</si>
  <si>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</si>
  <si>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</si>
  <si>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</si>
  <si>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</si>
  <si>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</si>
  <si>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</si>
  <si>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</si>
  <si>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</si>
  <si>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</si>
  <si>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</si>
  <si>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</si>
  <si>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</si>
  <si>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</si>
  <si>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</si>
  <si>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</si>
  <si>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</si>
  <si>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</si>
  <si>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</si>
  <si>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</si>
  <si>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</si>
  <si>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</si>
  <si>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</si>
  <si>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</si>
  <si>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</si>
  <si>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</si>
  <si>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</si>
  <si>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</si>
  <si>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</si>
  <si>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</si>
  <si>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</si>
  <si>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</si>
  <si>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</si>
  <si>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</si>
  <si>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</si>
  <si>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</si>
  <si>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</si>
  <si>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</si>
  <si>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</si>
  <si>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</si>
  <si>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</si>
  <si>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</si>
  <si>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</si>
  <si>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</si>
  <si>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</si>
  <si>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</si>
  <si>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</si>
  <si>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</si>
  <si>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</si>
  <si>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</si>
  <si>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</si>
  <si>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</si>
  <si>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</si>
  <si>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</si>
  <si>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</si>
  <si>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</si>
  <si>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</si>
  <si>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</si>
  <si>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</si>
  <si>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</si>
  <si>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</si>
  <si>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</si>
  <si>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</si>
  <si>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</si>
  <si>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</si>
  <si>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</si>
  <si>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</si>
  <si>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</si>
  <si>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</si>
  <si>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</si>
  <si>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</si>
  <si>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</si>
  <si>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</si>
  <si>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</si>
  <si>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</si>
  <si>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</si>
  <si>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</si>
  <si>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</si>
  <si>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</si>
  <si>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</si>
  <si>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</si>
  <si>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</si>
  <si>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</si>
  <si>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</si>
  <si>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</si>
  <si>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</si>
  <si>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</si>
  <si>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</si>
  <si>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</si>
  <si>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</si>
  <si>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</si>
  <si>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</si>
  <si>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</si>
  <si>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</si>
  <si>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</si>
  <si>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</si>
  <si>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</si>
  <si>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</si>
  <si>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</si>
  <si>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</si>
  <si>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</si>
  <si>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</si>
  <si>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</si>
  <si>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</si>
  <si>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</si>
  <si>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</si>
  <si>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</si>
  <si>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</si>
  <si>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</si>
  <si>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</si>
  <si>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</si>
  <si>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</si>
  <si>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</si>
  <si>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</si>
  <si>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</si>
  <si>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</si>
  <si>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</si>
  <si>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</si>
  <si>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</si>
  <si>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</si>
  <si>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</si>
  <si>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</si>
  <si>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</si>
  <si>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</si>
  <si>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</si>
  <si>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</si>
  <si>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</si>
  <si>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</si>
  <si>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</si>
  <si>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</si>
  <si>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</si>
  <si>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</si>
  <si>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</si>
  <si>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</si>
  <si>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</si>
  <si>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</si>
  <si>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</si>
  <si>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</si>
  <si>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</si>
  <si>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</si>
  <si>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</si>
  <si>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</si>
  <si>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</si>
  <si>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</si>
  <si>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</si>
  <si>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</si>
  <si>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</si>
  <si>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</si>
  <si>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</si>
  <si>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</si>
  <si>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</si>
  <si>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</si>
  <si>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</si>
  <si>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</si>
  <si>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</si>
  <si>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</si>
  <si>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</si>
  <si>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</si>
  <si>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</si>
  <si>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</si>
  <si>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</si>
  <si>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</si>
  <si>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</si>
  <si>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</si>
  <si>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</si>
  <si>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</si>
  <si>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</si>
  <si>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</si>
  <si>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</si>
  <si>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</si>
  <si>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</si>
  <si>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</si>
  <si>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</si>
  <si>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</si>
  <si>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</si>
  <si>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</si>
  <si>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</si>
  <si>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</si>
  <si>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</si>
  <si>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</si>
  <si>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</si>
  <si>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</si>
  <si>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</si>
  <si>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</si>
  <si>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</si>
  <si>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</si>
  <si>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</si>
  <si>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</si>
  <si>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</si>
  <si>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</si>
  <si>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</si>
  <si>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</si>
  <si>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</si>
  <si>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</si>
  <si>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</si>
  <si>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</si>
  <si>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</si>
  <si>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</si>
  <si>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</si>
  <si>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</si>
  <si>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</si>
  <si>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</si>
  <si>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</si>
  <si>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</si>
  <si>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</si>
  <si>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</si>
  <si>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</si>
  <si>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</si>
  <si>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</si>
  <si>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</si>
  <si>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</si>
  <si>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</si>
  <si>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</si>
  <si>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</si>
  <si>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</si>
  <si>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</si>
  <si>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</si>
  <si>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</si>
  <si>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</si>
  <si>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</si>
  <si>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</si>
  <si>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</si>
  <si>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</si>
  <si>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</si>
  <si>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</si>
  <si>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</si>
  <si>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</si>
  <si>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</si>
  <si>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</si>
  <si>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</si>
  <si>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</si>
  <si>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</si>
  <si>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</si>
  <si>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</si>
  <si>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</si>
  <si>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</si>
  <si>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</si>
  <si>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</si>
  <si>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</si>
  <si>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</si>
  <si>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</si>
  <si>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</si>
  <si>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</si>
  <si>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</si>
  <si>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</si>
  <si>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</si>
  <si>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</si>
  <si>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</si>
  <si>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</si>
  <si>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</si>
  <si>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</si>
  <si>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</si>
  <si>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</si>
  <si>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</si>
  <si>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</si>
  <si>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</si>
  <si>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</si>
  <si>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</si>
  <si>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</si>
  <si>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</si>
  <si>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</si>
  <si>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</si>
  <si>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</si>
  <si>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</si>
  <si>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</si>
  <si>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</si>
  <si>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</si>
  <si>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</si>
  <si>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</si>
  <si>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</si>
  <si>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</si>
  <si>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</si>
  <si>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</si>
  <si>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</si>
  <si>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</si>
  <si>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</si>
  <si>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</si>
  <si>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</si>
  <si>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</si>
  <si>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</si>
  <si>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</si>
  <si>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</si>
  <si>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</si>
  <si>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</si>
  <si>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</si>
  <si>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</si>
  <si>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</si>
  <si>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</si>
  <si>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</si>
  <si>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</si>
  <si>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</si>
  <si>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</si>
  <si>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</si>
  <si>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</si>
  <si>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</si>
  <si>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</si>
  <si>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</si>
  <si>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</si>
  <si>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</si>
  <si>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</si>
  <si>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</si>
  <si>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</si>
  <si>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</si>
  <si>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</si>
  <si>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</si>
  <si>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</si>
  <si>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</si>
  <si>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</si>
  <si>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</si>
  <si>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</si>
  <si>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</si>
  <si>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</si>
  <si>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</si>
  <si>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</si>
  <si>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</si>
  <si>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</si>
  <si>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</si>
  <si>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</si>
  <si>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</si>
  <si>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</si>
  <si>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</si>
  <si>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</si>
  <si>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</si>
  <si>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</si>
  <si>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</si>
  <si>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</si>
  <si>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</si>
  <si>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</si>
  <si>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</si>
  <si>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</si>
  <si>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</si>
  <si>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</si>
  <si>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</si>
  <si>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</si>
  <si>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</si>
  <si>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</si>
  <si>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</si>
  <si>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Discussing with intenal clients and external counsels</t>
  </si>
  <si>
    <t>Rotation in CC:  Reviewing and Updating Takerover Index</t>
  </si>
  <si>
    <t>Rotation in CC: Legal Research on DLT Submission</t>
  </si>
  <si>
    <t>Translating Monthly Report</t>
  </si>
  <si>
    <t>Reviewing the OCBC Structure Products</t>
  </si>
  <si>
    <t>Reviewing the ICBC Wealth Management Products</t>
  </si>
  <si>
    <t>Rotation in CC: CC Induction &amp; Training</t>
  </si>
  <si>
    <t>Rotation in CC: Legal Research on Reinsurance</t>
  </si>
  <si>
    <t>Rotation in CC: Updating Standard Litco Directors Memo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</si>
</sst>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116" zoomScaleNormal="116" workbookViewId="0">
      <selection activeCell="C6" sqref="C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1">
      <c r="B6" s="8" t="s">
        <v>341</v>
      </c>
      <c r="C6" s="9" t="s">
        <v>28</v>
      </c>
      <c r="D6" s="10" t="s">
        <v>31</v>
      </c>
      <c r="E6" s="10" t="s">
        <v>30</v>
      </c>
      <c r="F6" s="9" t="s">
        <v>338</v>
      </c>
      <c r="G6" s="11">
        <v>3</v>
      </c>
      <c r="H6" s="9" t="s">
        <v>73</v>
      </c>
      <c r="I6" s="16" t="s">
        <v>345</v>
      </c>
    </row>
    <row r="7" spans="1:9" s="2" customFormat="1" ht="27">
      <c r="B7" s="8" t="s">
        <v>341</v>
      </c>
      <c r="C7" s="9" t="s">
        <v>44</v>
      </c>
      <c r="D7" s="10" t="s">
        <v>51</v>
      </c>
      <c r="E7" s="10" t="s">
        <v>30</v>
      </c>
      <c r="F7" s="9" t="s">
        <v>323</v>
      </c>
      <c r="G7" s="11">
        <v>4</v>
      </c>
      <c r="H7" s="9" t="s">
        <v>73</v>
      </c>
      <c r="I7" s="16" t="s">
        <v>346</v>
      </c>
    </row>
    <row r="8" spans="1:9" s="2" customFormat="1" ht="27">
      <c r="B8" s="8" t="s">
        <v>341</v>
      </c>
      <c r="C8" s="9" t="s">
        <v>44</v>
      </c>
      <c r="D8" s="10" t="s">
        <v>51</v>
      </c>
      <c r="E8" s="10" t="s">
        <v>30</v>
      </c>
      <c r="F8" s="9" t="s">
        <v>323</v>
      </c>
      <c r="G8" s="11">
        <v>3</v>
      </c>
      <c r="H8" s="9" t="s">
        <v>73</v>
      </c>
      <c r="I8" s="16" t="s">
        <v>347</v>
      </c>
    </row>
    <row r="9" spans="1:9" s="2" customFormat="1" ht="27">
      <c r="B9" s="8" t="s">
        <v>341</v>
      </c>
      <c r="C9" s="9" t="s">
        <v>44</v>
      </c>
      <c r="D9" s="10" t="s">
        <v>51</v>
      </c>
      <c r="E9" s="10" t="s">
        <v>30</v>
      </c>
      <c r="F9" s="9" t="s">
        <v>323</v>
      </c>
      <c r="G9" s="11">
        <v>1</v>
      </c>
      <c r="H9" s="9" t="s">
        <v>27</v>
      </c>
      <c r="I9" s="16" t="s">
        <v>342</v>
      </c>
    </row>
    <row r="10" spans="1:9" s="2" customFormat="1" ht="67.5">
      <c r="B10" s="8" t="s">
        <v>341</v>
      </c>
      <c r="C10" s="9" t="s">
        <v>28</v>
      </c>
      <c r="D10" s="10" t="s">
        <v>31</v>
      </c>
      <c r="E10" s="10" t="s">
        <v>30</v>
      </c>
      <c r="F10" s="9" t="s">
        <v>329</v>
      </c>
      <c r="G10" s="11">
        <v>4</v>
      </c>
      <c r="H10" s="9" t="s">
        <v>31</v>
      </c>
      <c r="I10" s="16" t="s">
        <v>348</v>
      </c>
    </row>
    <row r="11" spans="1:9" s="2" customFormat="1" ht="67.5">
      <c r="B11" s="8" t="s">
        <v>341</v>
      </c>
      <c r="C11" s="9" t="s">
        <v>28</v>
      </c>
      <c r="D11" s="10" t="s">
        <v>31</v>
      </c>
      <c r="E11" s="10" t="s">
        <v>30</v>
      </c>
      <c r="F11" s="9" t="s">
        <v>329</v>
      </c>
      <c r="G11" s="11">
        <v>10</v>
      </c>
      <c r="H11" s="9" t="s">
        <v>31</v>
      </c>
      <c r="I11" s="16" t="s">
        <v>343</v>
      </c>
    </row>
    <row r="12" spans="1:9" s="2" customFormat="1" ht="67.5">
      <c r="B12" s="8" t="s">
        <v>341</v>
      </c>
      <c r="C12" s="9" t="s">
        <v>28</v>
      </c>
      <c r="D12" s="10" t="s">
        <v>31</v>
      </c>
      <c r="E12" s="10" t="s">
        <v>30</v>
      </c>
      <c r="F12" s="9" t="s">
        <v>329</v>
      </c>
      <c r="G12" s="11">
        <v>7</v>
      </c>
      <c r="H12" s="9" t="s">
        <v>31</v>
      </c>
      <c r="I12" s="16" t="s">
        <v>344</v>
      </c>
    </row>
    <row r="13" spans="1:9" s="2" customFormat="1" ht="67.5">
      <c r="B13" s="8" t="s">
        <v>341</v>
      </c>
      <c r="C13" s="9" t="s">
        <v>28</v>
      </c>
      <c r="D13" s="10" t="s">
        <v>31</v>
      </c>
      <c r="E13" s="10" t="s">
        <v>30</v>
      </c>
      <c r="F13" s="9" t="s">
        <v>329</v>
      </c>
      <c r="G13" s="11">
        <v>4</v>
      </c>
      <c r="H13" s="9" t="s">
        <v>31</v>
      </c>
      <c r="I13" s="16" t="s">
        <v>349</v>
      </c>
    </row>
    <row r="14" spans="1:9" s="2" customFormat="1" ht="67.5">
      <c r="B14" s="8" t="s">
        <v>341</v>
      </c>
      <c r="C14" s="9" t="s">
        <v>28</v>
      </c>
      <c r="D14" s="10" t="s">
        <v>31</v>
      </c>
      <c r="E14" s="10" t="s">
        <v>30</v>
      </c>
      <c r="F14" s="9" t="s">
        <v>329</v>
      </c>
      <c r="G14" s="11">
        <v>4</v>
      </c>
      <c r="H14" s="9" t="s">
        <v>31</v>
      </c>
      <c r="I14" s="16" t="s">
        <v>350</v>
      </c>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4.5" customHeight="1">
      <c r="B31" s="79" t="s">
        <v>32</v>
      </c>
      <c r="C31" s="80"/>
      <c r="D31" s="81"/>
      <c r="E31" s="12"/>
      <c r="F31" s="12"/>
      <c r="G31" s="82">
        <f>SUM(G6:G30)</f>
        <v>40</v>
      </c>
      <c r="H31" s="83"/>
      <c r="I31" s="84"/>
    </row>
    <row r="34" spans="2:3">
      <c r="B34" s="17" t="s">
        <v>81</v>
      </c>
      <c r="C34" s="18" t="s">
        <v>331</v>
      </c>
    </row>
    <row r="35" spans="2:3">
      <c r="C35" s="18" t="s">
        <v>332</v>
      </c>
    </row>
  </sheetData>
  <mergeCells count="4">
    <mergeCell ref="B1:I1"/>
    <mergeCell ref="B2:H2"/>
    <mergeCell ref="B31:D31"/>
    <mergeCell ref="G31:I31"/>
  </mergeCells>
  <phoneticPr fontId="10" type="noConversion"/>
  <dataValidations count="3">
    <dataValidation type="list" errorStyle="warning" allowBlank="1" sqref="C13:C30" xr:uid="{06AA10A4-EDB9-40DF-9B5F-EDA856DF545D}">
      <formula1>项目事项分类项目名称</formula1>
    </dataValidation>
    <dataValidation type="list" allowBlank="1" showInputMessage="1" showErrorMessage="1" sqref="H6:H30" xr:uid="{CC964B7C-DA77-4A14-BBDB-2F697C3DE4B1}">
      <formula1>事项分类指定内容</formula1>
    </dataValidation>
    <dataValidation type="list" allowBlank="1" showInputMessage="1" showErrorMessage="1" sqref="F6:F30" xr:uid="{03F28503-B076-48F5-9717-34B342164D13}">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C6:C12</xm:sqref>
        </x14:dataValidation>
        <x14:dataValidation type="list" allowBlank="1" showInputMessage="1" showErrorMessage="1" promptTitle="Internal Client" xr:uid="{92205F23-3A14-4597-B43E-0313704BB589}">
          <x14:formula1>
            <xm:f>'Exhibit II - Internal Client'!$A$1:$A$20</xm:f>
          </x14:formula1>
          <xm:sqref>D6:D30</xm:sqref>
        </x14:dataValidation>
        <x14:dataValidation type="list" allowBlank="1" showInputMessage="1" showErrorMessage="1" xr:uid="{2AC9314C-88CB-4723-899A-4AF136A6BE9E}">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2025-07-02T06:40:27Z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