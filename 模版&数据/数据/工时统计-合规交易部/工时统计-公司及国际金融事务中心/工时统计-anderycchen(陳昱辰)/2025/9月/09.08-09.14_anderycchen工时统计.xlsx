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28"/>
  <workbookPr/>
  <mc:AlternateContent xmlns:mc="http://schemas.openxmlformats.org/markup-compatibility/2006">
    <mc:Choice Requires="x15">
      <x15ac:absPath xmlns:x15ac="http://schemas.microsoft.com/office/spreadsheetml/2010/11/ac" url="/Users/andersonchen/Desktop/Time Sheet/2025/Sept/"/>
    </mc:Choice>
  </mc:AlternateContent>
  <xr:revisionPtr revIDLastSave="0" documentId="13_ncr:1_{FD060922-C93D-0B47-BF67-1C3533ED9EC8}" xr6:coauthVersionLast="47" xr6:coauthVersionMax="47" xr10:uidLastSave="{00000000-0000-0000-0000-000000000000}"/>
  <bookViews>
    <workbookView xWindow="35700" yWindow="5280" windowWidth="31160" windowHeight="192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<sst xmlns="http://schemas.openxmlformats.org/spreadsheetml/2006/main" count="455" uniqueCount="345">
  <si>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</si>
  <si>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</si>
  <si>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</si>
  <si>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</si>
  <si>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</si>
  <si>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</si>
  <si>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</si>
  <si>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</si>
  <si>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</si>
  <si>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</si>
  <si>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</si>
  <si>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</si>
  <si>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</si>
  <si>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</si>
  <si>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</si>
  <si>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</si>
  <si>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</si>
  <si>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</si>
  <si>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</si>
  <si>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</si>
  <si>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</si>
  <si>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</si>
  <si>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</si>
  <si>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</si>
  <si>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</si>
  <si>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</si>
  <si>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</si>
  <si>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</si>
  <si>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</si>
  <si>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</si>
  <si>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</si>
  <si>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</si>
  <si>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</si>
  <si>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</si>
  <si>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</si>
  <si>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</si>
  <si>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</si>
  <si>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</si>
  <si>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</si>
  <si>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</si>
  <si>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</si>
  <si>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</si>
  <si>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</si>
  <si>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</si>
  <si>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</si>
  <si>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</si>
  <si>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</si>
  <si>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</si>
  <si>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</si>
  <si>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</si>
  <si>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</si>
  <si>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</si>
  <si>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</si>
  <si>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</si>
  <si>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</si>
  <si>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</si>
  <si>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</si>
  <si>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</si>
  <si>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</si>
  <si>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</si>
  <si>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</si>
  <si>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</si>
  <si>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</si>
  <si>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</si>
  <si>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</si>
  <si>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</si>
  <si>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</si>
  <si>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</si>
  <si>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</si>
  <si>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</si>
  <si>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</si>
  <si>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</si>
  <si>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</si>
  <si>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</si>
  <si>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</si>
  <si>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</si>
  <si>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</si>
  <si>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</si>
  <si>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</si>
  <si>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</si>
  <si>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</si>
  <si>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</si>
  <si>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</si>
  <si>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</si>
  <si>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</si>
  <si>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</si>
  <si>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</si>
  <si>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</si>
  <si>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</si>
  <si>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</si>
  <si>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</si>
  <si>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</si>
  <si>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</si>
  <si>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</si>
  <si>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</si>
  <si>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</si>
  <si>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</si>
  <si>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</si>
  <si>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</si>
  <si>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</si>
  <si>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</si>
  <si>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</si>
  <si>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</si>
  <si>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</si>
  <si>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</si>
  <si>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</si>
  <si>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</si>
  <si>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</si>
  <si>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</si>
  <si>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</si>
  <si>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</si>
  <si>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</si>
  <si>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</si>
  <si>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</si>
  <si>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</si>
  <si>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</si>
  <si>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</si>
  <si>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</si>
  <si>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</si>
  <si>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</si>
  <si>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</si>
  <si>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</si>
  <si>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</si>
  <si>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</si>
  <si>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</si>
  <si>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</si>
  <si>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</si>
  <si>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</si>
  <si>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</si>
  <si>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</si>
  <si>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</si>
  <si>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</si>
  <si>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</si>
  <si>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</si>
  <si>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</si>
  <si>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</si>
  <si>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</si>
  <si>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</si>
  <si>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</si>
  <si>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</si>
  <si>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</si>
  <si>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</si>
  <si>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</si>
  <si>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</si>
  <si>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</si>
  <si>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</si>
  <si>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</si>
  <si>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</si>
  <si>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</si>
  <si>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</si>
  <si>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</si>
  <si>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</si>
  <si>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</si>
  <si>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</si>
  <si>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</si>
  <si>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</si>
  <si>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</si>
  <si>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</si>
  <si>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</si>
  <si>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</si>
  <si>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</si>
  <si>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</si>
  <si>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</si>
  <si>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</si>
  <si>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</si>
  <si>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</si>
  <si>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</si>
  <si>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</si>
  <si>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</si>
  <si>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</si>
  <si>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</si>
  <si>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</si>
  <si>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</si>
  <si>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</si>
  <si>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</si>
  <si>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</si>
  <si>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</si>
  <si>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</si>
  <si>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</si>
  <si>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</si>
  <si>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</si>
  <si>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</si>
  <si>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</si>
  <si>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</si>
  <si>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</si>
  <si>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</si>
  <si>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</si>
  <si>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</si>
  <si>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</si>
  <si>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</si>
  <si>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</si>
  <si>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</si>
  <si>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</si>
  <si>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</si>
  <si>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</si>
  <si>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</si>
  <si>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</si>
  <si>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</si>
  <si>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</si>
  <si>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</si>
  <si>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</si>
  <si>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</si>
  <si>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</si>
  <si>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</si>
  <si>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</si>
  <si>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</si>
  <si>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</si>
  <si>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</si>
  <si>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</si>
  <si>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</si>
  <si>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</si>
  <si>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</si>
  <si>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</si>
  <si>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</si>
  <si>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</si>
  <si>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</si>
  <si>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</si>
  <si>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</si>
  <si>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</si>
  <si>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</si>
  <si>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</si>
  <si>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</si>
  <si>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</si>
  <si>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</si>
  <si>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</si>
  <si>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</si>
  <si>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</si>
  <si>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</si>
  <si>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</si>
  <si>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</si>
  <si>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</si>
  <si>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</si>
  <si>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</si>
  <si>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</si>
  <si>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</si>
  <si>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</si>
  <si>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</si>
  <si>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</si>
  <si>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</si>
  <si>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</si>
  <si>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</si>
  <si>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</si>
  <si>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</si>
  <si>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</si>
  <si>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</si>
  <si>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</si>
  <si>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</si>
  <si>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</si>
  <si>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</si>
  <si>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</si>
  <si>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</si>
  <si>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</si>
  <si>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</si>
  <si>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</si>
  <si>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</si>
  <si>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</si>
  <si>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</si>
  <si>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</si>
  <si>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</si>
  <si>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</si>
  <si>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</si>
  <si>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</si>
  <si>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</si>
  <si>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</si>
  <si>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</si>
  <si>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</si>
  <si>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</si>
  <si>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</si>
  <si>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</si>
  <si>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</si>
  <si>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</si>
  <si>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</si>
  <si>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</si>
  <si>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</si>
  <si>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</si>
  <si>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</si>
  <si>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</si>
  <si>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</si>
  <si>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</si>
  <si>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</si>
  <si>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</si>
  <si>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</si>
  <si>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</si>
  <si>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</si>
  <si>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</si>
  <si>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</si>
  <si>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</si>
  <si>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</si>
  <si>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</si>
  <si>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</si>
  <si>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</si>
  <si>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</si>
  <si>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</si>
  <si>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</si>
  <si>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</si>
  <si>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</si>
  <si>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</si>
  <si>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</si>
  <si>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</si>
  <si>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</si>
  <si>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</si>
  <si>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</si>
  <si>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</si>
  <si>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</si>
  <si>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</si>
  <si>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</si>
  <si>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</si>
  <si>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</si>
  <si>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</si>
  <si>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</si>
  <si>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</si>
  <si>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</si>
  <si>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</si>
  <si>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</si>
  <si>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</si>
  <si>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</si>
  <si>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</si>
  <si>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</si>
  <si>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</si>
  <si>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</si>
  <si>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</si>
  <si>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</si>
  <si>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</si>
  <si>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</si>
  <si>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</si>
  <si>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</si>
  <si>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</si>
  <si>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</si>
  <si>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</si>
  <si>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</si>
  <si>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</si>
  <si>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</si>
  <si>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</si>
  <si>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</si>
  <si>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</si>
  <si>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</si>
  <si>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</si>
  <si>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</si>
  <si>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</si>
  <si>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</si>
  <si>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</si>
  <si>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anderycchen</t>
  </si>
  <si>
    <t>Other Leaves - 09.08-09.12</t>
  </si>
  <si>
    <t>Reviewing the PingAn Cash Wealth Managament Product</t>
  </si>
  <si>
    <t>Reviewing Intergroup Clearance Managament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</si>
</sst>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xf numFmtId="0" fontId="30"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5" zoomScale="110" zoomScaleNormal="110" workbookViewId="0">
      <selection activeCell="H17" sqref="H17"/>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c r="B6" s="8" t="s">
        <v>341</v>
      </c>
      <c r="C6" s="9" t="s">
        <v>44</v>
      </c>
      <c r="D6" s="10" t="s">
        <v>51</v>
      </c>
      <c r="E6" s="10" t="s">
        <v>30</v>
      </c>
      <c r="F6" s="9" t="s">
        <v>323</v>
      </c>
      <c r="G6" s="11">
        <v>6</v>
      </c>
      <c r="H6" s="9" t="s">
        <v>73</v>
      </c>
      <c r="I6" s="16" t="s">
        <v>343</v>
      </c>
    </row>
    <row r="7" spans="1:9" s="2" customFormat="1" ht="45">
      <c r="B7" s="8" t="s">
        <v>341</v>
      </c>
      <c r="C7" s="9" t="s">
        <v>43</v>
      </c>
      <c r="D7" s="10" t="s">
        <v>57</v>
      </c>
      <c r="E7" s="10" t="s">
        <v>30</v>
      </c>
      <c r="F7" s="9" t="s">
        <v>334</v>
      </c>
      <c r="G7" s="11">
        <v>5</v>
      </c>
      <c r="H7" s="9" t="s">
        <v>73</v>
      </c>
      <c r="I7" s="16" t="s">
        <v>344</v>
      </c>
    </row>
    <row r="8" spans="1:9" s="2" customFormat="1" ht="14">
      <c r="B8" s="8"/>
      <c r="C8" s="9"/>
      <c r="D8" s="10"/>
      <c r="E8" s="10"/>
      <c r="F8" s="9"/>
      <c r="G8" s="11"/>
      <c r="H8" s="9"/>
      <c r="I8" s="16"/>
    </row>
    <row r="9" spans="1:9" s="2" customFormat="1" ht="14">
      <c r="B9" s="8"/>
      <c r="C9" s="9"/>
      <c r="D9" s="10"/>
      <c r="E9" s="10"/>
      <c r="F9" s="9"/>
      <c r="G9" s="11"/>
      <c r="H9" s="9"/>
      <c r="I9" s="16"/>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0"/>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5" customHeight="1">
      <c r="B33" s="79" t="s">
        <v>32</v>
      </c>
      <c r="C33" s="80"/>
      <c r="D33" s="81"/>
      <c r="E33" s="12"/>
      <c r="F33" s="12"/>
      <c r="G33" s="82">
        <f>SUM(G6:G32)</f>
        <v>11</v>
      </c>
      <c r="H33" s="83"/>
      <c r="I33" s="84"/>
    </row>
    <row r="36" spans="2:9" ht="16">
      <c r="B36" s="17" t="s">
        <v>81</v>
      </c>
      <c r="C36" s="18" t="s">
        <v>331</v>
      </c>
      <c r="D36" s="129" t="s">
        <v>342</v>
      </c>
    </row>
    <row r="37" spans="2:9" ht="16">
      <c r="C37" s="18" t="s">
        <v>332</v>
      </c>
    </row>
  </sheetData>
  <mergeCells count="4">
    <mergeCell ref="B1:I1"/>
    <mergeCell ref="B2:H2"/>
    <mergeCell ref="B33:D33"/>
    <mergeCell ref="G33:I33"/>
  </mergeCells>
  <phoneticPr fontId="10" type="noConversion"/>
  <dataValidations count="4">
    <dataValidation type="list" errorStyle="warning" allowBlank="1" sqref="C10:C32" xr:uid="{06AA10A4-EDB9-40DF-9B5F-EDA856DF545D}">
      <formula1>项目事项分类项目名称</formula1>
    </dataValidation>
    <dataValidation type="list" allowBlank="1" showInputMessage="1" showErrorMessage="1" sqref="F16:F32 F6:F13" xr:uid="{03F28503-B076-48F5-9717-34B342164D13}">
      <formula1>INDIRECT($E6)</formula1>
    </dataValidation>
    <dataValidation type="list" allowBlank="1" showInputMessage="1" showErrorMessage="1" sqref="F14:F15" xr:uid="{18D37699-1E3F-48DF-9E5B-5E600581984D}">
      <formula1>INDIRECT($E13)</formula1>
    </dataValidation>
    <dataValidation type="list" allowBlank="1" showInputMessage="1" showErrorMessage="1" sqref="H6:H32" xr:uid="{CC964B7C-DA77-4A14-BBDB-2F697C3DE4B1}">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8F90D5FD-27F6-4EA9-B81C-4D90C70D535F}">
          <x14:formula1>
            <xm:f>'Exhibit I - Virtual Group'!$A$1:$A$7</xm:f>
          </x14:formula1>
          <xm:sqref>C6:C9</xm:sqref>
        </x14:dataValidation>
        <x14:dataValidation type="list" allowBlank="1" showInputMessage="1" showErrorMessage="1" promptTitle="Internal Client" xr:uid="{92205F23-3A14-4597-B43E-0313704BB589}">
          <x14:formula1>
            <xm:f>'Exhibit II - Internal Client'!$A$1:$A$20</xm:f>
          </x14:formula1>
          <xm:sqref>D6:D32</xm:sqref>
        </x14:dataValidation>
        <x14:dataValidation type="list" allowBlank="1" showInputMessage="1" showErrorMessage="1" xr:uid="{2AC9314C-88CB-4723-899A-4AF136A6BE9E}">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2025-10-06T06:15:32Z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