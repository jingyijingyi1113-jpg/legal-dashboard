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6971EB7C-5658-4BAB-BFBD-496FAB76AEC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<sst xmlns="http://schemas.openxmlformats.org/spreadsheetml/2006/main" count="475" uniqueCount="347">
  <si>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</si>
  <si>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</si>
  <si>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</si>
  <si>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</si>
  <si>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</si>
  <si>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</si>
  <si>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</si>
  <si>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</si>
  <si>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</si>
  <si>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</si>
  <si>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</si>
  <si>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</si>
  <si>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</si>
  <si>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</si>
  <si>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</si>
  <si>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</si>
  <si>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</si>
  <si>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</si>
  <si>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</si>
  <si>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</si>
  <si>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</si>
  <si>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</si>
  <si>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</si>
  <si>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</si>
  <si>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</si>
  <si>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</si>
  <si>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</si>
  <si>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</si>
  <si>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</si>
  <si>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</si>
  <si>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</si>
  <si>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</si>
  <si>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</si>
  <si>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</si>
  <si>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</si>
  <si>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</si>
  <si>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</si>
  <si>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</si>
  <si>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</si>
  <si>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</si>
  <si>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</si>
  <si>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</si>
  <si>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</si>
  <si>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</si>
  <si>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</si>
  <si>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</si>
  <si>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</si>
  <si>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</si>
  <si>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</si>
  <si>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</si>
  <si>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</si>
  <si>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</si>
  <si>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</si>
  <si>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</si>
  <si>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</si>
  <si>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</si>
  <si>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</si>
  <si>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</si>
  <si>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</si>
  <si>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</si>
  <si>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</si>
  <si>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</si>
  <si>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</si>
  <si>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</si>
  <si>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</si>
  <si>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</si>
  <si>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</si>
  <si>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</si>
  <si>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</si>
  <si>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</si>
  <si>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</si>
  <si>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</si>
  <si>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</si>
  <si>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</si>
  <si>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</si>
  <si>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</si>
  <si>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</si>
  <si>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</si>
  <si>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</si>
  <si>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</si>
  <si>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</si>
  <si>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</si>
  <si>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</si>
  <si>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</si>
  <si>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</si>
  <si>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</si>
  <si>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</si>
  <si>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</si>
  <si>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</si>
  <si>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</si>
  <si>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</si>
  <si>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</si>
  <si>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</si>
  <si>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</si>
  <si>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</si>
  <si>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</si>
  <si>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</si>
  <si>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</si>
  <si>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</si>
  <si>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</si>
  <si>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</si>
  <si>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</si>
  <si>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</si>
  <si>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</si>
  <si>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</si>
  <si>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</si>
  <si>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</si>
  <si>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</si>
  <si>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</si>
  <si>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</si>
  <si>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</si>
  <si>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</si>
  <si>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</si>
  <si>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</si>
  <si>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</si>
  <si>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</si>
  <si>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</si>
  <si>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</si>
  <si>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</si>
  <si>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</si>
  <si>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</si>
  <si>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</si>
  <si>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</si>
  <si>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</si>
  <si>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</si>
  <si>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</si>
  <si>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</si>
  <si>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</si>
  <si>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</si>
  <si>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</si>
  <si>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</si>
  <si>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</si>
  <si>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</si>
  <si>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</si>
  <si>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</si>
  <si>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</si>
  <si>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</si>
  <si>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</si>
  <si>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</si>
  <si>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</si>
  <si>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</si>
  <si>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</si>
  <si>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</si>
  <si>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</si>
  <si>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</si>
  <si>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</si>
  <si>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</si>
  <si>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</si>
  <si>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</si>
  <si>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</si>
  <si>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</si>
  <si>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</si>
  <si>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</si>
  <si>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</si>
  <si>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</si>
  <si>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</si>
  <si>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</si>
  <si>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</si>
  <si>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</si>
  <si>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</si>
  <si>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</si>
  <si>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</si>
  <si>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</si>
  <si>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</si>
  <si>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</si>
  <si>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</si>
  <si>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</si>
  <si>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</si>
  <si>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</si>
  <si>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</si>
  <si>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</si>
  <si>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</si>
  <si>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</si>
  <si>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</si>
  <si>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</si>
  <si>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</si>
  <si>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</si>
  <si>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</si>
  <si>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</si>
  <si>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</si>
  <si>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</si>
  <si>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</si>
  <si>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</si>
  <si>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</si>
  <si>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</si>
  <si>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</si>
  <si>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</si>
  <si>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</si>
  <si>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</si>
  <si>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</si>
  <si>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</si>
  <si>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</si>
  <si>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</si>
  <si>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</si>
  <si>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</si>
  <si>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</si>
  <si>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</si>
  <si>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</si>
  <si>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</si>
  <si>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</si>
  <si>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</si>
  <si>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</si>
  <si>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</si>
  <si>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</si>
  <si>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</si>
  <si>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</si>
  <si>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</si>
  <si>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</si>
  <si>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</si>
  <si>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</si>
  <si>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</si>
  <si>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</si>
  <si>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</si>
  <si>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</si>
  <si>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</si>
  <si>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</si>
  <si>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</si>
  <si>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</si>
  <si>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</si>
  <si>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</si>
  <si>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</si>
  <si>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</si>
  <si>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</si>
  <si>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</si>
  <si>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</si>
  <si>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</si>
  <si>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</si>
  <si>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</si>
  <si>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</si>
  <si>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</si>
  <si>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</si>
  <si>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</si>
  <si>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</si>
  <si>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</si>
  <si>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</si>
  <si>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</si>
  <si>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</si>
  <si>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</si>
  <si>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</si>
  <si>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</si>
  <si>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</si>
  <si>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</si>
  <si>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</si>
  <si>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</si>
  <si>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</si>
  <si>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</si>
  <si>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</si>
  <si>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</si>
  <si>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</si>
  <si>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</si>
  <si>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</si>
  <si>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</si>
  <si>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</si>
  <si>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</si>
  <si>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</si>
  <si>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</si>
  <si>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</si>
  <si>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</si>
  <si>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</si>
  <si>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</si>
  <si>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</si>
  <si>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</si>
  <si>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</si>
  <si>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</si>
  <si>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</si>
  <si>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</si>
  <si>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</si>
  <si>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</si>
  <si>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</si>
  <si>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</si>
  <si>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</si>
  <si>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</si>
  <si>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</si>
  <si>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</si>
  <si>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</si>
  <si>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</si>
  <si>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</si>
  <si>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</si>
  <si>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</si>
  <si>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</si>
  <si>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</si>
  <si>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</si>
  <si>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</si>
  <si>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</si>
  <si>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</si>
  <si>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</si>
  <si>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</si>
  <si>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</si>
  <si>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</si>
  <si>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</si>
  <si>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</si>
  <si>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</si>
  <si>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</si>
  <si>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</si>
  <si>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</si>
  <si>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</si>
  <si>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</si>
  <si>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</si>
  <si>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</si>
  <si>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</si>
  <si>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</si>
  <si>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</si>
  <si>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</si>
  <si>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</si>
  <si>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</si>
  <si>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</si>
  <si>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</si>
  <si>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</si>
  <si>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</si>
  <si>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</si>
  <si>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</si>
  <si>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</si>
  <si>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</si>
  <si>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</si>
  <si>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</si>
  <si>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</si>
  <si>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</si>
  <si>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</si>
  <si>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</si>
  <si>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</si>
  <si>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</si>
  <si>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</si>
  <si>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</si>
  <si>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</si>
  <si>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</si>
  <si>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</si>
  <si>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</si>
  <si>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</si>
  <si>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</si>
  <si>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</si>
  <si>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</si>
  <si>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</si>
  <si>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</si>
  <si>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</si>
  <si>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</si>
  <si>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</si>
  <si>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</si>
  <si>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</si>
  <si>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</si>
  <si>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</si>
  <si>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</si>
  <si>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</si>
  <si>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Rotation in CC:  M&amp;A deal</t>
  </si>
  <si>
    <t>Rotation in CC: Stablecoins</t>
  </si>
  <si>
    <t>Rotation in CC: Updating Takeover Index</t>
  </si>
  <si>
    <t>Reviewing wealth management products and discussing with clients</t>
  </si>
  <si>
    <t>Reviewing the ICBC onshore cash pool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</si>
</sst>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B5" zoomScale="119" zoomScaleNormal="150" workbookViewId="0">
      <selection activeCell="B11" sqref="B11:B1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8</v>
      </c>
      <c r="H6" s="9" t="s">
        <v>73</v>
      </c>
      <c r="I6" s="16" t="s">
        <v>345</v>
      </c>
    </row>
    <row r="7" spans="1:9" s="2" customFormat="1" ht="27">
      <c r="B7" s="8" t="s">
        <v>341</v>
      </c>
      <c r="C7" s="9" t="s">
        <v>44</v>
      </c>
      <c r="D7" s="10" t="s">
        <v>51</v>
      </c>
      <c r="E7" s="10" t="s">
        <v>30</v>
      </c>
      <c r="F7" s="9" t="s">
        <v>323</v>
      </c>
      <c r="G7" s="11">
        <v>3</v>
      </c>
      <c r="H7" s="9" t="s">
        <v>73</v>
      </c>
      <c r="I7" s="16" t="s">
        <v>346</v>
      </c>
    </row>
    <row r="8" spans="1:9" s="2" customFormat="1" ht="67.5">
      <c r="B8" s="8" t="s">
        <v>341</v>
      </c>
      <c r="C8" s="9" t="s">
        <v>28</v>
      </c>
      <c r="D8" s="10" t="s">
        <v>31</v>
      </c>
      <c r="E8" s="10" t="s">
        <v>30</v>
      </c>
      <c r="F8" s="9" t="s">
        <v>329</v>
      </c>
      <c r="G8" s="11">
        <v>14</v>
      </c>
      <c r="H8" s="9" t="s">
        <v>31</v>
      </c>
      <c r="I8" s="16" t="s">
        <v>342</v>
      </c>
    </row>
    <row r="9" spans="1:9" s="2" customFormat="1" ht="67.5">
      <c r="B9" s="8" t="s">
        <v>341</v>
      </c>
      <c r="C9" s="9" t="s">
        <v>28</v>
      </c>
      <c r="D9" s="10" t="s">
        <v>31</v>
      </c>
      <c r="E9" s="10" t="s">
        <v>30</v>
      </c>
      <c r="F9" s="9" t="s">
        <v>329</v>
      </c>
      <c r="G9" s="11">
        <v>6</v>
      </c>
      <c r="H9" s="9" t="s">
        <v>31</v>
      </c>
      <c r="I9" s="16" t="s">
        <v>343</v>
      </c>
    </row>
    <row r="10" spans="1:9" s="2" customFormat="1" ht="67.5">
      <c r="B10" s="8" t="s">
        <v>341</v>
      </c>
      <c r="C10" s="9" t="s">
        <v>28</v>
      </c>
      <c r="D10" s="10" t="s">
        <v>31</v>
      </c>
      <c r="E10" s="10" t="s">
        <v>30</v>
      </c>
      <c r="F10" s="9" t="s">
        <v>329</v>
      </c>
      <c r="G10" s="11">
        <v>4</v>
      </c>
      <c r="H10" s="9" t="s">
        <v>31</v>
      </c>
      <c r="I10" s="16" t="s">
        <v>344</v>
      </c>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4.5" customHeight="1">
      <c r="B33" s="79" t="s">
        <v>32</v>
      </c>
      <c r="C33" s="80"/>
      <c r="D33" s="81"/>
      <c r="E33" s="12"/>
      <c r="F33" s="12"/>
      <c r="G33" s="82">
        <f>SUM(G6:G32)</f>
        <v>35</v>
      </c>
      <c r="H33" s="83"/>
      <c r="I33" s="84"/>
    </row>
    <row r="36" spans="2:9">
      <c r="B36" s="17" t="s">
        <v>81</v>
      </c>
      <c r="C36" s="18" t="s">
        <v>331</v>
      </c>
    </row>
    <row r="37" spans="2:9">
      <c r="C37" s="18" t="s">
        <v>332</v>
      </c>
    </row>
  </sheetData>
  <mergeCells count="4">
    <mergeCell ref="B1:I1"/>
    <mergeCell ref="B2:H2"/>
    <mergeCell ref="B33:D33"/>
    <mergeCell ref="G33:I33"/>
  </mergeCells>
  <phoneticPr fontId="10" type="noConversion"/>
  <dataValidations count="4">
    <dataValidation type="list" errorStyle="warning" allowBlank="1" sqref="C10:C32" xr:uid="{06AA10A4-EDB9-40DF-9B5F-EDA856DF545D}">
      <formula1>项目事项分类项目名称</formula1>
    </dataValidation>
    <dataValidation type="list" allowBlank="1" showInputMessage="1" showErrorMessage="1" sqref="F16:F32 F6:F13" xr:uid="{03F28503-B076-48F5-9717-34B342164D13}">
      <formula1>INDIRECT($E6)</formula1>
    </dataValidation>
    <dataValidation type="list" allowBlank="1" showInputMessage="1" showErrorMessage="1" sqref="F14:F15" xr:uid="{18D37699-1E3F-48DF-9E5B-5E600581984D}">
      <formula1>INDIRECT($E13)</formula1>
    </dataValidation>
    <dataValidation type="list" allowBlank="1" showInputMessage="1" showErrorMessage="1" sqref="H6:H32"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92205F23-3A14-4597-B43E-0313704BB589}">
          <x14:formula1>
            <xm:f>'Exhibit II - Internal Client'!$A$1:$A$20</xm:f>
          </x14:formula1>
          <xm:sqref>D6:D32</xm:sqref>
        </x14:dataValidation>
        <x14:dataValidation type="list" errorStyle="warning" allowBlank="1" xr:uid="{8F90D5FD-27F6-4EA9-B81C-4D90C70D535F}">
          <x14:formula1>
            <xm:f>'Exhibit I - Virtual Group'!$A$1:$A$7</xm:f>
          </x14:formula1>
          <xm:sqref>C6:C9</xm:sqref>
        </x14:dataValidation>
        <x14:dataValidation type="list" allowBlank="1" showInputMessage="1" showErrorMessage="1" xr:uid="{2AC9314C-88CB-4723-899A-4AF136A6BE9E}">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2025-08-07T03:17:31Z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