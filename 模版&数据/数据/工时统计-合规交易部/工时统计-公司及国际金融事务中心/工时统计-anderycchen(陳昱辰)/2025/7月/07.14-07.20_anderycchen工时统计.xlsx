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andersonchen/Desktop/Time Sheet/2025/July/"/>
    </mc:Choice>
  </mc:AlternateContent>
  <xr:revisionPtr revIDLastSave="0" documentId="13_ncr:1_{199ABD43-4DED-BD47-91B5-2E5DD60AFEAA}" xr6:coauthVersionLast="47" xr6:coauthVersionMax="47" xr10:uidLastSave="{00000000-0000-0000-0000-000000000000}"/>
  <bookViews>
    <workbookView xWindow="0" yWindow="74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<sst xmlns="http://schemas.openxmlformats.org/spreadsheetml/2006/main" count="475" uniqueCount="347">
  <si>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</si>
  <si>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</si>
  <si>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</si>
  <si>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</si>
  <si>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</si>
  <si>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</si>
  <si>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</si>
  <si>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</si>
  <si>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</si>
  <si>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</si>
  <si>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</si>
  <si>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</si>
  <si>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</si>
  <si>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</si>
  <si>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</si>
  <si>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</si>
  <si>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</si>
  <si>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</si>
  <si>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</si>
  <si>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</si>
  <si>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</si>
  <si>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</si>
  <si>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</si>
  <si>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</si>
  <si>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</si>
  <si>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</si>
  <si>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</si>
  <si>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</si>
  <si>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</si>
  <si>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</si>
  <si>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</si>
  <si>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</si>
  <si>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</si>
  <si>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</si>
  <si>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</si>
  <si>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</si>
  <si>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</si>
  <si>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</si>
  <si>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</si>
  <si>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</si>
  <si>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</si>
  <si>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</si>
  <si>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</si>
  <si>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</si>
  <si>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</si>
  <si>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</si>
  <si>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</si>
  <si>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</si>
  <si>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</si>
  <si>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</si>
  <si>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</si>
  <si>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</si>
  <si>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</si>
  <si>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</si>
  <si>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</si>
  <si>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</si>
  <si>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</si>
  <si>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</si>
  <si>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</si>
  <si>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</si>
  <si>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</si>
  <si>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</si>
  <si>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</si>
  <si>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</si>
  <si>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</si>
  <si>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</si>
  <si>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</si>
  <si>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</si>
  <si>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</si>
  <si>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</si>
  <si>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</si>
  <si>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</si>
  <si>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</si>
  <si>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</si>
  <si>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</si>
  <si>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</si>
  <si>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</si>
  <si>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</si>
  <si>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</si>
  <si>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</si>
  <si>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</si>
  <si>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</si>
  <si>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</si>
  <si>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</si>
  <si>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</si>
  <si>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</si>
  <si>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</si>
  <si>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</si>
  <si>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</si>
  <si>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</si>
  <si>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</si>
  <si>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</si>
  <si>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</si>
  <si>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</si>
  <si>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</si>
  <si>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</si>
  <si>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</si>
  <si>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</si>
  <si>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</si>
  <si>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</si>
  <si>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</si>
  <si>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</si>
  <si>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</si>
  <si>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</si>
  <si>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</si>
  <si>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</si>
  <si>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</si>
  <si>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</si>
  <si>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</si>
  <si>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</si>
  <si>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</si>
  <si>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</si>
  <si>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</si>
  <si>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</si>
  <si>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</si>
  <si>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</si>
  <si>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</si>
  <si>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</si>
  <si>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</si>
  <si>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</si>
  <si>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</si>
  <si>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</si>
  <si>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</si>
  <si>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</si>
  <si>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</si>
  <si>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</si>
  <si>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</si>
  <si>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</si>
  <si>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</si>
  <si>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</si>
  <si>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</si>
  <si>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</si>
  <si>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</si>
  <si>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</si>
  <si>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</si>
  <si>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</si>
  <si>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</si>
  <si>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</si>
  <si>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</si>
  <si>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</si>
  <si>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</si>
  <si>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</si>
  <si>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</si>
  <si>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</si>
  <si>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</si>
  <si>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</si>
  <si>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</si>
  <si>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</si>
  <si>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</si>
  <si>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</si>
  <si>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</si>
  <si>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</si>
  <si>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</si>
  <si>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</si>
  <si>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</si>
  <si>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</si>
  <si>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</si>
  <si>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</si>
  <si>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</si>
  <si>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</si>
  <si>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</si>
  <si>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</si>
  <si>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</si>
  <si>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</si>
  <si>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</si>
  <si>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</si>
  <si>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</si>
  <si>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</si>
  <si>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</si>
  <si>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</si>
  <si>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</si>
  <si>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</si>
  <si>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</si>
  <si>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</si>
  <si>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</si>
  <si>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</si>
  <si>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</si>
  <si>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</si>
  <si>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</si>
  <si>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</si>
  <si>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</si>
  <si>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</si>
  <si>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</si>
  <si>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</si>
  <si>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</si>
  <si>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</si>
  <si>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</si>
  <si>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</si>
  <si>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</si>
  <si>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</si>
  <si>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</si>
  <si>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</si>
  <si>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</si>
  <si>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</si>
  <si>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</si>
  <si>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</si>
  <si>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</si>
  <si>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</si>
  <si>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</si>
  <si>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</si>
  <si>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</si>
  <si>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</si>
  <si>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</si>
  <si>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</si>
  <si>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</si>
  <si>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</si>
  <si>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</si>
  <si>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</si>
  <si>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</si>
  <si>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</si>
  <si>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</si>
  <si>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</si>
  <si>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</si>
  <si>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</si>
  <si>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</si>
  <si>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</si>
  <si>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</si>
  <si>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</si>
  <si>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</si>
  <si>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</si>
  <si>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</si>
  <si>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</si>
  <si>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</si>
  <si>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</si>
  <si>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</si>
  <si>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</si>
  <si>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</si>
  <si>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</si>
  <si>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</si>
  <si>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</si>
  <si>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</si>
  <si>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</si>
  <si>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</si>
  <si>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</si>
  <si>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</si>
  <si>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</si>
  <si>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</si>
  <si>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</si>
  <si>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</si>
  <si>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</si>
  <si>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</si>
  <si>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</si>
  <si>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</si>
  <si>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</si>
  <si>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</si>
  <si>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</si>
  <si>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</si>
  <si>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</si>
  <si>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</si>
  <si>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</si>
  <si>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</si>
  <si>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</si>
  <si>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</si>
  <si>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</si>
  <si>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</si>
  <si>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</si>
  <si>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</si>
  <si>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</si>
  <si>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</si>
  <si>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</si>
  <si>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</si>
  <si>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</si>
  <si>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</si>
  <si>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</si>
  <si>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</si>
  <si>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</si>
  <si>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</si>
  <si>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</si>
  <si>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</si>
  <si>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</si>
  <si>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</si>
  <si>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</si>
  <si>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</si>
  <si>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</si>
  <si>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</si>
  <si>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</si>
  <si>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</si>
  <si>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</si>
  <si>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</si>
  <si>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</si>
  <si>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</si>
  <si>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</si>
  <si>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</si>
  <si>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</si>
  <si>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</si>
  <si>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</si>
  <si>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</si>
  <si>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</si>
  <si>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</si>
  <si>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</si>
  <si>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</si>
  <si>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</si>
  <si>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</si>
  <si>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</si>
  <si>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</si>
  <si>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</si>
  <si>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</si>
  <si>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</si>
  <si>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</si>
  <si>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</si>
  <si>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</si>
  <si>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</si>
  <si>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</si>
  <si>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</si>
  <si>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</si>
  <si>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</si>
  <si>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</si>
  <si>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</si>
  <si>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</si>
  <si>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</si>
  <si>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</si>
  <si>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</si>
  <si>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</si>
  <si>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</si>
  <si>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</si>
  <si>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</si>
  <si>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</si>
  <si>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</si>
  <si>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</si>
  <si>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</si>
  <si>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</si>
  <si>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</si>
  <si>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</si>
  <si>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</si>
  <si>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</si>
  <si>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</si>
  <si>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</si>
  <si>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</si>
  <si>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</si>
  <si>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</si>
  <si>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</si>
  <si>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</si>
  <si>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</si>
  <si>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</si>
  <si>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</si>
  <si>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</si>
  <si>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</si>
  <si>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</si>
  <si>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</si>
  <si>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</si>
  <si>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</si>
  <si>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</si>
  <si>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Rotation in CC: Reviewing and Updating Takover Index</t>
  </si>
  <si>
    <t>Rotation in CC: Updating Finech Regulatory Guide</t>
  </si>
  <si>
    <t>Rotation in CC:  MA Deal</t>
  </si>
  <si>
    <t>Reviewing the PingAn Banker's Acceptance agreements</t>
  </si>
  <si>
    <t>Reviewing the CICC Collective Asset Management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</si>
</sst>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75" zoomScaleNormal="150" workbookViewId="0">
      <selection activeCell="G7" sqref="G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90">
      <c r="B6" s="8" t="s">
        <v>341</v>
      </c>
      <c r="C6" s="9" t="s">
        <v>44</v>
      </c>
      <c r="D6" s="10" t="s">
        <v>51</v>
      </c>
      <c r="E6" s="10" t="s">
        <v>30</v>
      </c>
      <c r="F6" s="9" t="s">
        <v>338</v>
      </c>
      <c r="G6" s="11">
        <v>3</v>
      </c>
      <c r="H6" s="9" t="s">
        <v>73</v>
      </c>
      <c r="I6" s="16" t="s">
        <v>345</v>
      </c>
    </row>
    <row r="7" spans="1:9" s="2" customFormat="1" ht="90">
      <c r="B7" s="8" t="s">
        <v>341</v>
      </c>
      <c r="C7" s="9" t="s">
        <v>44</v>
      </c>
      <c r="D7" s="10" t="s">
        <v>51</v>
      </c>
      <c r="E7" s="10" t="s">
        <v>30</v>
      </c>
      <c r="F7" s="9" t="s">
        <v>338</v>
      </c>
      <c r="G7" s="11">
        <v>6</v>
      </c>
      <c r="H7" s="9" t="s">
        <v>73</v>
      </c>
      <c r="I7" s="16" t="s">
        <v>346</v>
      </c>
    </row>
    <row r="8" spans="1:9" s="2" customFormat="1" ht="75">
      <c r="B8" s="8" t="s">
        <v>341</v>
      </c>
      <c r="C8" s="9" t="s">
        <v>28</v>
      </c>
      <c r="D8" s="10" t="s">
        <v>31</v>
      </c>
      <c r="E8" s="10" t="s">
        <v>30</v>
      </c>
      <c r="F8" s="9" t="s">
        <v>329</v>
      </c>
      <c r="G8" s="11">
        <v>4</v>
      </c>
      <c r="H8" s="9" t="s">
        <v>31</v>
      </c>
      <c r="I8" s="16" t="s">
        <v>342</v>
      </c>
    </row>
    <row r="9" spans="1:9" s="2" customFormat="1" ht="75">
      <c r="B9" s="8" t="s">
        <v>341</v>
      </c>
      <c r="C9" s="9" t="s">
        <v>28</v>
      </c>
      <c r="D9" s="10" t="s">
        <v>31</v>
      </c>
      <c r="E9" s="10" t="s">
        <v>30</v>
      </c>
      <c r="F9" s="9" t="s">
        <v>329</v>
      </c>
      <c r="G9" s="11">
        <v>18</v>
      </c>
      <c r="H9" s="9" t="s">
        <v>31</v>
      </c>
      <c r="I9" s="16" t="s">
        <v>344</v>
      </c>
    </row>
    <row r="10" spans="1:9" s="2" customFormat="1" ht="75">
      <c r="B10" s="8" t="s">
        <v>341</v>
      </c>
      <c r="C10" s="9" t="s">
        <v>28</v>
      </c>
      <c r="D10" s="10" t="s">
        <v>31</v>
      </c>
      <c r="E10" s="10" t="s">
        <v>30</v>
      </c>
      <c r="F10" s="9" t="s">
        <v>329</v>
      </c>
      <c r="G10" s="11">
        <v>4</v>
      </c>
      <c r="H10" s="9" t="s">
        <v>31</v>
      </c>
      <c r="I10" s="16" t="s">
        <v>343</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79" t="s">
        <v>32</v>
      </c>
      <c r="C31" s="80"/>
      <c r="D31" s="81"/>
      <c r="E31" s="12"/>
      <c r="F31" s="12"/>
      <c r="G31" s="82">
        <f>SUM(G6:G30)</f>
        <v>35</v>
      </c>
      <c r="H31" s="83"/>
      <c r="I31" s="84"/>
    </row>
    <row r="32" spans="2:9" s="2" customFormat="1" ht="14.5" customHeight="1">
      <c r="B32"/>
      <c r="C32" s="1"/>
      <c r="D32"/>
      <c r="E32"/>
      <c r="F32"/>
      <c r="G32"/>
      <c r="H32"/>
      <c r="I32"/>
    </row>
    <row r="34" spans="2:3" ht="16">
      <c r="B34" s="17" t="s">
        <v>81</v>
      </c>
      <c r="C34" s="18" t="s">
        <v>331</v>
      </c>
    </row>
    <row r="35" spans="2:3" ht="16">
      <c r="C35" s="18" t="s">
        <v>332</v>
      </c>
    </row>
  </sheetData>
  <mergeCells count="4">
    <mergeCell ref="B1:I1"/>
    <mergeCell ref="B2:H2"/>
    <mergeCell ref="B31:D31"/>
    <mergeCell ref="G31:I31"/>
  </mergeCells>
  <phoneticPr fontId="10" type="noConversion"/>
  <dataValidations count="4">
    <dataValidation type="list" allowBlank="1" showInputMessage="1" showErrorMessage="1" sqref="F14:F30 F6:F11" xr:uid="{03F28503-B076-48F5-9717-34B342164D13}">
      <formula1>INDIRECT($E6)</formula1>
    </dataValidation>
    <dataValidation type="list" allowBlank="1" showInputMessage="1" showErrorMessage="1" sqref="F12:F13" xr:uid="{18D37699-1E3F-48DF-9E5B-5E600581984D}">
      <formula1>INDIRECT($E11)</formula1>
    </dataValidation>
    <dataValidation type="list" errorStyle="warning" allowBlank="1" sqref="C10:C30" xr:uid="{06AA10A4-EDB9-40DF-9B5F-EDA856DF545D}">
      <formula1>项目事项分类项目名称</formula1>
    </dataValidation>
    <dataValidation type="list" allowBlank="1" showInputMessage="1" showErrorMessage="1" sqref="H6:H30"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D6:D30</xm:sqref>
        </x14:dataValidation>
        <x14:dataValidation type="list" allowBlank="1" showInputMessage="1" showErrorMessage="1" xr:uid="{2AC9314C-88CB-4723-899A-4AF136A6BE9E}">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2025-08-07T02:33:37Z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