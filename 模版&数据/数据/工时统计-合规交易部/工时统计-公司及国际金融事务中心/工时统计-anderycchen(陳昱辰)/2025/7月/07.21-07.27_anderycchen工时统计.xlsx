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andersonchen/Desktop/Time Sheet/2025/July/"/>
    </mc:Choice>
  </mc:AlternateContent>
  <xr:revisionPtr revIDLastSave="0" documentId="13_ncr:1_{379209D0-5E12-7F43-836B-F974E8B12337}" xr6:coauthVersionLast="47" xr6:coauthVersionMax="47" xr10:uidLastSave="{00000000-0000-0000-0000-000000000000}"/>
  <bookViews>
    <workbookView xWindow="0" yWindow="7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<sst xmlns="http://schemas.openxmlformats.org/spreadsheetml/2006/main" count="475" uniqueCount="347">
  <si>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</si>
  <si>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</si>
  <si>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</si>
  <si>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</si>
  <si>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</si>
  <si>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</si>
  <si>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</si>
  <si>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</si>
  <si>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</si>
  <si>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</si>
  <si>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</si>
  <si>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</si>
  <si>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</si>
  <si>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</si>
  <si>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</si>
  <si>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</si>
  <si>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</si>
  <si>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</si>
  <si>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</si>
  <si>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</si>
  <si>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</si>
  <si>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</si>
  <si>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</si>
  <si>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</si>
  <si>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</si>
  <si>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</si>
  <si>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</si>
  <si>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</si>
  <si>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</si>
  <si>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</si>
  <si>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</si>
  <si>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</si>
  <si>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</si>
  <si>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</si>
  <si>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</si>
  <si>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</si>
  <si>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</si>
  <si>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</si>
  <si>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</si>
  <si>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</si>
  <si>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</si>
  <si>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</si>
  <si>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</si>
  <si>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</si>
  <si>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</si>
  <si>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</si>
  <si>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</si>
  <si>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</si>
  <si>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</si>
  <si>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</si>
  <si>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</si>
  <si>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</si>
  <si>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</si>
  <si>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</si>
  <si>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</si>
  <si>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</si>
  <si>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</si>
  <si>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</si>
  <si>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</si>
  <si>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</si>
  <si>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</si>
  <si>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</si>
  <si>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</si>
  <si>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</si>
  <si>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</si>
  <si>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</si>
  <si>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</si>
  <si>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</si>
  <si>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</si>
  <si>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</si>
  <si>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</si>
  <si>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</si>
  <si>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</si>
  <si>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</si>
  <si>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</si>
  <si>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</si>
  <si>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</si>
  <si>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</si>
  <si>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</si>
  <si>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</si>
  <si>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</si>
  <si>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</si>
  <si>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</si>
  <si>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</si>
  <si>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</si>
  <si>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</si>
  <si>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</si>
  <si>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</si>
  <si>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</si>
  <si>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</si>
  <si>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</si>
  <si>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</si>
  <si>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</si>
  <si>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</si>
  <si>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</si>
  <si>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</si>
  <si>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</si>
  <si>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</si>
  <si>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</si>
  <si>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</si>
  <si>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</si>
  <si>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</si>
  <si>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</si>
  <si>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</si>
  <si>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</si>
  <si>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</si>
  <si>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</si>
  <si>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</si>
  <si>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</si>
  <si>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</si>
  <si>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</si>
  <si>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</si>
  <si>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</si>
  <si>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</si>
  <si>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</si>
  <si>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</si>
  <si>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</si>
  <si>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</si>
  <si>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</si>
  <si>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</si>
  <si>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</si>
  <si>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</si>
  <si>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</si>
  <si>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</si>
  <si>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</si>
  <si>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</si>
  <si>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</si>
  <si>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</si>
  <si>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</si>
  <si>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</si>
  <si>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</si>
  <si>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</si>
  <si>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</si>
  <si>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</si>
  <si>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</si>
  <si>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</si>
  <si>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</si>
  <si>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</si>
  <si>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</si>
  <si>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</si>
  <si>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</si>
  <si>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</si>
  <si>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</si>
  <si>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</si>
  <si>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</si>
  <si>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</si>
  <si>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</si>
  <si>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</si>
  <si>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</si>
  <si>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</si>
  <si>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</si>
  <si>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</si>
  <si>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</si>
  <si>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</si>
  <si>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</si>
  <si>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</si>
  <si>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</si>
  <si>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</si>
  <si>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</si>
  <si>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</si>
  <si>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</si>
  <si>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</si>
  <si>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</si>
  <si>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</si>
  <si>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</si>
  <si>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</si>
  <si>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</si>
  <si>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</si>
  <si>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</si>
  <si>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</si>
  <si>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</si>
  <si>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</si>
  <si>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</si>
  <si>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</si>
  <si>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</si>
  <si>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</si>
  <si>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</si>
  <si>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</si>
  <si>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</si>
  <si>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</si>
  <si>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</si>
  <si>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</si>
  <si>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</si>
  <si>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</si>
  <si>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</si>
  <si>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</si>
  <si>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</si>
  <si>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</si>
  <si>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</si>
  <si>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</si>
  <si>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</si>
  <si>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</si>
  <si>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</si>
  <si>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</si>
  <si>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</si>
  <si>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</si>
  <si>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</si>
  <si>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</si>
  <si>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</si>
  <si>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</si>
  <si>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</si>
  <si>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</si>
  <si>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</si>
  <si>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</si>
  <si>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</si>
  <si>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</si>
  <si>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</si>
  <si>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</si>
  <si>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</si>
  <si>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</si>
  <si>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</si>
  <si>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</si>
  <si>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</si>
  <si>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</si>
  <si>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</si>
  <si>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</si>
  <si>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</si>
  <si>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</si>
  <si>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</si>
  <si>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</si>
  <si>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</si>
  <si>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</si>
  <si>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</si>
  <si>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</si>
  <si>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</si>
  <si>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</si>
  <si>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</si>
  <si>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</si>
  <si>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</si>
  <si>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</si>
  <si>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</si>
  <si>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</si>
  <si>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</si>
  <si>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</si>
  <si>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</si>
  <si>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</si>
  <si>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</si>
  <si>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</si>
  <si>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</si>
  <si>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</si>
  <si>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</si>
  <si>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</si>
  <si>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</si>
  <si>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</si>
  <si>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</si>
  <si>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</si>
  <si>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</si>
  <si>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</si>
  <si>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</si>
  <si>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</si>
  <si>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</si>
  <si>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</si>
  <si>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</si>
  <si>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</si>
  <si>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</si>
  <si>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</si>
  <si>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</si>
  <si>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</si>
  <si>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</si>
  <si>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</si>
  <si>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</si>
  <si>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</si>
  <si>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</si>
  <si>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</si>
  <si>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</si>
  <si>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</si>
  <si>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</si>
  <si>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</si>
  <si>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</si>
  <si>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</si>
  <si>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</si>
  <si>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</si>
  <si>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</si>
  <si>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</si>
  <si>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</si>
  <si>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</si>
  <si>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</si>
  <si>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</si>
  <si>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</si>
  <si>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</si>
  <si>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</si>
  <si>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</si>
  <si>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</si>
  <si>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</si>
  <si>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</si>
  <si>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</si>
  <si>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</si>
  <si>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</si>
  <si>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</si>
  <si>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</si>
  <si>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</si>
  <si>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</si>
  <si>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</si>
  <si>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</si>
  <si>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</si>
  <si>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</si>
  <si>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</si>
  <si>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</si>
  <si>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</si>
  <si>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</si>
  <si>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</si>
  <si>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</si>
  <si>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</si>
  <si>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</si>
  <si>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</si>
  <si>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</si>
  <si>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</si>
  <si>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</si>
  <si>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</si>
  <si>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</si>
  <si>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</si>
  <si>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</si>
  <si>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</si>
  <si>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</si>
  <si>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</si>
  <si>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</si>
  <si>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</si>
  <si>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</si>
  <si>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</si>
  <si>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</si>
  <si>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</si>
  <si>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</si>
  <si>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</si>
  <si>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</si>
  <si>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</si>
  <si>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</si>
  <si>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</si>
  <si>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</si>
  <si>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</si>
  <si>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</si>
  <si>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</si>
  <si>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</si>
  <si>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</si>
  <si>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</si>
  <si>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</si>
  <si>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</si>
  <si>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</si>
  <si>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</si>
  <si>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</si>
  <si>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</si>
  <si>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</si>
  <si>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</si>
  <si>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Reviewing and Updating Takerover Index</t>
  </si>
  <si>
    <t>Rotation in CC: MA deal</t>
  </si>
  <si>
    <t>Rotation in CC: Filing - HKEx Form 2</t>
  </si>
  <si>
    <t>Reviewing the CCB Wealth Management Products</t>
  </si>
  <si>
    <t>Reviewing the Tenvie Loan Agreement (investee)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</si>
</sst>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22" zoomScale="109" zoomScaleNormal="150" workbookViewId="0">
      <selection activeCell="D35" sqref="D35"/>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7</v>
      </c>
      <c r="H6" s="9" t="s">
        <v>73</v>
      </c>
      <c r="I6" s="16" t="s">
        <v>345</v>
      </c>
    </row>
    <row r="7" spans="1:9" s="2" customFormat="1">
      <c r="B7" s="8" t="s">
        <v>341</v>
      </c>
      <c r="C7" s="9" t="s">
        <v>44</v>
      </c>
      <c r="D7" s="10" t="s">
        <v>53</v>
      </c>
      <c r="E7" s="10" t="s">
        <v>30</v>
      </c>
      <c r="F7" s="9" t="s">
        <v>323</v>
      </c>
      <c r="G7" s="11">
        <v>5</v>
      </c>
      <c r="H7" s="9" t="s">
        <v>73</v>
      </c>
      <c r="I7" s="16" t="s">
        <v>346</v>
      </c>
    </row>
    <row r="8" spans="1:9" s="2" customFormat="1" ht="75">
      <c r="B8" s="8" t="s">
        <v>341</v>
      </c>
      <c r="C8" s="9" t="s">
        <v>28</v>
      </c>
      <c r="D8" s="10" t="s">
        <v>31</v>
      </c>
      <c r="E8" s="10" t="s">
        <v>30</v>
      </c>
      <c r="F8" s="9" t="s">
        <v>329</v>
      </c>
      <c r="G8" s="11">
        <v>15</v>
      </c>
      <c r="H8" s="9" t="s">
        <v>31</v>
      </c>
      <c r="I8" s="16" t="s">
        <v>343</v>
      </c>
    </row>
    <row r="9" spans="1:9" s="2" customFormat="1" ht="75">
      <c r="B9" s="8" t="s">
        <v>341</v>
      </c>
      <c r="C9" s="9" t="s">
        <v>28</v>
      </c>
      <c r="D9" s="10" t="s">
        <v>31</v>
      </c>
      <c r="E9" s="10" t="s">
        <v>30</v>
      </c>
      <c r="F9" s="9" t="s">
        <v>329</v>
      </c>
      <c r="G9" s="11">
        <v>3</v>
      </c>
      <c r="H9" s="9" t="s">
        <v>31</v>
      </c>
      <c r="I9" s="16" t="s">
        <v>342</v>
      </c>
    </row>
    <row r="10" spans="1:9" s="2" customFormat="1" ht="75">
      <c r="B10" s="8" t="s">
        <v>341</v>
      </c>
      <c r="C10" s="9" t="s">
        <v>28</v>
      </c>
      <c r="D10" s="10" t="s">
        <v>31</v>
      </c>
      <c r="E10" s="10" t="s">
        <v>30</v>
      </c>
      <c r="F10" s="9" t="s">
        <v>329</v>
      </c>
      <c r="G10" s="11">
        <v>3</v>
      </c>
      <c r="H10" s="9" t="s">
        <v>31</v>
      </c>
      <c r="I10" s="16" t="s">
        <v>344</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thickBot="1">
      <c r="B32" s="79" t="s">
        <v>32</v>
      </c>
      <c r="C32" s="80"/>
      <c r="D32" s="81"/>
      <c r="E32" s="12"/>
      <c r="F32" s="12"/>
      <c r="G32" s="82">
        <f>SUM(G6:G31)</f>
        <v>33</v>
      </c>
      <c r="H32" s="83"/>
      <c r="I32" s="84"/>
    </row>
    <row r="33" spans="2:9" s="2" customFormat="1" ht="14.5" customHeight="1" thickTop="1">
      <c r="B33"/>
      <c r="C33" s="1"/>
      <c r="D33"/>
      <c r="E33"/>
      <c r="F33"/>
      <c r="G33"/>
      <c r="H33"/>
      <c r="I33"/>
    </row>
    <row r="35" spans="2:9" ht="16">
      <c r="B35" s="17" t="s">
        <v>81</v>
      </c>
      <c r="C35" s="18" t="s">
        <v>331</v>
      </c>
    </row>
    <row r="36" spans="2:9" ht="16">
      <c r="C36" s="18" t="s">
        <v>332</v>
      </c>
    </row>
  </sheetData>
  <mergeCells count="4">
    <mergeCell ref="B1:I1"/>
    <mergeCell ref="B2:H2"/>
    <mergeCell ref="B32:D32"/>
    <mergeCell ref="G32:I32"/>
  </mergeCells>
  <phoneticPr fontId="10" type="noConversion"/>
  <dataValidations count="4">
    <dataValidation type="list" allowBlank="1" showInputMessage="1" showErrorMessage="1" sqref="F15:F31 F6:F12" xr:uid="{03F28503-B076-48F5-9717-34B342164D13}">
      <formula1>INDIRECT($E6)</formula1>
    </dataValidation>
    <dataValidation type="list" allowBlank="1" showInputMessage="1" showErrorMessage="1" sqref="F13:F14" xr:uid="{18D37699-1E3F-48DF-9E5B-5E600581984D}">
      <formula1>INDIRECT($E12)</formula1>
    </dataValidation>
    <dataValidation type="list" errorStyle="warning" allowBlank="1" sqref="C10:C31" xr:uid="{06AA10A4-EDB9-40DF-9B5F-EDA856DF545D}">
      <formula1>项目事项分类项目名称</formula1>
    </dataValidation>
    <dataValidation type="list" allowBlank="1" showInputMessage="1" showErrorMessage="1" sqref="H6:H31"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D6:D31</xm:sqref>
        </x14:dataValidation>
        <x14:dataValidation type="list" allowBlank="1" showInputMessage="1" showErrorMessage="1" xr:uid="{2AC9314C-88CB-4723-899A-4AF136A6BE9E}">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2025-08-07T02:39:37Z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