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9A17091C-1B4E-4C12-BE7D-243164C7A70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<sst xmlns="http://schemas.openxmlformats.org/spreadsheetml/2006/main" count="481" uniqueCount="348">
  <si>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</si>
  <si>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</si>
  <si>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</si>
  <si>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</si>
  <si>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</si>
  <si>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</si>
  <si>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</si>
  <si>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</si>
  <si>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</si>
  <si>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</si>
  <si>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</si>
  <si>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</si>
  <si>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</si>
  <si>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</si>
  <si>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</si>
  <si>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</si>
  <si>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</si>
  <si>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</si>
  <si>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</si>
  <si>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</si>
  <si>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</si>
  <si>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</si>
  <si>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</si>
  <si>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</si>
  <si>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</si>
  <si>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</si>
  <si>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</si>
  <si>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</si>
  <si>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</si>
  <si>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</si>
  <si>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</si>
  <si>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</si>
  <si>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</si>
  <si>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</si>
  <si>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</si>
  <si>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</si>
  <si>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</si>
  <si>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</si>
  <si>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</si>
  <si>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</si>
  <si>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</si>
  <si>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</si>
  <si>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</si>
  <si>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</si>
  <si>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</si>
  <si>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</si>
  <si>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</si>
  <si>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</si>
  <si>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</si>
  <si>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</si>
  <si>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</si>
  <si>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</si>
  <si>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</si>
  <si>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</si>
  <si>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</si>
  <si>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</si>
  <si>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</si>
  <si>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</si>
  <si>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</si>
  <si>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</si>
  <si>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</si>
  <si>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</si>
  <si>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</si>
  <si>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</si>
  <si>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</si>
  <si>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</si>
  <si>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</si>
  <si>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</si>
  <si>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</si>
  <si>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</si>
  <si>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</si>
  <si>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</si>
  <si>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</si>
  <si>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</si>
  <si>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</si>
  <si>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</si>
  <si>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</si>
  <si>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</si>
  <si>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</si>
  <si>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</si>
  <si>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</si>
  <si>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</si>
  <si>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</si>
  <si>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</si>
  <si>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</si>
  <si>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</si>
  <si>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</si>
  <si>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</si>
  <si>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</si>
  <si>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</si>
  <si>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</si>
  <si>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</si>
  <si>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</si>
  <si>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</si>
  <si>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</si>
  <si>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</si>
  <si>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</si>
  <si>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</si>
  <si>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</si>
  <si>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</si>
  <si>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</si>
  <si>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</si>
  <si>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</si>
  <si>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</si>
  <si>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</si>
  <si>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</si>
  <si>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</si>
  <si>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</si>
  <si>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</si>
  <si>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</si>
  <si>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</si>
  <si>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</si>
  <si>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</si>
  <si>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</si>
  <si>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</si>
  <si>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</si>
  <si>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</si>
  <si>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</si>
  <si>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</si>
  <si>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</si>
  <si>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</si>
  <si>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</si>
  <si>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</si>
  <si>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</si>
  <si>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</si>
  <si>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</si>
  <si>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</si>
  <si>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</si>
  <si>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</si>
  <si>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</si>
  <si>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</si>
  <si>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</si>
  <si>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</si>
  <si>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</si>
  <si>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</si>
  <si>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</si>
  <si>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</si>
  <si>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</si>
  <si>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</si>
  <si>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</si>
  <si>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</si>
  <si>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</si>
  <si>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</si>
  <si>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</si>
  <si>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</si>
  <si>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</si>
  <si>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</si>
  <si>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</si>
  <si>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</si>
  <si>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</si>
  <si>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</si>
  <si>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</si>
  <si>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</si>
  <si>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</si>
  <si>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</si>
  <si>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</si>
  <si>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</si>
  <si>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</si>
  <si>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</si>
  <si>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</si>
  <si>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</si>
  <si>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</si>
  <si>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</si>
  <si>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</si>
  <si>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</si>
  <si>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</si>
  <si>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</si>
  <si>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</si>
  <si>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</si>
  <si>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</si>
  <si>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</si>
  <si>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</si>
  <si>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</si>
  <si>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</si>
  <si>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</si>
  <si>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</si>
  <si>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</si>
  <si>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</si>
  <si>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</si>
  <si>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</si>
  <si>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</si>
  <si>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</si>
  <si>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</si>
  <si>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</si>
  <si>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</si>
  <si>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</si>
  <si>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</si>
  <si>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</si>
  <si>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</si>
  <si>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</si>
  <si>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</si>
  <si>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</si>
  <si>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</si>
  <si>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</si>
  <si>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</si>
  <si>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</si>
  <si>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</si>
  <si>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</si>
  <si>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</si>
  <si>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</si>
  <si>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</si>
  <si>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</si>
  <si>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</si>
  <si>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</si>
  <si>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</si>
  <si>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</si>
  <si>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</si>
  <si>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</si>
  <si>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</si>
  <si>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</si>
  <si>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</si>
  <si>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</si>
  <si>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</si>
  <si>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</si>
  <si>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</si>
  <si>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</si>
  <si>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</si>
  <si>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</si>
  <si>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</si>
  <si>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</si>
  <si>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</si>
  <si>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</si>
  <si>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</si>
  <si>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</si>
  <si>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</si>
  <si>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</si>
  <si>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</si>
  <si>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</si>
  <si>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</si>
  <si>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</si>
  <si>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</si>
  <si>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</si>
  <si>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</si>
  <si>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</si>
  <si>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</si>
  <si>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</si>
  <si>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</si>
  <si>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</si>
  <si>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</si>
  <si>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</si>
  <si>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</si>
  <si>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</si>
  <si>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</si>
  <si>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</si>
  <si>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</si>
  <si>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</si>
  <si>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</si>
  <si>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</si>
  <si>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</si>
  <si>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</si>
  <si>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</si>
  <si>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</si>
  <si>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</si>
  <si>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</si>
  <si>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</si>
  <si>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</si>
  <si>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</si>
  <si>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</si>
  <si>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</si>
  <si>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</si>
  <si>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</si>
  <si>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</si>
  <si>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</si>
  <si>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</si>
  <si>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</si>
  <si>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</si>
  <si>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</si>
  <si>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</si>
  <si>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</si>
  <si>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</si>
  <si>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</si>
  <si>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</si>
  <si>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</si>
  <si>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</si>
  <si>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</si>
  <si>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</si>
  <si>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</si>
  <si>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</si>
  <si>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</si>
  <si>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</si>
  <si>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</si>
  <si>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</si>
  <si>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</si>
  <si>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</si>
  <si>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</si>
  <si>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</si>
  <si>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</si>
  <si>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</si>
  <si>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</si>
  <si>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</si>
  <si>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</si>
  <si>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</si>
  <si>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</si>
  <si>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</si>
  <si>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</si>
  <si>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</si>
  <si>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</si>
  <si>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</si>
  <si>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</si>
  <si>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</si>
  <si>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</si>
  <si>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</si>
  <si>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</si>
  <si>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</si>
  <si>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</si>
  <si>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</si>
  <si>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</si>
  <si>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</si>
  <si>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</si>
  <si>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</si>
  <si>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</si>
  <si>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</si>
  <si>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</si>
  <si>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</si>
  <si>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</si>
  <si>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</si>
  <si>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</si>
  <si>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</si>
  <si>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</si>
  <si>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</si>
  <si>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</si>
  <si>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</si>
  <si>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</si>
  <si>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</si>
  <si>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</si>
  <si>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</si>
  <si>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</si>
  <si>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</si>
  <si>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</si>
  <si>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</si>
  <si>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</si>
  <si>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</si>
  <si>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</si>
  <si>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</si>
  <si>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</si>
  <si>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</si>
  <si>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</si>
  <si>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</si>
  <si>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</si>
  <si>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</si>
  <si>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</si>
  <si>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</si>
  <si>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Discussing with intenal clients and external counsels</t>
  </si>
  <si>
    <t>Rotation in CC: Updating Takeover Index</t>
  </si>
  <si>
    <t>Reviewing the PingAn Banker's Acceptance</t>
  </si>
  <si>
    <t>Reviewing Intergorup Loan Agreement with Smilegate</t>
  </si>
  <si>
    <t>Reviewing CICC Collective Asset Management Plan</t>
  </si>
  <si>
    <t>Rotation in CC: CICC Filing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</si>
</sst>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5" zoomScale="110" zoomScaleNormal="110" workbookViewId="0">
      <selection activeCell="A12" sqref="A12:XFD1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5</v>
      </c>
      <c r="H6" s="9" t="s">
        <v>73</v>
      </c>
      <c r="I6" s="16" t="s">
        <v>344</v>
      </c>
    </row>
    <row r="7" spans="1:9" s="2" customFormat="1" ht="27">
      <c r="B7" s="8" t="s">
        <v>341</v>
      </c>
      <c r="C7" s="9" t="s">
        <v>44</v>
      </c>
      <c r="D7" s="10" t="s">
        <v>51</v>
      </c>
      <c r="E7" s="10" t="s">
        <v>30</v>
      </c>
      <c r="F7" s="9" t="s">
        <v>323</v>
      </c>
      <c r="G7" s="11">
        <v>5</v>
      </c>
      <c r="H7" s="9" t="s">
        <v>73</v>
      </c>
      <c r="I7" s="16" t="s">
        <v>345</v>
      </c>
    </row>
    <row r="8" spans="1:9" s="2" customFormat="1" ht="27">
      <c r="B8" s="8" t="s">
        <v>341</v>
      </c>
      <c r="C8" s="9" t="s">
        <v>44</v>
      </c>
      <c r="D8" s="10" t="s">
        <v>51</v>
      </c>
      <c r="E8" s="10" t="s">
        <v>30</v>
      </c>
      <c r="F8" s="9" t="s">
        <v>323</v>
      </c>
      <c r="G8" s="11">
        <v>3</v>
      </c>
      <c r="H8" s="9" t="s">
        <v>73</v>
      </c>
      <c r="I8" s="16" t="s">
        <v>346</v>
      </c>
    </row>
    <row r="9" spans="1:9" s="2" customFormat="1" ht="54">
      <c r="B9" s="8" t="s">
        <v>341</v>
      </c>
      <c r="C9" s="9" t="s">
        <v>43</v>
      </c>
      <c r="D9" s="10" t="s">
        <v>57</v>
      </c>
      <c r="E9" s="10" t="s">
        <v>30</v>
      </c>
      <c r="F9" s="9" t="s">
        <v>334</v>
      </c>
      <c r="G9" s="11">
        <v>3</v>
      </c>
      <c r="H9" s="9" t="s">
        <v>27</v>
      </c>
      <c r="I9" s="16" t="s">
        <v>342</v>
      </c>
    </row>
    <row r="10" spans="1:9" s="2" customFormat="1" ht="67.5">
      <c r="B10" s="8" t="s">
        <v>341</v>
      </c>
      <c r="C10" s="9" t="s">
        <v>28</v>
      </c>
      <c r="D10" s="10" t="s">
        <v>31</v>
      </c>
      <c r="E10" s="10" t="s">
        <v>30</v>
      </c>
      <c r="F10" s="9" t="s">
        <v>329</v>
      </c>
      <c r="G10" s="11">
        <v>2</v>
      </c>
      <c r="H10" s="9" t="s">
        <v>31</v>
      </c>
      <c r="I10" s="16" t="s">
        <v>347</v>
      </c>
    </row>
    <row r="11" spans="1:9" s="2" customFormat="1" ht="67.5">
      <c r="B11" s="8"/>
      <c r="C11" s="9" t="s">
        <v>28</v>
      </c>
      <c r="D11" s="10" t="s">
        <v>31</v>
      </c>
      <c r="E11" s="10" t="s">
        <v>30</v>
      </c>
      <c r="F11" s="9" t="s">
        <v>329</v>
      </c>
      <c r="G11" s="11">
        <v>15</v>
      </c>
      <c r="H11" s="9" t="s">
        <v>31</v>
      </c>
      <c r="I11" s="16" t="s">
        <v>343</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79" t="s">
        <v>32</v>
      </c>
      <c r="C29" s="80"/>
      <c r="D29" s="81"/>
      <c r="E29" s="12"/>
      <c r="F29" s="12"/>
      <c r="G29" s="82">
        <f>SUM(G6:G28)</f>
        <v>33</v>
      </c>
      <c r="H29" s="83"/>
      <c r="I29" s="84"/>
    </row>
    <row r="32" spans="2:9">
      <c r="B32" s="17" t="s">
        <v>81</v>
      </c>
      <c r="C32" s="18" t="s">
        <v>331</v>
      </c>
    </row>
    <row r="33" spans="3:3">
      <c r="C33" s="18" t="s">
        <v>332</v>
      </c>
    </row>
  </sheetData>
  <mergeCells count="4">
    <mergeCell ref="B1:I1"/>
    <mergeCell ref="B2:H2"/>
    <mergeCell ref="B29:D29"/>
    <mergeCell ref="G29:I29"/>
  </mergeCells>
  <phoneticPr fontId="10" type="noConversion"/>
  <dataValidations count="3">
    <dataValidation type="list" allowBlank="1" showInputMessage="1" showErrorMessage="1" sqref="F6:F28" xr:uid="{03F28503-B076-48F5-9717-34B342164D13}">
      <formula1>INDIRECT($E6)</formula1>
    </dataValidation>
    <dataValidation type="list" errorStyle="warning" allowBlank="1" sqref="C10:C28" xr:uid="{06AA10A4-EDB9-40DF-9B5F-EDA856DF545D}">
      <formula1>项目事项分类项目名称</formula1>
    </dataValidation>
    <dataValidation type="list" allowBlank="1" showInputMessage="1" showErrorMessage="1" sqref="H6:H28"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D6:D28</xm:sqref>
        </x14:dataValidation>
        <x14:dataValidation type="list" allowBlank="1" showInputMessage="1" showErrorMessage="1" xr:uid="{2AC9314C-88CB-4723-899A-4AF136A6BE9E}">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2025-09-04T02:24:41Z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