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1F79E3A6-441C-4A5F-95B8-66961715D00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<sst xmlns="http://schemas.openxmlformats.org/spreadsheetml/2006/main" count="475" uniqueCount="347">
  <si>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</si>
  <si>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</si>
  <si>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</si>
  <si>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</si>
  <si>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</si>
  <si>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</si>
  <si>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</si>
  <si>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</si>
  <si>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</si>
  <si>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</si>
  <si>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</si>
  <si>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</si>
  <si>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</si>
  <si>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</si>
  <si>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</si>
  <si>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</si>
  <si>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</si>
  <si>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</si>
  <si>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</si>
  <si>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</si>
  <si>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</si>
  <si>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</si>
  <si>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</si>
  <si>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</si>
  <si>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</si>
  <si>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</si>
  <si>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</si>
  <si>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</si>
  <si>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</si>
  <si>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</si>
  <si>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</si>
  <si>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</si>
  <si>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</si>
  <si>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</si>
  <si>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</si>
  <si>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</si>
  <si>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</si>
  <si>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</si>
  <si>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</si>
  <si>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</si>
  <si>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</si>
  <si>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</si>
  <si>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</si>
  <si>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</si>
  <si>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</si>
  <si>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</si>
  <si>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</si>
  <si>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</si>
  <si>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</si>
  <si>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</si>
  <si>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</si>
  <si>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</si>
  <si>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</si>
  <si>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</si>
  <si>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</si>
  <si>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</si>
  <si>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</si>
  <si>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</si>
  <si>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</si>
  <si>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</si>
  <si>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</si>
  <si>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</si>
  <si>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</si>
  <si>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</si>
  <si>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</si>
  <si>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</si>
  <si>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</si>
  <si>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</si>
  <si>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</si>
  <si>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</si>
  <si>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</si>
  <si>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</si>
  <si>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</si>
  <si>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</si>
  <si>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</si>
  <si>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</si>
  <si>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</si>
  <si>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</si>
  <si>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</si>
  <si>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</si>
  <si>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</si>
  <si>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</si>
  <si>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</si>
  <si>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</si>
  <si>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</si>
  <si>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</si>
  <si>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</si>
  <si>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</si>
  <si>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</si>
  <si>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</si>
  <si>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</si>
  <si>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</si>
  <si>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</si>
  <si>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</si>
  <si>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</si>
  <si>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</si>
  <si>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</si>
  <si>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</si>
  <si>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</si>
  <si>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</si>
  <si>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</si>
  <si>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</si>
  <si>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</si>
  <si>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</si>
  <si>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</si>
  <si>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</si>
  <si>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</si>
  <si>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</si>
  <si>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</si>
  <si>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</si>
  <si>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</si>
  <si>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</si>
  <si>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</si>
  <si>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</si>
  <si>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</si>
  <si>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</si>
  <si>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</si>
  <si>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</si>
  <si>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</si>
  <si>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</si>
  <si>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</si>
  <si>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</si>
  <si>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</si>
  <si>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</si>
  <si>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</si>
  <si>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</si>
  <si>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</si>
  <si>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</si>
  <si>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</si>
  <si>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</si>
  <si>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</si>
  <si>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</si>
  <si>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</si>
  <si>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</si>
  <si>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</si>
  <si>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</si>
  <si>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</si>
  <si>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</si>
  <si>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</si>
  <si>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</si>
  <si>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</si>
  <si>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</si>
  <si>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</si>
  <si>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</si>
  <si>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</si>
  <si>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</si>
  <si>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</si>
  <si>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</si>
  <si>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</si>
  <si>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</si>
  <si>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</si>
  <si>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</si>
  <si>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</si>
  <si>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</si>
  <si>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</si>
  <si>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</si>
  <si>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</si>
  <si>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</si>
  <si>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</si>
  <si>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</si>
  <si>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</si>
  <si>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</si>
  <si>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</si>
  <si>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</si>
  <si>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</si>
  <si>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</si>
  <si>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</si>
  <si>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</si>
  <si>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</si>
  <si>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</si>
  <si>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</si>
  <si>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</si>
  <si>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</si>
  <si>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</si>
  <si>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</si>
  <si>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</si>
  <si>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</si>
  <si>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</si>
  <si>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</si>
  <si>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</si>
  <si>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</si>
  <si>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</si>
  <si>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</si>
  <si>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</si>
  <si>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</si>
  <si>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</si>
  <si>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</si>
  <si>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</si>
  <si>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</si>
  <si>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</si>
  <si>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</si>
  <si>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</si>
  <si>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</si>
  <si>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</si>
  <si>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</si>
  <si>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</si>
  <si>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</si>
  <si>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</si>
  <si>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</si>
  <si>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</si>
  <si>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</si>
  <si>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</si>
  <si>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</si>
  <si>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</si>
  <si>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</si>
  <si>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</si>
  <si>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</si>
  <si>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</si>
  <si>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</si>
  <si>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</si>
  <si>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</si>
  <si>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</si>
  <si>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</si>
  <si>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</si>
  <si>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</si>
  <si>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</si>
  <si>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</si>
  <si>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</si>
  <si>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</si>
  <si>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</si>
  <si>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</si>
  <si>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</si>
  <si>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</si>
  <si>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</si>
  <si>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</si>
  <si>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</si>
  <si>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</si>
  <si>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</si>
  <si>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</si>
  <si>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</si>
  <si>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</si>
  <si>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</si>
  <si>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</si>
  <si>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</si>
  <si>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</si>
  <si>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</si>
  <si>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</si>
  <si>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</si>
  <si>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</si>
  <si>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</si>
  <si>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</si>
  <si>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</si>
  <si>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</si>
  <si>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</si>
  <si>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</si>
  <si>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</si>
  <si>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</si>
  <si>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</si>
  <si>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</si>
  <si>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</si>
  <si>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</si>
  <si>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</si>
  <si>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</si>
  <si>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</si>
  <si>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</si>
  <si>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</si>
  <si>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</si>
  <si>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</si>
  <si>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</si>
  <si>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</si>
  <si>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</si>
  <si>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</si>
  <si>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</si>
  <si>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</si>
  <si>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</si>
  <si>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</si>
  <si>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</si>
  <si>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</si>
  <si>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</si>
  <si>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</si>
  <si>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</si>
  <si>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</si>
  <si>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</si>
  <si>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</si>
  <si>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</si>
  <si>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</si>
  <si>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</si>
  <si>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</si>
  <si>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</si>
  <si>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</si>
  <si>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</si>
  <si>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</si>
  <si>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</si>
  <si>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</si>
  <si>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</si>
  <si>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</si>
  <si>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</si>
  <si>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</si>
  <si>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</si>
  <si>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</si>
  <si>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</si>
  <si>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</si>
  <si>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</si>
  <si>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</si>
  <si>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</si>
  <si>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</si>
  <si>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</si>
  <si>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</si>
  <si>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</si>
  <si>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</si>
  <si>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</si>
  <si>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</si>
  <si>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</si>
  <si>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</si>
  <si>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</si>
  <si>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</si>
  <si>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</si>
  <si>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</si>
  <si>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</si>
  <si>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</si>
  <si>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</si>
  <si>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</si>
  <si>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</si>
  <si>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</si>
  <si>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</si>
  <si>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</si>
  <si>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</si>
  <si>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</si>
  <si>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</si>
  <si>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</si>
  <si>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</si>
  <si>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</si>
  <si>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</si>
  <si>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</si>
  <si>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</si>
  <si>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</si>
  <si>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</si>
  <si>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</si>
  <si>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</si>
  <si>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</si>
  <si>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</si>
  <si>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</si>
  <si>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</si>
  <si>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</si>
  <si>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</si>
  <si>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</si>
  <si>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</si>
  <si>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</si>
  <si>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</si>
  <si>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</si>
  <si>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</si>
  <si>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</si>
  <si>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Rotation in CC:  M&amp;A deal</t>
  </si>
  <si>
    <t>Reviewing Intergroup clearance agreements</t>
  </si>
  <si>
    <t>PingAn Wealth Management Products</t>
  </si>
  <si>
    <t>Rotation in CC: Legal Research</t>
  </si>
  <si>
    <t>Rotation in CC: Agreement Reviewing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</si>
</sst>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topLeftCell="B4" zoomScale="119" zoomScaleNormal="150" workbookViewId="0">
      <selection activeCell="B11" sqref="A11:XFD2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4</v>
      </c>
      <c r="H6" s="9" t="s">
        <v>73</v>
      </c>
      <c r="I6" s="16" t="s">
        <v>344</v>
      </c>
    </row>
    <row r="7" spans="1:9" s="2" customFormat="1" ht="67.5">
      <c r="B7" s="8" t="s">
        <v>341</v>
      </c>
      <c r="C7" s="9" t="s">
        <v>28</v>
      </c>
      <c r="D7" s="10" t="s">
        <v>31</v>
      </c>
      <c r="E7" s="10" t="s">
        <v>30</v>
      </c>
      <c r="F7" s="9" t="s">
        <v>329</v>
      </c>
      <c r="G7" s="11">
        <v>6</v>
      </c>
      <c r="H7" s="9" t="s">
        <v>31</v>
      </c>
      <c r="I7" s="16" t="s">
        <v>342</v>
      </c>
    </row>
    <row r="8" spans="1:9" s="2" customFormat="1" ht="67.5">
      <c r="B8" s="8" t="s">
        <v>341</v>
      </c>
      <c r="C8" s="9" t="s">
        <v>28</v>
      </c>
      <c r="D8" s="10" t="s">
        <v>31</v>
      </c>
      <c r="E8" s="10" t="s">
        <v>30</v>
      </c>
      <c r="F8" s="9" t="s">
        <v>329</v>
      </c>
      <c r="G8" s="11">
        <v>5</v>
      </c>
      <c r="H8" s="9" t="s">
        <v>31</v>
      </c>
      <c r="I8" s="16" t="s">
        <v>345</v>
      </c>
    </row>
    <row r="9" spans="1:9" s="2" customFormat="1" ht="54">
      <c r="B9" s="8" t="s">
        <v>341</v>
      </c>
      <c r="C9" s="9" t="s">
        <v>43</v>
      </c>
      <c r="D9" s="10" t="s">
        <v>57</v>
      </c>
      <c r="E9" s="10" t="s">
        <v>30</v>
      </c>
      <c r="F9" s="9" t="s">
        <v>334</v>
      </c>
      <c r="G9" s="11">
        <v>4</v>
      </c>
      <c r="H9" s="9" t="s">
        <v>73</v>
      </c>
      <c r="I9" s="16" t="s">
        <v>343</v>
      </c>
    </row>
    <row r="10" spans="1:9" s="2" customFormat="1" ht="67.5">
      <c r="B10" s="8" t="s">
        <v>341</v>
      </c>
      <c r="C10" s="9" t="s">
        <v>28</v>
      </c>
      <c r="D10" s="10" t="s">
        <v>31</v>
      </c>
      <c r="E10" s="10" t="s">
        <v>30</v>
      </c>
      <c r="F10" s="9" t="s">
        <v>329</v>
      </c>
      <c r="G10" s="11">
        <v>6</v>
      </c>
      <c r="H10" s="9" t="s">
        <v>31</v>
      </c>
      <c r="I10" s="16" t="s">
        <v>346</v>
      </c>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0" t="s">
        <v>32</v>
      </c>
      <c r="C16" s="81"/>
      <c r="D16" s="82"/>
      <c r="E16" s="12"/>
      <c r="F16" s="12"/>
      <c r="G16" s="83">
        <f>SUM(G6:G15)</f>
        <v>25</v>
      </c>
      <c r="H16" s="84"/>
      <c r="I16" s="85"/>
    </row>
    <row r="17" spans="2:9" s="2" customFormat="1">
      <c r="B17"/>
      <c r="C17" s="1"/>
      <c r="D17"/>
      <c r="E17"/>
      <c r="F17"/>
      <c r="G17"/>
      <c r="H17"/>
      <c r="I17"/>
    </row>
    <row r="18" spans="2:9" s="2" customFormat="1" ht="14.5" customHeight="1">
      <c r="B18"/>
      <c r="C18" s="1"/>
      <c r="D18"/>
      <c r="E18"/>
      <c r="F18"/>
      <c r="G18"/>
      <c r="H18"/>
      <c r="I18"/>
    </row>
    <row r="19" spans="2:9">
      <c r="B19" s="17" t="s">
        <v>81</v>
      </c>
      <c r="C19" s="18" t="s">
        <v>331</v>
      </c>
    </row>
    <row r="20" spans="2:9">
      <c r="C20" s="18" t="s">
        <v>332</v>
      </c>
      <c r="D20" s="75">
        <v>45931</v>
      </c>
    </row>
  </sheetData>
  <mergeCells count="4">
    <mergeCell ref="B1:I1"/>
    <mergeCell ref="B2:H2"/>
    <mergeCell ref="B16:D16"/>
    <mergeCell ref="G16:I16"/>
  </mergeCells>
  <phoneticPr fontId="10" type="noConversion"/>
  <dataValidations count="3">
    <dataValidation type="list" errorStyle="warning" allowBlank="1" sqref="C8:C15" xr:uid="{06AA10A4-EDB9-40DF-9B5F-EDA856DF545D}">
      <formula1>项目事项分类项目名称</formula1>
    </dataValidation>
    <dataValidation type="list" allowBlank="1" showInputMessage="1" showErrorMessage="1" sqref="F6:F15" xr:uid="{03F28503-B076-48F5-9717-34B342164D13}">
      <formula1>INDIRECT($E6)</formula1>
    </dataValidation>
    <dataValidation type="list" allowBlank="1" showInputMessage="1" showErrorMessage="1" sqref="H6:H15"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C6:C7</xm:sqref>
        </x14:dataValidation>
        <x14:dataValidation type="list" allowBlank="1" showInputMessage="1" showErrorMessage="1" promptTitle="Internal Client" xr:uid="{92205F23-3A14-4597-B43E-0313704BB589}">
          <x14:formula1>
            <xm:f>'Exhibit II - Internal Client'!$A$1:$A$20</xm:f>
          </x14:formula1>
          <xm:sqref>D6:D15</xm:sqref>
        </x14:dataValidation>
        <x14:dataValidation type="list" allowBlank="1" showInputMessage="1" showErrorMessage="1" xr:uid="{2AC9314C-88CB-4723-899A-4AF136A6BE9E}">
          <x14:formula1>
            <xm:f>Tag!$B$2:$E$2</xm:f>
          </x14:formula1>
          <xm:sqref>E6:E15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2025-11-11T02:05:35Z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