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70FE574E-62B4-40C7-9E37-2666C8C2628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<sst xmlns="http://schemas.openxmlformats.org/spreadsheetml/2006/main" count="476" uniqueCount="348">
  <si>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</si>
  <si>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</si>
  <si>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</si>
  <si>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</si>
  <si>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</si>
  <si>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</si>
  <si>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</si>
  <si>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</si>
  <si>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</si>
  <si>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</si>
  <si>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</si>
  <si>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</si>
  <si>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</si>
  <si>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</si>
  <si>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</si>
  <si>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</si>
  <si>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</si>
  <si>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</si>
  <si>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</si>
  <si>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</si>
  <si>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</si>
  <si>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</si>
  <si>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</si>
  <si>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</si>
  <si>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</si>
  <si>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</si>
  <si>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</si>
  <si>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</si>
  <si>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</si>
  <si>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</si>
  <si>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</si>
  <si>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</si>
  <si>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</si>
  <si>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</si>
  <si>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</si>
  <si>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</si>
  <si>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</si>
  <si>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</si>
  <si>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</si>
  <si>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</si>
  <si>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</si>
  <si>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</si>
  <si>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</si>
  <si>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</si>
  <si>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</si>
  <si>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</si>
  <si>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</si>
  <si>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</si>
  <si>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</si>
  <si>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</si>
  <si>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</si>
  <si>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</si>
  <si>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</si>
  <si>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</si>
  <si>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</si>
  <si>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</si>
  <si>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</si>
  <si>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</si>
  <si>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</si>
  <si>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</si>
  <si>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</si>
  <si>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</si>
  <si>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</si>
  <si>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</si>
  <si>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</si>
  <si>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</si>
  <si>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</si>
  <si>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</si>
  <si>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</si>
  <si>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</si>
  <si>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</si>
  <si>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</si>
  <si>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</si>
  <si>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</si>
  <si>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</si>
  <si>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</si>
  <si>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</si>
  <si>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</si>
  <si>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</si>
  <si>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</si>
  <si>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</si>
  <si>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</si>
  <si>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</si>
  <si>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</si>
  <si>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</si>
  <si>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</si>
  <si>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</si>
  <si>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</si>
  <si>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</si>
  <si>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</si>
  <si>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</si>
  <si>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</si>
  <si>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</si>
  <si>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</si>
  <si>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</si>
  <si>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</si>
  <si>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</si>
  <si>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</si>
  <si>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</si>
  <si>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</si>
  <si>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</si>
  <si>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</si>
  <si>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</si>
  <si>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</si>
  <si>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</si>
  <si>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</si>
  <si>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</si>
  <si>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</si>
  <si>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</si>
  <si>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</si>
  <si>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</si>
  <si>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</si>
  <si>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</si>
  <si>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</si>
  <si>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</si>
  <si>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</si>
  <si>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</si>
  <si>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</si>
  <si>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</si>
  <si>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</si>
  <si>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</si>
  <si>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</si>
  <si>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</si>
  <si>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</si>
  <si>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</si>
  <si>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</si>
  <si>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</si>
  <si>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</si>
  <si>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</si>
  <si>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</si>
  <si>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</si>
  <si>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</si>
  <si>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</si>
  <si>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</si>
  <si>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</si>
  <si>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</si>
  <si>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</si>
  <si>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</si>
  <si>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</si>
  <si>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</si>
  <si>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</si>
  <si>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</si>
  <si>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</si>
  <si>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</si>
  <si>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</si>
  <si>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</si>
  <si>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</si>
  <si>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</si>
  <si>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</si>
  <si>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</si>
  <si>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</si>
  <si>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</si>
  <si>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</si>
  <si>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</si>
  <si>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</si>
  <si>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</si>
  <si>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</si>
  <si>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</si>
  <si>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</si>
  <si>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</si>
  <si>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</si>
  <si>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</si>
  <si>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</si>
  <si>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</si>
  <si>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</si>
  <si>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</si>
  <si>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</si>
  <si>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</si>
  <si>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</si>
  <si>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</si>
  <si>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</si>
  <si>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</si>
  <si>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</si>
  <si>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</si>
  <si>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</si>
  <si>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</si>
  <si>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</si>
  <si>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</si>
  <si>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</si>
  <si>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</si>
  <si>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</si>
  <si>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</si>
  <si>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</si>
  <si>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</si>
  <si>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</si>
  <si>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</si>
  <si>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</si>
  <si>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</si>
  <si>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</si>
  <si>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</si>
  <si>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</si>
  <si>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</si>
  <si>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</si>
  <si>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</si>
  <si>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</si>
  <si>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</si>
  <si>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</si>
  <si>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</si>
  <si>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</si>
  <si>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</si>
  <si>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</si>
  <si>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</si>
  <si>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</si>
  <si>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</si>
  <si>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</si>
  <si>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</si>
  <si>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</si>
  <si>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</si>
  <si>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</si>
  <si>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</si>
  <si>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</si>
  <si>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</si>
  <si>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</si>
  <si>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</si>
  <si>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</si>
  <si>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</si>
  <si>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</si>
  <si>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</si>
  <si>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</si>
  <si>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</si>
  <si>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</si>
  <si>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</si>
  <si>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</si>
  <si>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</si>
  <si>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</si>
  <si>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</si>
  <si>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</si>
  <si>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</si>
  <si>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</si>
  <si>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</si>
  <si>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</si>
  <si>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</si>
  <si>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</si>
  <si>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</si>
  <si>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</si>
  <si>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</si>
  <si>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</si>
  <si>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</si>
  <si>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</si>
  <si>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</si>
  <si>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</si>
  <si>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</si>
  <si>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</si>
  <si>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</si>
  <si>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</si>
  <si>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</si>
  <si>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</si>
  <si>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</si>
  <si>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</si>
  <si>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</si>
  <si>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</si>
  <si>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</si>
  <si>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</si>
  <si>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</si>
  <si>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</si>
  <si>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</si>
  <si>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</si>
  <si>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</si>
  <si>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</si>
  <si>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</si>
  <si>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</si>
  <si>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</si>
  <si>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</si>
  <si>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</si>
  <si>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</si>
  <si>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</si>
  <si>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</si>
  <si>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</si>
  <si>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</si>
  <si>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</si>
  <si>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</si>
  <si>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</si>
  <si>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</si>
  <si>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</si>
  <si>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</si>
  <si>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</si>
  <si>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</si>
  <si>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</si>
  <si>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</si>
  <si>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</si>
  <si>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</si>
  <si>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</si>
  <si>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</si>
  <si>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</si>
  <si>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</si>
  <si>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</si>
  <si>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</si>
  <si>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</si>
  <si>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</si>
  <si>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</si>
  <si>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</si>
  <si>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</si>
  <si>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</si>
  <si>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</si>
  <si>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</si>
  <si>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</si>
  <si>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</si>
  <si>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</si>
  <si>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</si>
  <si>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</si>
  <si>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</si>
  <si>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</si>
  <si>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</si>
  <si>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</si>
  <si>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</si>
  <si>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</si>
  <si>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</si>
  <si>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</si>
  <si>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</si>
  <si>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</si>
  <si>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</si>
  <si>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</si>
  <si>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</si>
  <si>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</si>
  <si>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</si>
  <si>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</si>
  <si>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</si>
  <si>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</si>
  <si>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</si>
  <si>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</si>
  <si>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</si>
  <si>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</si>
  <si>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</si>
  <si>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</si>
  <si>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</si>
  <si>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</si>
  <si>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</si>
  <si>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</si>
  <si>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</si>
  <si>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</si>
  <si>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</si>
  <si>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</si>
  <si>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</si>
  <si>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</si>
  <si>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</si>
  <si>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</si>
  <si>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</si>
  <si>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</si>
  <si>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</si>
  <si>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</si>
  <si>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</si>
  <si>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</si>
  <si>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Reviewing the loan agreements (to investee)</t>
  </si>
  <si>
    <t>SL: 03.31-04.01</t>
  </si>
  <si>
    <t>Reviewing the Asset Management Agreement</t>
  </si>
  <si>
    <t>Reviewing the Wealth Management Product Agreement</t>
  </si>
  <si>
    <t>Responding the internal clients</t>
  </si>
  <si>
    <t>Reviewing the Cross-border loan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</si>
</sst>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5" zoomScaleNormal="95" workbookViewId="0">
      <selection activeCell="S17" sqref="S1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3.5</v>
      </c>
      <c r="H6" s="9" t="s">
        <v>73</v>
      </c>
      <c r="I6" s="16" t="s">
        <v>342</v>
      </c>
    </row>
    <row r="7" spans="1:9" s="2" customFormat="1" ht="27">
      <c r="B7" s="8" t="s">
        <v>341</v>
      </c>
      <c r="C7" s="9" t="s">
        <v>44</v>
      </c>
      <c r="D7" s="10" t="s">
        <v>51</v>
      </c>
      <c r="E7" s="10" t="s">
        <v>30</v>
      </c>
      <c r="F7" s="9" t="s">
        <v>323</v>
      </c>
      <c r="G7" s="11">
        <v>4</v>
      </c>
      <c r="H7" s="9" t="s">
        <v>73</v>
      </c>
      <c r="I7" s="16" t="s">
        <v>344</v>
      </c>
    </row>
    <row r="8" spans="1:9" s="2" customFormat="1" ht="27">
      <c r="B8" s="8" t="s">
        <v>341</v>
      </c>
      <c r="C8" s="9" t="s">
        <v>44</v>
      </c>
      <c r="D8" s="10" t="s">
        <v>51</v>
      </c>
      <c r="E8" s="10" t="s">
        <v>30</v>
      </c>
      <c r="F8" s="9" t="s">
        <v>323</v>
      </c>
      <c r="G8" s="11">
        <v>2</v>
      </c>
      <c r="H8" s="9" t="s">
        <v>73</v>
      </c>
      <c r="I8" s="16" t="s">
        <v>345</v>
      </c>
    </row>
    <row r="9" spans="1:9" s="2" customFormat="1" ht="27">
      <c r="B9" s="8" t="s">
        <v>341</v>
      </c>
      <c r="C9" s="9" t="s">
        <v>44</v>
      </c>
      <c r="D9" s="10" t="s">
        <v>51</v>
      </c>
      <c r="E9" s="10" t="s">
        <v>30</v>
      </c>
      <c r="F9" s="9" t="s">
        <v>323</v>
      </c>
      <c r="G9" s="11">
        <v>1.5</v>
      </c>
      <c r="H9" s="9" t="s">
        <v>27</v>
      </c>
      <c r="I9" s="16" t="s">
        <v>346</v>
      </c>
    </row>
    <row r="10" spans="1:9" s="2" customFormat="1" ht="27">
      <c r="B10" s="8" t="s">
        <v>341</v>
      </c>
      <c r="C10" s="9" t="s">
        <v>44</v>
      </c>
      <c r="D10" s="10" t="s">
        <v>51</v>
      </c>
      <c r="E10" s="10" t="s">
        <v>30</v>
      </c>
      <c r="F10" s="9" t="s">
        <v>323</v>
      </c>
      <c r="G10" s="11">
        <v>2</v>
      </c>
      <c r="H10" s="9" t="s">
        <v>73</v>
      </c>
      <c r="I10" s="16" t="s">
        <v>347</v>
      </c>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3.5">
      <c r="B36" s="8"/>
      <c r="C36" s="9"/>
      <c r="D36" s="10"/>
      <c r="E36" s="10"/>
      <c r="F36" s="9"/>
      <c r="G36" s="11"/>
      <c r="H36" s="9"/>
      <c r="I36" s="16"/>
    </row>
    <row r="37" spans="2:9" s="2" customFormat="1" ht="14.5" customHeight="1">
      <c r="B37" s="80" t="s">
        <v>32</v>
      </c>
      <c r="C37" s="81"/>
      <c r="D37" s="82"/>
      <c r="E37" s="12"/>
      <c r="F37" s="12"/>
      <c r="G37" s="83">
        <f>SUM(G6:G36)</f>
        <v>13</v>
      </c>
      <c r="H37" s="84"/>
      <c r="I37" s="85"/>
    </row>
    <row r="40" spans="2:9">
      <c r="B40" s="17" t="s">
        <v>81</v>
      </c>
      <c r="C40" s="18" t="s">
        <v>331</v>
      </c>
      <c r="D40" s="75" t="s">
        <v>343</v>
      </c>
    </row>
    <row r="41" spans="2:9">
      <c r="C41" s="18" t="s">
        <v>332</v>
      </c>
      <c r="D41">
        <v>4.04</v>
      </c>
    </row>
  </sheetData>
  <mergeCells count="4">
    <mergeCell ref="B1:I1"/>
    <mergeCell ref="B2:H2"/>
    <mergeCell ref="B37:D37"/>
    <mergeCell ref="G37:I37"/>
  </mergeCells>
  <phoneticPr fontId="10"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D6:D36</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2025-05-06T04:30:16Z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