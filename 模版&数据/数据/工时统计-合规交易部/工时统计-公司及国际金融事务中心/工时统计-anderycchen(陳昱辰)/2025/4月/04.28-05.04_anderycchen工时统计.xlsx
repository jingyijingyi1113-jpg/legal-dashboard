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andersonchen/Desktop/Time Sheet/2025/April/"/>
    </mc:Choice>
  </mc:AlternateContent>
  <xr:revisionPtr revIDLastSave="0" documentId="13_ncr:1_{5575529B-457B-434F-9683-DD922483E34B}" xr6:coauthVersionLast="47" xr6:coauthVersionMax="47" xr10:uidLastSave="{00000000-0000-0000-0000-000000000000}"/>
  <bookViews>
    <workbookView xWindow="38900" yWindow="8840" windowWidth="29400" windowHeight="16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<sst xmlns="http://schemas.openxmlformats.org/spreadsheetml/2006/main" count="482" uniqueCount="347">
  <si>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</si>
  <si>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</si>
  <si>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</si>
  <si>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</si>
  <si>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</si>
  <si>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</si>
  <si>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</si>
  <si>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</si>
  <si>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</si>
  <si>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</si>
  <si>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</si>
  <si>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</si>
  <si>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</si>
  <si>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</si>
  <si>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</si>
  <si>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</si>
  <si>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</si>
  <si>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</si>
  <si>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</si>
  <si>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</si>
  <si>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</si>
  <si>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</si>
  <si>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</si>
  <si>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</si>
  <si>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</si>
  <si>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</si>
  <si>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</si>
  <si>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</si>
  <si>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</si>
  <si>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</si>
  <si>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</si>
  <si>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</si>
  <si>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</si>
  <si>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</si>
  <si>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</si>
  <si>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</si>
  <si>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</si>
  <si>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</si>
  <si>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</si>
  <si>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</si>
  <si>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</si>
  <si>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</si>
  <si>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</si>
  <si>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</si>
  <si>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</si>
  <si>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</si>
  <si>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</si>
  <si>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</si>
  <si>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</si>
  <si>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</si>
  <si>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</si>
  <si>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</si>
  <si>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</si>
  <si>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</si>
  <si>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</si>
  <si>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</si>
  <si>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</si>
  <si>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</si>
  <si>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</si>
  <si>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</si>
  <si>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</si>
  <si>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</si>
  <si>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</si>
  <si>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</si>
  <si>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</si>
  <si>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</si>
  <si>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</si>
  <si>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</si>
  <si>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</si>
  <si>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</si>
  <si>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</si>
  <si>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</si>
  <si>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</si>
  <si>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</si>
  <si>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</si>
  <si>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</si>
  <si>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</si>
  <si>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</si>
  <si>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</si>
  <si>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</si>
  <si>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</si>
  <si>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</si>
  <si>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</si>
  <si>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</si>
  <si>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</si>
  <si>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</si>
  <si>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</si>
  <si>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</si>
  <si>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</si>
  <si>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</si>
  <si>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</si>
  <si>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</si>
  <si>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</si>
  <si>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</si>
  <si>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</si>
  <si>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</si>
  <si>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</si>
  <si>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</si>
  <si>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</si>
  <si>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</si>
  <si>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</si>
  <si>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</si>
  <si>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</si>
  <si>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</si>
  <si>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</si>
  <si>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</si>
  <si>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</si>
  <si>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</si>
  <si>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</si>
  <si>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</si>
  <si>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</si>
  <si>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</si>
  <si>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</si>
  <si>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</si>
  <si>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</si>
  <si>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</si>
  <si>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</si>
  <si>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</si>
  <si>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</si>
  <si>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</si>
  <si>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</si>
  <si>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</si>
  <si>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</si>
  <si>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</si>
  <si>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</si>
  <si>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</si>
  <si>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</si>
  <si>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</si>
  <si>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</si>
  <si>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</si>
  <si>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</si>
  <si>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</si>
  <si>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</si>
  <si>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</si>
  <si>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</si>
  <si>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</si>
  <si>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</si>
  <si>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</si>
  <si>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</si>
  <si>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</si>
  <si>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</si>
  <si>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</si>
  <si>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</si>
  <si>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</si>
  <si>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</si>
  <si>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</si>
  <si>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</si>
  <si>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</si>
  <si>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</si>
  <si>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</si>
  <si>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</si>
  <si>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</si>
  <si>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</si>
  <si>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</si>
  <si>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</si>
  <si>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</si>
  <si>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</si>
  <si>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</si>
  <si>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</si>
  <si>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</si>
  <si>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</si>
  <si>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</si>
  <si>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</si>
  <si>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</si>
  <si>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</si>
  <si>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</si>
  <si>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</si>
  <si>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</si>
  <si>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</si>
  <si>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</si>
  <si>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</si>
  <si>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</si>
  <si>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</si>
  <si>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</si>
  <si>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</si>
  <si>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</si>
  <si>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</si>
  <si>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</si>
  <si>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</si>
  <si>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</si>
  <si>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</si>
  <si>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</si>
  <si>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</si>
  <si>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</si>
  <si>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</si>
  <si>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</si>
  <si>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</si>
  <si>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</si>
  <si>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</si>
  <si>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</si>
  <si>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</si>
  <si>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</si>
  <si>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</si>
  <si>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</si>
  <si>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</si>
  <si>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</si>
  <si>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</si>
  <si>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</si>
  <si>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</si>
  <si>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</si>
  <si>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</si>
  <si>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</si>
  <si>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</si>
  <si>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</si>
  <si>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</si>
  <si>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</si>
  <si>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</si>
  <si>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</si>
  <si>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</si>
  <si>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</si>
  <si>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</si>
  <si>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</si>
  <si>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</si>
  <si>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</si>
  <si>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</si>
  <si>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</si>
  <si>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</si>
  <si>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</si>
  <si>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</si>
  <si>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</si>
  <si>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</si>
  <si>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</si>
  <si>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</si>
  <si>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</si>
  <si>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</si>
  <si>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</si>
  <si>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</si>
  <si>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</si>
  <si>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</si>
  <si>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</si>
  <si>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</si>
  <si>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</si>
  <si>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</si>
  <si>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</si>
  <si>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</si>
  <si>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</si>
  <si>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</si>
  <si>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</si>
  <si>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</si>
  <si>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</si>
  <si>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</si>
  <si>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</si>
  <si>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</si>
  <si>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</si>
  <si>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</si>
  <si>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</si>
  <si>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</si>
  <si>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</si>
  <si>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</si>
  <si>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</si>
  <si>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</si>
  <si>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</si>
  <si>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</si>
  <si>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</si>
  <si>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</si>
  <si>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</si>
  <si>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</si>
  <si>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</si>
  <si>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</si>
  <si>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</si>
  <si>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</si>
  <si>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</si>
  <si>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</si>
  <si>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</si>
  <si>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</si>
  <si>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</si>
  <si>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</si>
  <si>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</si>
  <si>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</si>
  <si>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</si>
  <si>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</si>
  <si>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</si>
  <si>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</si>
  <si>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</si>
  <si>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</si>
  <si>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</si>
  <si>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</si>
  <si>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</si>
  <si>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</si>
  <si>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</si>
  <si>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</si>
  <si>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</si>
  <si>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</si>
  <si>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</si>
  <si>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</si>
  <si>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</si>
  <si>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</si>
  <si>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</si>
  <si>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</si>
  <si>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</si>
  <si>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</si>
  <si>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</si>
  <si>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</si>
  <si>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</si>
  <si>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</si>
  <si>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</si>
  <si>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</si>
  <si>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</si>
  <si>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</si>
  <si>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</si>
  <si>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</si>
  <si>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</si>
  <si>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</si>
  <si>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</si>
  <si>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</si>
  <si>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</si>
  <si>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</si>
  <si>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</si>
  <si>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</si>
  <si>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</si>
  <si>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</si>
  <si>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</si>
  <si>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</si>
  <si>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</si>
  <si>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</si>
  <si>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</si>
  <si>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</si>
  <si>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</si>
  <si>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</si>
  <si>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</si>
  <si>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</si>
  <si>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</si>
  <si>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</si>
  <si>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</si>
  <si>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</si>
  <si>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</si>
  <si>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</si>
  <si>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</si>
  <si>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</si>
  <si>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</si>
  <si>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</si>
  <si>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</si>
  <si>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</si>
  <si>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</si>
  <si>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</si>
  <si>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</si>
  <si>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</si>
  <si>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</si>
  <si>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</si>
  <si>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</si>
  <si>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</si>
  <si>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anderycchen</t>
  </si>
  <si>
    <t>Reviewing the Collective Asset Management Agreements</t>
  </si>
  <si>
    <t>Drafting the Sanction Impact Analysis</t>
  </si>
  <si>
    <t>Reviewing the ICBC Cash Pol Agreements</t>
  </si>
  <si>
    <t>Reviewing the Host-to-Host Connectivity Agreements</t>
  </si>
  <si>
    <t>Reviewing the Net-Off Agreements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</si>
</sst>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topLeftCell="A6" zoomScaleNormal="95" workbookViewId="0">
      <selection activeCell="I14" sqref="I14"/>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c r="B6" s="8" t="s">
        <v>341</v>
      </c>
      <c r="C6" s="9" t="s">
        <v>44</v>
      </c>
      <c r="D6" s="10" t="s">
        <v>51</v>
      </c>
      <c r="E6" s="10" t="s">
        <v>30</v>
      </c>
      <c r="F6" s="9" t="s">
        <v>323</v>
      </c>
      <c r="G6" s="11">
        <v>2</v>
      </c>
      <c r="H6" s="9" t="s">
        <v>73</v>
      </c>
      <c r="I6" s="16" t="s">
        <v>342</v>
      </c>
    </row>
    <row r="7" spans="1:9" s="2" customFormat="1" ht="30">
      <c r="B7" s="8" t="s">
        <v>341</v>
      </c>
      <c r="C7" s="9" t="s">
        <v>45</v>
      </c>
      <c r="D7" s="10" t="s">
        <v>51</v>
      </c>
      <c r="E7" s="10" t="s">
        <v>30</v>
      </c>
      <c r="F7" s="9" t="s">
        <v>336</v>
      </c>
      <c r="G7" s="11">
        <v>5</v>
      </c>
      <c r="H7" s="9" t="s">
        <v>73</v>
      </c>
      <c r="I7" s="16" t="s">
        <v>343</v>
      </c>
    </row>
    <row r="8" spans="1:9" s="2" customFormat="1">
      <c r="B8" s="8" t="s">
        <v>341</v>
      </c>
      <c r="C8" s="9" t="s">
        <v>44</v>
      </c>
      <c r="D8" s="10" t="s">
        <v>51</v>
      </c>
      <c r="E8" s="10" t="s">
        <v>30</v>
      </c>
      <c r="F8" s="9" t="s">
        <v>323</v>
      </c>
      <c r="G8" s="11">
        <v>3</v>
      </c>
      <c r="H8" s="9" t="s">
        <v>73</v>
      </c>
      <c r="I8" s="16" t="s">
        <v>342</v>
      </c>
    </row>
    <row r="9" spans="1:9" s="2" customFormat="1">
      <c r="B9" s="8" t="s">
        <v>341</v>
      </c>
      <c r="C9" s="9" t="s">
        <v>44</v>
      </c>
      <c r="D9" s="10" t="s">
        <v>51</v>
      </c>
      <c r="E9" s="10" t="s">
        <v>30</v>
      </c>
      <c r="F9" s="9" t="s">
        <v>323</v>
      </c>
      <c r="G9" s="11">
        <v>5</v>
      </c>
      <c r="H9" s="9" t="s">
        <v>73</v>
      </c>
      <c r="I9" s="16" t="s">
        <v>344</v>
      </c>
    </row>
    <row r="10" spans="1:9" s="2" customFormat="1">
      <c r="B10" s="8" t="s">
        <v>341</v>
      </c>
      <c r="C10" s="9" t="s">
        <v>44</v>
      </c>
      <c r="D10" s="10" t="s">
        <v>51</v>
      </c>
      <c r="E10" s="10" t="s">
        <v>30</v>
      </c>
      <c r="F10" s="9" t="s">
        <v>323</v>
      </c>
      <c r="G10" s="11">
        <v>3</v>
      </c>
      <c r="H10" s="9" t="s">
        <v>73</v>
      </c>
      <c r="I10" s="16" t="s">
        <v>345</v>
      </c>
    </row>
    <row r="11" spans="1:9" s="2" customFormat="1">
      <c r="B11" s="8" t="s">
        <v>341</v>
      </c>
      <c r="C11" s="9" t="s">
        <v>44</v>
      </c>
      <c r="D11" s="10" t="s">
        <v>51</v>
      </c>
      <c r="E11" s="10" t="s">
        <v>30</v>
      </c>
      <c r="F11" s="9" t="s">
        <v>323</v>
      </c>
      <c r="G11" s="11">
        <v>3</v>
      </c>
      <c r="H11" s="9" t="s">
        <v>73</v>
      </c>
      <c r="I11" s="16" t="s">
        <v>346</v>
      </c>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0"/>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
      <c r="B36" s="8"/>
      <c r="C36" s="9"/>
      <c r="D36" s="10"/>
      <c r="E36" s="10"/>
      <c r="F36" s="9"/>
      <c r="G36" s="11"/>
      <c r="H36" s="9"/>
      <c r="I36" s="16"/>
    </row>
    <row r="37" spans="2:9" s="2" customFormat="1" ht="14.5" customHeight="1">
      <c r="B37" s="80" t="s">
        <v>32</v>
      </c>
      <c r="C37" s="81"/>
      <c r="D37" s="82"/>
      <c r="E37" s="12"/>
      <c r="F37" s="12"/>
      <c r="G37" s="83">
        <f>SUM(G6:G36)</f>
        <v>21</v>
      </c>
      <c r="H37" s="84"/>
      <c r="I37" s="85"/>
    </row>
    <row r="40" spans="2:9" ht="16">
      <c r="B40" s="17" t="s">
        <v>81</v>
      </c>
      <c r="C40" s="18" t="s">
        <v>331</v>
      </c>
      <c r="D40" s="75">
        <v>5.2</v>
      </c>
    </row>
    <row r="41" spans="2:9" ht="16">
      <c r="C41" s="18" t="s">
        <v>332</v>
      </c>
      <c r="D41">
        <v>5.0999999999999996</v>
      </c>
    </row>
  </sheetData>
  <mergeCells count="4">
    <mergeCell ref="B1:I1"/>
    <mergeCell ref="B2:H2"/>
    <mergeCell ref="B37:D37"/>
    <mergeCell ref="G37:I37"/>
  </mergeCells>
  <phoneticPr fontId="10" type="noConversion"/>
  <dataValidations count="3">
    <dataValidation type="list" errorStyle="warning" allowBlank="1" sqref="C8: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D6:D36</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2025-05-06T02:04:14Z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