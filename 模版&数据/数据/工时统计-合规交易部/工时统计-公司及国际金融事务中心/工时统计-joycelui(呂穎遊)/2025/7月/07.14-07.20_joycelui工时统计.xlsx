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0292C05C-2050-4E50-BD47-08F3986A5543}"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<sst xmlns="http://schemas.openxmlformats.org/spreadsheetml/2006/main" count="559" uniqueCount="359">
  <si>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</si>
  <si>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</si>
  <si>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</si>
  <si>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</si>
  <si>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</si>
  <si>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</si>
  <si>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</si>
  <si>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</si>
  <si>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</si>
  <si>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</si>
  <si>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</si>
  <si>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</si>
  <si>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</si>
  <si>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</si>
  <si>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</si>
  <si>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</si>
  <si>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</si>
  <si>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</si>
  <si>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</si>
  <si>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</si>
  <si>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</si>
  <si>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</si>
  <si>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</si>
  <si>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</si>
  <si>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</si>
  <si>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</si>
  <si>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</si>
  <si>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</si>
  <si>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</si>
  <si>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</si>
  <si>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</si>
  <si>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</si>
  <si>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</si>
  <si>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</si>
  <si>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</si>
  <si>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</si>
  <si>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</si>
  <si>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</si>
  <si>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</si>
  <si>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</si>
  <si>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</si>
  <si>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</si>
  <si>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</si>
  <si>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</si>
  <si>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</si>
  <si>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</si>
  <si>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</si>
  <si>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</si>
  <si>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</si>
  <si>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</si>
  <si>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</si>
  <si>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</si>
  <si>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</si>
  <si>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</si>
  <si>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</si>
  <si>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</si>
  <si>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</si>
  <si>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</si>
  <si>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</si>
  <si>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</si>
  <si>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</si>
  <si>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</si>
  <si>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</si>
  <si>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</si>
  <si>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</si>
  <si>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</si>
  <si>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</si>
  <si>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</si>
  <si>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</si>
  <si>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</si>
  <si>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</si>
  <si>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</si>
  <si>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</si>
  <si>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</si>
  <si>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</si>
  <si>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</si>
  <si>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</si>
  <si>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</si>
  <si>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</si>
  <si>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</si>
  <si>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</si>
  <si>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</si>
  <si>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</si>
  <si>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</si>
  <si>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</si>
  <si>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</si>
  <si>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</si>
  <si>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</si>
  <si>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</si>
  <si>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</si>
  <si>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</si>
  <si>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</si>
  <si>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</si>
  <si>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</si>
  <si>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</si>
  <si>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</si>
  <si>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</si>
  <si>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</si>
  <si>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</si>
  <si>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</si>
  <si>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</si>
  <si>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</si>
  <si>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</si>
  <si>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</si>
  <si>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</si>
  <si>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</si>
  <si>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</si>
  <si>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</si>
  <si>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</si>
  <si>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</si>
  <si>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</si>
  <si>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</si>
  <si>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</si>
  <si>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</si>
  <si>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</si>
  <si>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</si>
  <si>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</si>
  <si>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</si>
  <si>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</si>
  <si>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</si>
  <si>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</si>
  <si>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</si>
  <si>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</si>
  <si>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</si>
  <si>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</si>
  <si>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</si>
  <si>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</si>
  <si>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</si>
  <si>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</si>
  <si>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</si>
  <si>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</si>
  <si>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</si>
  <si>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</si>
  <si>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</si>
  <si>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</si>
  <si>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</si>
  <si>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</si>
  <si>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</si>
  <si>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</si>
  <si>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</si>
  <si>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</si>
  <si>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</si>
  <si>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</si>
  <si>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</si>
  <si>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</si>
  <si>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</si>
  <si>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</si>
  <si>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</si>
  <si>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</si>
  <si>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</si>
  <si>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</si>
  <si>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</si>
  <si>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</si>
  <si>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</si>
  <si>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</si>
  <si>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</si>
  <si>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</si>
  <si>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</si>
  <si>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</si>
  <si>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</si>
  <si>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</si>
  <si>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</si>
  <si>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</si>
  <si>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</si>
  <si>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</si>
  <si>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</si>
  <si>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</si>
  <si>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</si>
  <si>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</si>
  <si>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</si>
  <si>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</si>
  <si>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</si>
  <si>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</si>
  <si>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</si>
  <si>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</si>
  <si>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</si>
  <si>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</si>
  <si>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</si>
  <si>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</si>
  <si>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</si>
  <si>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</si>
  <si>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</si>
  <si>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</si>
  <si>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</si>
  <si>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</si>
  <si>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</si>
  <si>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</si>
  <si>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</si>
  <si>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</si>
  <si>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</si>
  <si>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</si>
  <si>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</si>
  <si>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</si>
  <si>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</si>
  <si>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</si>
  <si>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</si>
  <si>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</si>
  <si>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</si>
  <si>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</si>
  <si>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</si>
  <si>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</si>
  <si>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</si>
  <si>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</si>
  <si>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</si>
  <si>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</si>
  <si>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</si>
  <si>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</si>
  <si>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</si>
  <si>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</si>
  <si>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</si>
  <si>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</si>
  <si>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</si>
  <si>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</si>
  <si>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</si>
  <si>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</si>
  <si>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</si>
  <si>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</si>
  <si>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</si>
  <si>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</si>
  <si>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</si>
  <si>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</si>
  <si>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</si>
  <si>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</si>
  <si>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</si>
  <si>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</si>
  <si>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</si>
  <si>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</si>
  <si>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</si>
  <si>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</si>
  <si>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</si>
  <si>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</si>
  <si>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</si>
  <si>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</si>
  <si>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</si>
  <si>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</si>
  <si>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</si>
  <si>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</si>
  <si>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</si>
  <si>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</si>
  <si>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</si>
  <si>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</si>
  <si>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</si>
  <si>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</si>
  <si>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</si>
  <si>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</si>
  <si>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</si>
  <si>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</si>
  <si>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</si>
  <si>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</si>
  <si>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</si>
  <si>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</si>
  <si>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</si>
  <si>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</si>
  <si>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</si>
  <si>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</si>
  <si>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</si>
  <si>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</si>
  <si>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</si>
  <si>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</si>
  <si>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</si>
  <si>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</si>
  <si>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</si>
  <si>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</si>
  <si>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</si>
  <si>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</si>
  <si>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</si>
  <si>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</si>
  <si>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</si>
  <si>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</si>
  <si>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</si>
  <si>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</si>
  <si>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</si>
  <si>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</si>
  <si>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</si>
  <si>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</si>
  <si>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</si>
  <si>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</si>
  <si>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</si>
  <si>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</si>
  <si>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</si>
  <si>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</si>
  <si>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</si>
  <si>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</si>
  <si>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</si>
  <si>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</si>
  <si>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</si>
  <si>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</si>
  <si>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</si>
  <si>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</si>
  <si>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</si>
  <si>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</si>
  <si>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</si>
  <si>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</si>
  <si>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</si>
  <si>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</si>
  <si>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</si>
  <si>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</si>
  <si>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</si>
  <si>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</si>
  <si>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</si>
  <si>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</si>
  <si>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</si>
  <si>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</si>
  <si>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</si>
  <si>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</si>
  <si>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</si>
  <si>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</si>
  <si>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</si>
  <si>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</si>
  <si>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</si>
  <si>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</si>
  <si>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</si>
  <si>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</si>
  <si>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</si>
  <si>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</si>
  <si>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</si>
  <si>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</si>
  <si>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</si>
  <si>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</si>
  <si>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</si>
  <si>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</si>
  <si>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</si>
  <si>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</si>
  <si>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</si>
  <si>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</si>
  <si>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</si>
  <si>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</si>
  <si>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</si>
  <si>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</si>
  <si>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</si>
  <si>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</si>
  <si>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</si>
  <si>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</si>
  <si>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</si>
  <si>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</si>
  <si>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</si>
  <si>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</si>
  <si>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</si>
  <si>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</si>
  <si>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</si>
  <si>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</si>
  <si>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 xml:space="preserve">-07-14 </t>
    </r>
    <r>
      <rPr>
        <b/>
        <sz val="10"/>
        <color theme="0"/>
        <rFont val="新細明體"/>
        <family val="1"/>
        <charset val="136"/>
      </rPr>
      <t xml:space="preserve">- </t>
    </r>
    <r>
      <rPr>
        <b/>
        <sz val="10"/>
        <color theme="0"/>
        <rFont val="Calibri"/>
        <family val="2"/>
        <scheme val="minor"/>
      </rPr>
      <t>2025-07-20</t>
    </r>
  </si>
  <si>
    <t>Reviewed product and IPDP comments on draft GenAI services agreement. Discussion with Yoga He.</t>
  </si>
  <si>
    <t xml:space="preserve">Reviewed and revised drafting of 港九小轮接入相关合同. Prepared clean version. </t>
  </si>
  <si>
    <t>Reviewed Ignite Vision's comments on the promotion agreement. Revised draft agreement.</t>
  </si>
  <si>
    <t>Internal discussion on draft Tenpay service agreement</t>
  </si>
  <si>
    <t xml:space="preserve">Discussions with Nikki Wang re taxi payment refund complaint and prepration of draft consent form. </t>
  </si>
  <si>
    <t>Reviewed CCBA comments on the Host-to-Host Solution Agreement. Revised draft.</t>
  </si>
  <si>
    <t>Discussion with Sum on Apple agreement and consequences of breach</t>
  </si>
  <si>
    <t>Reviewed EMQ DD document and discussed with Fire Song.</t>
  </si>
  <si>
    <t>Call on FPS cross border payment project.</t>
  </si>
  <si>
    <t xml:space="preserve">KML agreement - discussion with Winnie and prepared revised draft agreement. </t>
  </si>
  <si>
    <t>Reviewed revised product proposal regarding Tenpay Expansion project. Provided comments and discussed with Nico Meng.</t>
  </si>
  <si>
    <t xml:space="preserve">Reviewed Visa feedback on suggested provisions on Incentive Agreement. Discussion with Jenny Lau. </t>
  </si>
  <si>
    <t>Reviewed Mox agreement. Discussion with Jenny Lau.</t>
  </si>
  <si>
    <t>Discussion regarding incorrect payment by Merchants and methods for resolution.</t>
  </si>
  <si>
    <t>Reviewed internal teams' comments to the Supplementary Agreement with JCB. Revised draft. Internal discussions.</t>
  </si>
  <si>
    <t>Discussion with HKMA and internal teams on NFC proposal. Prepared draft responses to HKMA queries and liaised with internal teams.</t>
  </si>
  <si>
    <t xml:space="preserve">Reviewed Tenpay advice regarding overseas expansion and prepared risk analysis table for discussion. Liaised with external counsel on WPHK's reliance on such advice.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</si>
</sst>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6" zoomScale="115" zoomScaleNormal="115" workbookViewId="0">
      <selection activeCell="H18" sqref="H1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340</v>
      </c>
      <c r="C6" s="9" t="s">
        <v>22</v>
      </c>
      <c r="D6" s="10" t="s">
        <v>55</v>
      </c>
      <c r="E6" s="10" t="s">
        <v>30</v>
      </c>
      <c r="F6" s="9" t="s">
        <v>339</v>
      </c>
      <c r="G6" s="11">
        <v>1.5</v>
      </c>
      <c r="H6" s="9" t="s">
        <v>73</v>
      </c>
      <c r="I6" s="16" t="s">
        <v>343</v>
      </c>
    </row>
    <row r="7" spans="1:9" s="2" customFormat="1" ht="39">
      <c r="B7" s="8" t="s">
        <v>340</v>
      </c>
      <c r="C7" s="9" t="s">
        <v>22</v>
      </c>
      <c r="D7" s="10" t="s">
        <v>55</v>
      </c>
      <c r="E7" s="10" t="s">
        <v>30</v>
      </c>
      <c r="F7" s="9" t="s">
        <v>339</v>
      </c>
      <c r="G7" s="11">
        <v>2</v>
      </c>
      <c r="H7" s="9" t="s">
        <v>73</v>
      </c>
      <c r="I7" s="16" t="s">
        <v>342</v>
      </c>
    </row>
    <row r="8" spans="1:9" s="2" customFormat="1" ht="39">
      <c r="B8" s="8" t="s">
        <v>340</v>
      </c>
      <c r="C8" s="9" t="s">
        <v>22</v>
      </c>
      <c r="D8" s="10" t="s">
        <v>55</v>
      </c>
      <c r="E8" s="10" t="s">
        <v>30</v>
      </c>
      <c r="F8" s="9" t="s">
        <v>339</v>
      </c>
      <c r="G8" s="11">
        <v>2.5</v>
      </c>
      <c r="H8" s="9" t="s">
        <v>74</v>
      </c>
      <c r="I8" s="16" t="s">
        <v>357</v>
      </c>
    </row>
    <row r="9" spans="1:9" s="2" customFormat="1" ht="39">
      <c r="B9" s="8" t="s">
        <v>340</v>
      </c>
      <c r="C9" s="9" t="s">
        <v>22</v>
      </c>
      <c r="D9" s="10" t="s">
        <v>55</v>
      </c>
      <c r="E9" s="10" t="s">
        <v>30</v>
      </c>
      <c r="F9" s="9" t="s">
        <v>339</v>
      </c>
      <c r="G9" s="11">
        <v>2</v>
      </c>
      <c r="H9" s="9" t="s">
        <v>73</v>
      </c>
      <c r="I9" s="16" t="s">
        <v>344</v>
      </c>
    </row>
    <row r="10" spans="1:9" s="2" customFormat="1" ht="39">
      <c r="B10" s="8" t="s">
        <v>340</v>
      </c>
      <c r="C10" s="9" t="s">
        <v>22</v>
      </c>
      <c r="D10" s="10" t="s">
        <v>55</v>
      </c>
      <c r="E10" s="10" t="s">
        <v>30</v>
      </c>
      <c r="F10" s="9" t="s">
        <v>339</v>
      </c>
      <c r="G10" s="11">
        <v>4</v>
      </c>
      <c r="H10" s="9" t="s">
        <v>73</v>
      </c>
      <c r="I10" s="16" t="s">
        <v>354</v>
      </c>
    </row>
    <row r="11" spans="1:9" s="2" customFormat="1" ht="39">
      <c r="B11" s="8" t="s">
        <v>340</v>
      </c>
      <c r="C11" s="9" t="s">
        <v>22</v>
      </c>
      <c r="D11" s="10" t="s">
        <v>55</v>
      </c>
      <c r="E11" s="10" t="s">
        <v>30</v>
      </c>
      <c r="F11" s="9" t="s">
        <v>339</v>
      </c>
      <c r="G11" s="11">
        <v>0.8</v>
      </c>
      <c r="H11" s="9" t="s">
        <v>27</v>
      </c>
      <c r="I11" s="16" t="s">
        <v>345</v>
      </c>
    </row>
    <row r="12" spans="1:9" s="2" customFormat="1" ht="39">
      <c r="B12" s="8" t="s">
        <v>340</v>
      </c>
      <c r="C12" s="9" t="s">
        <v>22</v>
      </c>
      <c r="D12" s="10" t="s">
        <v>55</v>
      </c>
      <c r="E12" s="10" t="s">
        <v>30</v>
      </c>
      <c r="F12" s="9" t="s">
        <v>339</v>
      </c>
      <c r="G12" s="11">
        <v>1.5</v>
      </c>
      <c r="H12" s="9" t="s">
        <v>27</v>
      </c>
      <c r="I12" s="16" t="s">
        <v>346</v>
      </c>
    </row>
    <row r="13" spans="1:9" s="2" customFormat="1" ht="39">
      <c r="B13" s="8" t="s">
        <v>340</v>
      </c>
      <c r="C13" s="9" t="s">
        <v>22</v>
      </c>
      <c r="D13" s="10" t="s">
        <v>55</v>
      </c>
      <c r="E13" s="10" t="s">
        <v>30</v>
      </c>
      <c r="F13" s="9" t="s">
        <v>339</v>
      </c>
      <c r="G13" s="11">
        <v>4</v>
      </c>
      <c r="H13" s="9" t="s">
        <v>73</v>
      </c>
      <c r="I13" s="16" t="s">
        <v>347</v>
      </c>
    </row>
    <row r="14" spans="1:9" s="2" customFormat="1" ht="39">
      <c r="B14" s="8" t="s">
        <v>340</v>
      </c>
      <c r="C14" s="9" t="s">
        <v>22</v>
      </c>
      <c r="D14" s="10" t="s">
        <v>55</v>
      </c>
      <c r="E14" s="10" t="s">
        <v>30</v>
      </c>
      <c r="F14" s="9" t="s">
        <v>339</v>
      </c>
      <c r="G14" s="11">
        <v>1</v>
      </c>
      <c r="H14" s="9" t="s">
        <v>27</v>
      </c>
      <c r="I14" s="16" t="s">
        <v>348</v>
      </c>
    </row>
    <row r="15" spans="1:9" s="2" customFormat="1" ht="39">
      <c r="B15" s="8" t="s">
        <v>340</v>
      </c>
      <c r="C15" s="9" t="s">
        <v>22</v>
      </c>
      <c r="D15" s="10" t="s">
        <v>55</v>
      </c>
      <c r="E15" s="10" t="s">
        <v>30</v>
      </c>
      <c r="F15" s="9" t="s">
        <v>339</v>
      </c>
      <c r="G15" s="11">
        <v>1.5</v>
      </c>
      <c r="H15" s="9" t="s">
        <v>73</v>
      </c>
      <c r="I15" s="16" t="s">
        <v>351</v>
      </c>
    </row>
    <row r="16" spans="1:9" s="2" customFormat="1" ht="39">
      <c r="B16" s="8" t="s">
        <v>340</v>
      </c>
      <c r="C16" s="9" t="s">
        <v>22</v>
      </c>
      <c r="D16" s="10" t="s">
        <v>55</v>
      </c>
      <c r="E16" s="10" t="s">
        <v>30</v>
      </c>
      <c r="F16" s="9" t="s">
        <v>339</v>
      </c>
      <c r="G16" s="11">
        <v>0.8</v>
      </c>
      <c r="H16" s="9" t="s">
        <v>73</v>
      </c>
      <c r="I16" s="16" t="s">
        <v>349</v>
      </c>
    </row>
    <row r="17" spans="2:9" s="2" customFormat="1" ht="39">
      <c r="B17" s="8" t="s">
        <v>340</v>
      </c>
      <c r="C17" s="9" t="s">
        <v>22</v>
      </c>
      <c r="D17" s="10" t="s">
        <v>55</v>
      </c>
      <c r="E17" s="10" t="s">
        <v>30</v>
      </c>
      <c r="F17" s="9" t="s">
        <v>339</v>
      </c>
      <c r="G17" s="11">
        <v>1</v>
      </c>
      <c r="H17" s="9" t="s">
        <v>27</v>
      </c>
      <c r="I17" s="16" t="s">
        <v>350</v>
      </c>
    </row>
    <row r="18" spans="2:9" s="2" customFormat="1" ht="39">
      <c r="B18" s="8" t="s">
        <v>340</v>
      </c>
      <c r="C18" s="9" t="s">
        <v>22</v>
      </c>
      <c r="D18" s="10" t="s">
        <v>55</v>
      </c>
      <c r="E18" s="10" t="s">
        <v>30</v>
      </c>
      <c r="F18" s="9" t="s">
        <v>339</v>
      </c>
      <c r="G18" s="11">
        <v>1.5</v>
      </c>
      <c r="H18" s="9" t="s">
        <v>73</v>
      </c>
      <c r="I18" s="16" t="s">
        <v>352</v>
      </c>
    </row>
    <row r="19" spans="2:9" s="2" customFormat="1" ht="39">
      <c r="B19" s="8" t="s">
        <v>340</v>
      </c>
      <c r="C19" s="9" t="s">
        <v>22</v>
      </c>
      <c r="D19" s="10" t="s">
        <v>55</v>
      </c>
      <c r="E19" s="10" t="s">
        <v>30</v>
      </c>
      <c r="F19" s="9" t="s">
        <v>339</v>
      </c>
      <c r="G19" s="11">
        <v>0.5</v>
      </c>
      <c r="H19" s="9" t="s">
        <v>27</v>
      </c>
      <c r="I19" s="16" t="s">
        <v>353</v>
      </c>
    </row>
    <row r="20" spans="2:9" s="2" customFormat="1" ht="39">
      <c r="B20" s="8" t="s">
        <v>340</v>
      </c>
      <c r="C20" s="9" t="s">
        <v>22</v>
      </c>
      <c r="D20" s="10" t="s">
        <v>55</v>
      </c>
      <c r="E20" s="10" t="s">
        <v>30</v>
      </c>
      <c r="F20" s="9" t="s">
        <v>339</v>
      </c>
      <c r="G20" s="11">
        <v>0.5</v>
      </c>
      <c r="H20" s="9" t="s">
        <v>27</v>
      </c>
      <c r="I20" s="16" t="s">
        <v>355</v>
      </c>
    </row>
    <row r="21" spans="2:9" s="2" customFormat="1" ht="39">
      <c r="B21" s="8" t="s">
        <v>340</v>
      </c>
      <c r="C21" s="9" t="s">
        <v>22</v>
      </c>
      <c r="D21" s="10" t="s">
        <v>55</v>
      </c>
      <c r="E21" s="10" t="s">
        <v>30</v>
      </c>
      <c r="F21" s="9" t="s">
        <v>339</v>
      </c>
      <c r="G21" s="11">
        <v>0.5</v>
      </c>
      <c r="H21" s="9" t="s">
        <v>73</v>
      </c>
      <c r="I21" s="16" t="s">
        <v>356</v>
      </c>
    </row>
    <row r="22" spans="2:9" s="2" customFormat="1" ht="52">
      <c r="B22" s="8" t="s">
        <v>340</v>
      </c>
      <c r="C22" s="9" t="s">
        <v>22</v>
      </c>
      <c r="D22" s="10" t="s">
        <v>55</v>
      </c>
      <c r="E22" s="10" t="s">
        <v>30</v>
      </c>
      <c r="F22" s="9" t="s">
        <v>339</v>
      </c>
      <c r="G22" s="11">
        <v>5</v>
      </c>
      <c r="H22" s="9" t="s">
        <v>73</v>
      </c>
      <c r="I22" s="16" t="s">
        <v>358</v>
      </c>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81" t="s">
        <v>32</v>
      </c>
      <c r="C34" s="82"/>
      <c r="D34" s="83"/>
      <c r="E34" s="12"/>
      <c r="F34" s="12"/>
      <c r="G34" s="84">
        <f>SUM(G6:G33)</f>
        <v>30.6</v>
      </c>
      <c r="H34" s="85"/>
      <c r="I34" s="86"/>
    </row>
    <row r="37" spans="2:9">
      <c r="B37" s="17" t="s">
        <v>81</v>
      </c>
      <c r="C37" s="18" t="s">
        <v>331</v>
      </c>
      <c r="D37" s="75"/>
    </row>
    <row r="38" spans="2:9">
      <c r="C38" s="18" t="s">
        <v>332</v>
      </c>
      <c r="D38" s="76"/>
    </row>
  </sheetData>
  <mergeCells count="4">
    <mergeCell ref="B1:I1"/>
    <mergeCell ref="B2:H2"/>
    <mergeCell ref="B34:D34"/>
    <mergeCell ref="G34:I34"/>
  </mergeCells>
  <phoneticPr fontId="10" type="noConversion"/>
  <dataValidations count="3">
    <dataValidation type="list" errorStyle="warning" allowBlank="1" sqref="C23: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C6:C22</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2025-07-21T07:22:35Z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