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A5F42F51-F141-4B3B-8221-FC84D8F9F64D}" xr6:coauthVersionLast="47" xr6:coauthVersionMax="47" xr10:uidLastSave="{00000000-0000-0000-0000-000000000000}"/>
  <bookViews>
    <workbookView xWindow="-3300" yWindow="580" windowWidth="14400" windowHeight="817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<sst xmlns="http://schemas.openxmlformats.org/spreadsheetml/2006/main" count="594" uniqueCount="364">
  <si>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</si>
  <si>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</si>
  <si>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</si>
  <si>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</si>
  <si>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</si>
  <si>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</si>
  <si>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</si>
  <si>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</si>
  <si>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</si>
  <si>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</si>
  <si>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</si>
  <si>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</si>
  <si>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</si>
  <si>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</si>
  <si>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</si>
  <si>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</si>
  <si>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</si>
  <si>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</si>
  <si>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</si>
  <si>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</si>
  <si>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</si>
  <si>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</si>
  <si>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</si>
  <si>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</si>
  <si>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</si>
  <si>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</si>
  <si>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</si>
  <si>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</si>
  <si>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</si>
  <si>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</si>
  <si>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</si>
  <si>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</si>
  <si>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</si>
  <si>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</si>
  <si>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</si>
  <si>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</si>
  <si>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</si>
  <si>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</si>
  <si>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</si>
  <si>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</si>
  <si>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</si>
  <si>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</si>
  <si>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</si>
  <si>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</si>
  <si>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</si>
  <si>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</si>
  <si>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</si>
  <si>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</si>
  <si>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</si>
  <si>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</si>
  <si>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</si>
  <si>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</si>
  <si>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</si>
  <si>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</si>
  <si>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</si>
  <si>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</si>
  <si>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</si>
  <si>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</si>
  <si>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</si>
  <si>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</si>
  <si>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</si>
  <si>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</si>
  <si>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</si>
  <si>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</si>
  <si>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</si>
  <si>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</si>
  <si>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</si>
  <si>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</si>
  <si>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</si>
  <si>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</si>
  <si>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</si>
  <si>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</si>
  <si>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</si>
  <si>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</si>
  <si>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</si>
  <si>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</si>
  <si>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</si>
  <si>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</si>
  <si>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</si>
  <si>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</si>
  <si>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</si>
  <si>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</si>
  <si>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</si>
  <si>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</si>
  <si>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</si>
  <si>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</si>
  <si>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</si>
  <si>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</si>
  <si>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</si>
  <si>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</si>
  <si>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</si>
  <si>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</si>
  <si>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</si>
  <si>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</si>
  <si>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</si>
  <si>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</si>
  <si>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</si>
  <si>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</si>
  <si>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</si>
  <si>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</si>
  <si>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</si>
  <si>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</si>
  <si>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</si>
  <si>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</si>
  <si>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</si>
  <si>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</si>
  <si>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</si>
  <si>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</si>
  <si>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</si>
  <si>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</si>
  <si>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</si>
  <si>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</si>
  <si>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</si>
  <si>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</si>
  <si>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</si>
  <si>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</si>
  <si>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</si>
  <si>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</si>
  <si>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</si>
  <si>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</si>
  <si>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</si>
  <si>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</si>
  <si>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</si>
  <si>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</si>
  <si>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</si>
  <si>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</si>
  <si>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</si>
  <si>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</si>
  <si>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</si>
  <si>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</si>
  <si>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</si>
  <si>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</si>
  <si>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</si>
  <si>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</si>
  <si>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</si>
  <si>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</si>
  <si>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</si>
  <si>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</si>
  <si>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</si>
  <si>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</si>
  <si>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</si>
  <si>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</si>
  <si>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</si>
  <si>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</si>
  <si>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</si>
  <si>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</si>
  <si>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</si>
  <si>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</si>
  <si>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</si>
  <si>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</si>
  <si>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</si>
  <si>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</si>
  <si>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</si>
  <si>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</si>
  <si>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</si>
  <si>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</si>
  <si>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</si>
  <si>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</si>
  <si>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</si>
  <si>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</si>
  <si>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</si>
  <si>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</si>
  <si>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</si>
  <si>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</si>
  <si>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</si>
  <si>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</si>
  <si>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</si>
  <si>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</si>
  <si>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</si>
  <si>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</si>
  <si>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</si>
  <si>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</si>
  <si>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</si>
  <si>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</si>
  <si>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</si>
  <si>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</si>
  <si>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</si>
  <si>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</si>
  <si>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</si>
  <si>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</si>
  <si>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</si>
  <si>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</si>
  <si>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</si>
  <si>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</si>
  <si>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</si>
  <si>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</si>
  <si>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</si>
  <si>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</si>
  <si>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</si>
  <si>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</si>
  <si>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</si>
  <si>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</si>
  <si>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</si>
  <si>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</si>
  <si>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</si>
  <si>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</si>
  <si>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</si>
  <si>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</si>
  <si>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</si>
  <si>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</si>
  <si>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</si>
  <si>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</si>
  <si>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</si>
  <si>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</si>
  <si>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</si>
  <si>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</si>
  <si>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</si>
  <si>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</si>
  <si>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</si>
  <si>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</si>
  <si>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</si>
  <si>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</si>
  <si>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</si>
  <si>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</si>
  <si>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</si>
  <si>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</si>
  <si>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</si>
  <si>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</si>
  <si>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</si>
  <si>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</si>
  <si>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</si>
  <si>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</si>
  <si>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</si>
  <si>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</si>
  <si>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</si>
  <si>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</si>
  <si>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</si>
  <si>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</si>
  <si>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</si>
  <si>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</si>
  <si>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</si>
  <si>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</si>
  <si>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</si>
  <si>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</si>
  <si>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</si>
  <si>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</si>
  <si>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</si>
  <si>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</si>
  <si>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</si>
  <si>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</si>
  <si>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</si>
  <si>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</si>
  <si>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</si>
  <si>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</si>
  <si>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</si>
  <si>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</si>
  <si>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</si>
  <si>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</si>
  <si>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</si>
  <si>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</si>
  <si>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</si>
  <si>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</si>
  <si>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</si>
  <si>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</si>
  <si>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</si>
  <si>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</si>
  <si>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</si>
  <si>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</si>
  <si>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</si>
  <si>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</si>
  <si>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</si>
  <si>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</si>
  <si>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</si>
  <si>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</si>
  <si>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</si>
  <si>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</si>
  <si>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</si>
  <si>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</si>
  <si>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</si>
  <si>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</si>
  <si>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</si>
  <si>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</si>
  <si>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</si>
  <si>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</si>
  <si>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</si>
  <si>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</si>
  <si>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</si>
  <si>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</si>
  <si>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</si>
  <si>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</si>
  <si>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</si>
  <si>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</si>
  <si>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</si>
  <si>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</si>
  <si>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</si>
  <si>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</si>
  <si>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</si>
  <si>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</si>
  <si>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</si>
  <si>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</si>
  <si>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</si>
  <si>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</si>
  <si>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</si>
  <si>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</si>
  <si>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</si>
  <si>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</si>
  <si>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</si>
  <si>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</si>
  <si>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</si>
  <si>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</si>
  <si>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</si>
  <si>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</si>
  <si>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</si>
  <si>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</si>
  <si>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</si>
  <si>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</si>
  <si>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</si>
  <si>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</si>
  <si>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</si>
  <si>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</si>
  <si>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</si>
  <si>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</si>
  <si>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</si>
  <si>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</si>
  <si>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</si>
  <si>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</si>
  <si>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</si>
  <si>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</si>
  <si>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</si>
  <si>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</si>
  <si>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</si>
  <si>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</si>
  <si>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</si>
  <si>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</si>
  <si>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</si>
  <si>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</si>
  <si>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</si>
  <si>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</si>
  <si>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</si>
  <si>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</si>
  <si>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</si>
  <si>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</si>
  <si>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</si>
  <si>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</si>
  <si>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</si>
  <si>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</si>
  <si>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</si>
  <si>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</si>
  <si>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</si>
  <si>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</si>
  <si>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</si>
  <si>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r>
      <t>Date: 2025</t>
    </r>
    <r>
      <rPr>
        <b/>
        <sz val="10"/>
        <color theme="0"/>
        <rFont val="等线"/>
        <charset val="134"/>
      </rPr>
      <t>-07-28 - 2025-08-03</t>
    </r>
  </si>
  <si>
    <t>Team lunch</t>
  </si>
  <si>
    <t>Reviewed slides for CCM and WPHK board meeting</t>
  </si>
  <si>
    <t>Revised draft Compliance Committee Terms of Reference. Discussion with C. Tsiang.</t>
  </si>
  <si>
    <t>Reviewed and revised BOCHK FPS Clearing Participant Agreement. Discussion with F. Song.</t>
  </si>
  <si>
    <t>Dscussions with C. Chu on communication with the HKMA on NFC project. Internal discussions with various stakeholders.</t>
  </si>
  <si>
    <t>Discussions with the HKMA on NFC project.</t>
  </si>
  <si>
    <t xml:space="preserve">Discussion with various internal stakeholders on NFC project product proposal. </t>
  </si>
  <si>
    <t>Discussion with various internal stakeholders on GenAI service agreement drafting.</t>
  </si>
  <si>
    <t>Reviewed and revised draft Visa promotion agreement. Discussion with J. Lau.</t>
  </si>
  <si>
    <t xml:space="preserve">Reviewed and revised Visa Pay Marketing incentive Agreement. Liaised with J. Lau. </t>
  </si>
  <si>
    <t>Reviewed external counsel responses to queries regarding activation of WeChat Pay HK Wallet using PRC or Macau mobile numbers. Discussion with C. Tsiang and prepared draft responses.</t>
  </si>
  <si>
    <t>Attended Security Bureau briefing on introduction of new Protection of Critical Infrastructure Code of Practice</t>
  </si>
  <si>
    <t>Reviewed and revised Terms of Reference of Compliance Committee. Liaised with David Chan.</t>
  </si>
  <si>
    <t>Reviewed and revised draft Visa commercial agreement. Discussion with J. Lau.</t>
  </si>
  <si>
    <t xml:space="preserve">Preparation for Compliance Committee Meeting and Board Meeting for WPHK. </t>
  </si>
  <si>
    <t xml:space="preserve">Liaisons with external counsel on multi-jurisdiction analysis regarding the NFC project. Internal discussion. </t>
  </si>
  <si>
    <t>Reviewed and revised promotion agreement with Mox bank. Discussion with J. Lau.</t>
  </si>
  <si>
    <t>WPHK internal briefing with Cherise.</t>
  </si>
  <si>
    <t>Call with HL on fee quote for amendments to agreement with ZX. Subsequent email communications.</t>
  </si>
  <si>
    <t>Paypal collaboration - discussion with internal teams</t>
  </si>
  <si>
    <t>Call with Simon Zhou on amendments to agreement with Apple.</t>
  </si>
  <si>
    <t>KML agreement - discussion with internal teams and reviewed proposed amendments.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</si>
</sst>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9">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34" zoomScale="115" zoomScaleNormal="115" workbookViewId="0">
      <selection activeCell="F8" sqref="F8:F27"/>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9">
      <c r="B6" s="8" t="s">
        <v>340</v>
      </c>
      <c r="C6" s="9" t="s">
        <v>22</v>
      </c>
      <c r="D6" s="10" t="s">
        <v>55</v>
      </c>
      <c r="E6" s="10" t="s">
        <v>30</v>
      </c>
      <c r="F6" s="9" t="s">
        <v>339</v>
      </c>
      <c r="G6" s="11">
        <v>2.5</v>
      </c>
      <c r="H6" s="9" t="s">
        <v>27</v>
      </c>
      <c r="I6" s="16" t="s">
        <v>346</v>
      </c>
    </row>
    <row r="7" spans="1:9" s="2" customFormat="1" ht="13">
      <c r="B7" s="8" t="s">
        <v>340</v>
      </c>
      <c r="C7" s="9" t="s">
        <v>28</v>
      </c>
      <c r="D7" s="10" t="s">
        <v>31</v>
      </c>
      <c r="E7" s="10" t="s">
        <v>33</v>
      </c>
      <c r="F7" s="9" t="s">
        <v>35</v>
      </c>
      <c r="G7" s="11">
        <v>1.5</v>
      </c>
      <c r="H7" s="9" t="s">
        <v>31</v>
      </c>
      <c r="I7" s="16" t="s">
        <v>342</v>
      </c>
    </row>
    <row r="8" spans="1:9" s="2" customFormat="1" ht="39">
      <c r="B8" s="8" t="s">
        <v>340</v>
      </c>
      <c r="C8" s="9" t="s">
        <v>22</v>
      </c>
      <c r="D8" s="10" t="s">
        <v>55</v>
      </c>
      <c r="E8" s="10" t="s">
        <v>30</v>
      </c>
      <c r="F8" s="9" t="s">
        <v>339</v>
      </c>
      <c r="G8" s="11">
        <v>1</v>
      </c>
      <c r="H8" s="9" t="s">
        <v>73</v>
      </c>
      <c r="I8" s="16" t="s">
        <v>343</v>
      </c>
    </row>
    <row r="9" spans="1:9" s="2" customFormat="1" ht="39">
      <c r="B9" s="8" t="s">
        <v>340</v>
      </c>
      <c r="C9" s="9" t="s">
        <v>22</v>
      </c>
      <c r="D9" s="10" t="s">
        <v>55</v>
      </c>
      <c r="E9" s="10" t="s">
        <v>30</v>
      </c>
      <c r="F9" s="9" t="s">
        <v>339</v>
      </c>
      <c r="G9" s="11">
        <v>0.5</v>
      </c>
      <c r="H9" s="9" t="s">
        <v>73</v>
      </c>
      <c r="I9" s="16" t="s">
        <v>344</v>
      </c>
    </row>
    <row r="10" spans="1:9" s="2" customFormat="1" ht="39">
      <c r="B10" s="8" t="s">
        <v>340</v>
      </c>
      <c r="C10" s="9" t="s">
        <v>22</v>
      </c>
      <c r="D10" s="10" t="s">
        <v>55</v>
      </c>
      <c r="E10" s="10" t="s">
        <v>30</v>
      </c>
      <c r="F10" s="9" t="s">
        <v>339</v>
      </c>
      <c r="G10" s="11">
        <v>3.5</v>
      </c>
      <c r="H10" s="9" t="s">
        <v>73</v>
      </c>
      <c r="I10" s="16" t="s">
        <v>345</v>
      </c>
    </row>
    <row r="11" spans="1:9" s="2" customFormat="1" ht="39">
      <c r="B11" s="8" t="s">
        <v>340</v>
      </c>
      <c r="C11" s="9" t="s">
        <v>22</v>
      </c>
      <c r="D11" s="10" t="s">
        <v>55</v>
      </c>
      <c r="E11" s="10" t="s">
        <v>30</v>
      </c>
      <c r="F11" s="9" t="s">
        <v>339</v>
      </c>
      <c r="G11" s="11">
        <v>0.5</v>
      </c>
      <c r="H11" s="9" t="s">
        <v>79</v>
      </c>
      <c r="I11" s="16" t="s">
        <v>347</v>
      </c>
    </row>
    <row r="12" spans="1:9" s="2" customFormat="1" ht="39">
      <c r="B12" s="8" t="s">
        <v>340</v>
      </c>
      <c r="C12" s="9" t="s">
        <v>22</v>
      </c>
      <c r="D12" s="10" t="s">
        <v>55</v>
      </c>
      <c r="E12" s="10" t="s">
        <v>30</v>
      </c>
      <c r="F12" s="9" t="s">
        <v>339</v>
      </c>
      <c r="G12" s="11">
        <v>0.5</v>
      </c>
      <c r="H12" s="9" t="s">
        <v>27</v>
      </c>
      <c r="I12" s="16" t="s">
        <v>348</v>
      </c>
    </row>
    <row r="13" spans="1:9" s="2" customFormat="1" ht="39">
      <c r="B13" s="8" t="s">
        <v>340</v>
      </c>
      <c r="C13" s="9" t="s">
        <v>22</v>
      </c>
      <c r="D13" s="10" t="s">
        <v>55</v>
      </c>
      <c r="E13" s="10" t="s">
        <v>30</v>
      </c>
      <c r="F13" s="9" t="s">
        <v>339</v>
      </c>
      <c r="G13" s="11">
        <v>1.2</v>
      </c>
      <c r="H13" s="9" t="s">
        <v>27</v>
      </c>
      <c r="I13" s="16" t="s">
        <v>349</v>
      </c>
    </row>
    <row r="14" spans="1:9" s="2" customFormat="1" ht="39">
      <c r="B14" s="8" t="s">
        <v>340</v>
      </c>
      <c r="C14" s="9" t="s">
        <v>22</v>
      </c>
      <c r="D14" s="10" t="s">
        <v>55</v>
      </c>
      <c r="E14" s="10" t="s">
        <v>30</v>
      </c>
      <c r="F14" s="9" t="s">
        <v>339</v>
      </c>
      <c r="G14" s="11">
        <v>4</v>
      </c>
      <c r="H14" s="9" t="s">
        <v>73</v>
      </c>
      <c r="I14" s="16" t="s">
        <v>355</v>
      </c>
    </row>
    <row r="15" spans="1:9" s="2" customFormat="1" ht="39">
      <c r="B15" s="8" t="s">
        <v>340</v>
      </c>
      <c r="C15" s="9" t="s">
        <v>22</v>
      </c>
      <c r="D15" s="10" t="s">
        <v>55</v>
      </c>
      <c r="E15" s="10" t="s">
        <v>30</v>
      </c>
      <c r="F15" s="9" t="s">
        <v>339</v>
      </c>
      <c r="G15" s="11">
        <v>0.5</v>
      </c>
      <c r="H15" s="9" t="s">
        <v>73</v>
      </c>
      <c r="I15" s="16" t="s">
        <v>350</v>
      </c>
    </row>
    <row r="16" spans="1:9" s="2" customFormat="1" ht="39">
      <c r="B16" s="8" t="s">
        <v>340</v>
      </c>
      <c r="C16" s="9" t="s">
        <v>22</v>
      </c>
      <c r="D16" s="10" t="s">
        <v>55</v>
      </c>
      <c r="E16" s="10" t="s">
        <v>30</v>
      </c>
      <c r="F16" s="9" t="s">
        <v>339</v>
      </c>
      <c r="G16" s="11">
        <v>1.5</v>
      </c>
      <c r="H16" s="9" t="s">
        <v>73</v>
      </c>
      <c r="I16" s="16" t="s">
        <v>351</v>
      </c>
    </row>
    <row r="17" spans="2:9" s="2" customFormat="1" ht="52">
      <c r="B17" s="8" t="s">
        <v>340</v>
      </c>
      <c r="C17" s="9" t="s">
        <v>22</v>
      </c>
      <c r="D17" s="10" t="s">
        <v>55</v>
      </c>
      <c r="E17" s="10" t="s">
        <v>30</v>
      </c>
      <c r="F17" s="9" t="s">
        <v>339</v>
      </c>
      <c r="G17" s="11">
        <v>1</v>
      </c>
      <c r="H17" s="9" t="s">
        <v>27</v>
      </c>
      <c r="I17" s="16" t="s">
        <v>352</v>
      </c>
    </row>
    <row r="18" spans="2:9" s="2" customFormat="1" ht="39">
      <c r="B18" s="8" t="s">
        <v>340</v>
      </c>
      <c r="C18" s="9" t="s">
        <v>22</v>
      </c>
      <c r="D18" s="10" t="s">
        <v>55</v>
      </c>
      <c r="E18" s="10" t="s">
        <v>30</v>
      </c>
      <c r="F18" s="9" t="s">
        <v>339</v>
      </c>
      <c r="G18" s="11">
        <v>2.5</v>
      </c>
      <c r="H18" s="9" t="s">
        <v>79</v>
      </c>
      <c r="I18" s="16" t="s">
        <v>353</v>
      </c>
    </row>
    <row r="19" spans="2:9" s="2" customFormat="1" ht="39">
      <c r="B19" s="8" t="s">
        <v>340</v>
      </c>
      <c r="C19" s="9" t="s">
        <v>22</v>
      </c>
      <c r="D19" s="10" t="s">
        <v>55</v>
      </c>
      <c r="E19" s="10" t="s">
        <v>30</v>
      </c>
      <c r="F19" s="9" t="s">
        <v>339</v>
      </c>
      <c r="G19" s="11">
        <v>1</v>
      </c>
      <c r="H19" s="9" t="s">
        <v>73</v>
      </c>
      <c r="I19" s="16" t="s">
        <v>354</v>
      </c>
    </row>
    <row r="20" spans="2:9" s="2" customFormat="1" ht="39">
      <c r="B20" s="8" t="s">
        <v>340</v>
      </c>
      <c r="C20" s="9" t="s">
        <v>22</v>
      </c>
      <c r="D20" s="10" t="s">
        <v>55</v>
      </c>
      <c r="E20" s="10" t="s">
        <v>30</v>
      </c>
      <c r="F20" s="9" t="s">
        <v>339</v>
      </c>
      <c r="G20" s="11">
        <v>2</v>
      </c>
      <c r="H20" s="9" t="s">
        <v>73</v>
      </c>
      <c r="I20" s="16" t="s">
        <v>356</v>
      </c>
    </row>
    <row r="21" spans="2:9" s="2" customFormat="1" ht="39">
      <c r="B21" s="8" t="s">
        <v>340</v>
      </c>
      <c r="C21" s="9" t="s">
        <v>22</v>
      </c>
      <c r="D21" s="10" t="s">
        <v>55</v>
      </c>
      <c r="E21" s="10" t="s">
        <v>30</v>
      </c>
      <c r="F21" s="9" t="s">
        <v>339</v>
      </c>
      <c r="G21" s="11">
        <v>1.5</v>
      </c>
      <c r="H21" s="9" t="s">
        <v>27</v>
      </c>
      <c r="I21" s="16" t="s">
        <v>357</v>
      </c>
    </row>
    <row r="22" spans="2:9" s="2" customFormat="1" ht="39">
      <c r="B22" s="8" t="s">
        <v>340</v>
      </c>
      <c r="C22" s="9" t="s">
        <v>22</v>
      </c>
      <c r="D22" s="10" t="s">
        <v>55</v>
      </c>
      <c r="E22" s="10" t="s">
        <v>30</v>
      </c>
      <c r="F22" s="9" t="s">
        <v>339</v>
      </c>
      <c r="G22" s="11">
        <v>2.5</v>
      </c>
      <c r="H22" s="9" t="s">
        <v>73</v>
      </c>
      <c r="I22" s="16" t="s">
        <v>358</v>
      </c>
    </row>
    <row r="23" spans="2:9" s="2" customFormat="1" ht="39">
      <c r="B23" s="8" t="s">
        <v>340</v>
      </c>
      <c r="C23" s="9" t="s">
        <v>22</v>
      </c>
      <c r="D23" s="10" t="s">
        <v>55</v>
      </c>
      <c r="E23" s="10" t="s">
        <v>30</v>
      </c>
      <c r="F23" s="9" t="s">
        <v>339</v>
      </c>
      <c r="G23" s="11">
        <v>1</v>
      </c>
      <c r="H23" s="9" t="s">
        <v>21</v>
      </c>
      <c r="I23" s="16" t="s">
        <v>359</v>
      </c>
    </row>
    <row r="24" spans="2:9" s="2" customFormat="1" ht="39">
      <c r="B24" s="8" t="s">
        <v>340</v>
      </c>
      <c r="C24" s="9" t="s">
        <v>22</v>
      </c>
      <c r="D24" s="10" t="s">
        <v>55</v>
      </c>
      <c r="E24" s="10" t="s">
        <v>30</v>
      </c>
      <c r="F24" s="9" t="s">
        <v>339</v>
      </c>
      <c r="G24" s="11">
        <v>1</v>
      </c>
      <c r="H24" s="9" t="s">
        <v>27</v>
      </c>
      <c r="I24" s="16" t="s">
        <v>360</v>
      </c>
    </row>
    <row r="25" spans="2:9" s="2" customFormat="1" ht="39">
      <c r="B25" s="8" t="s">
        <v>340</v>
      </c>
      <c r="C25" s="9" t="s">
        <v>22</v>
      </c>
      <c r="D25" s="10" t="s">
        <v>55</v>
      </c>
      <c r="E25" s="10" t="s">
        <v>30</v>
      </c>
      <c r="F25" s="9" t="s">
        <v>339</v>
      </c>
      <c r="G25" s="11">
        <v>0.8</v>
      </c>
      <c r="H25" s="9" t="s">
        <v>27</v>
      </c>
      <c r="I25" s="16" t="s">
        <v>363</v>
      </c>
    </row>
    <row r="26" spans="2:9" s="2" customFormat="1" ht="39">
      <c r="B26" s="8" t="s">
        <v>340</v>
      </c>
      <c r="C26" s="9" t="s">
        <v>22</v>
      </c>
      <c r="D26" s="10" t="s">
        <v>55</v>
      </c>
      <c r="E26" s="10" t="s">
        <v>30</v>
      </c>
      <c r="F26" s="9" t="s">
        <v>339</v>
      </c>
      <c r="G26" s="11">
        <v>1</v>
      </c>
      <c r="H26" s="9" t="s">
        <v>27</v>
      </c>
      <c r="I26" s="16" t="s">
        <v>361</v>
      </c>
    </row>
    <row r="27" spans="2:9" s="2" customFormat="1" ht="39">
      <c r="B27" s="8" t="s">
        <v>340</v>
      </c>
      <c r="C27" s="9" t="s">
        <v>22</v>
      </c>
      <c r="D27" s="10" t="s">
        <v>55</v>
      </c>
      <c r="E27" s="10" t="s">
        <v>30</v>
      </c>
      <c r="F27" s="9" t="s">
        <v>339</v>
      </c>
      <c r="G27" s="11">
        <v>0.5</v>
      </c>
      <c r="H27" s="9" t="s">
        <v>27</v>
      </c>
      <c r="I27" s="16" t="s">
        <v>362</v>
      </c>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3">
      <c r="B31" s="8"/>
      <c r="C31" s="9"/>
      <c r="D31" s="10"/>
      <c r="E31" s="10"/>
      <c r="F31" s="9"/>
      <c r="G31" s="11"/>
      <c r="H31" s="9"/>
      <c r="I31" s="16"/>
    </row>
    <row r="32" spans="2:9" s="2" customFormat="1" ht="13">
      <c r="B32" s="8"/>
      <c r="C32" s="9"/>
      <c r="D32" s="10"/>
      <c r="E32" s="10"/>
      <c r="F32" s="9"/>
      <c r="G32" s="11"/>
      <c r="H32" s="9"/>
      <c r="I32" s="16"/>
    </row>
    <row r="33" spans="2:9" s="2" customFormat="1" ht="13">
      <c r="B33" s="8"/>
      <c r="C33" s="9"/>
      <c r="D33" s="10"/>
      <c r="E33" s="10"/>
      <c r="F33" s="9"/>
      <c r="G33" s="11"/>
      <c r="H33" s="9"/>
      <c r="I33" s="16"/>
    </row>
    <row r="34" spans="2:9" s="2" customFormat="1" ht="14.5" customHeight="1">
      <c r="B34" s="81" t="s">
        <v>32</v>
      </c>
      <c r="C34" s="82"/>
      <c r="D34" s="83"/>
      <c r="E34" s="12"/>
      <c r="F34" s="12"/>
      <c r="G34" s="84">
        <f>SUM(G6:G33)</f>
        <v>32</v>
      </c>
      <c r="H34" s="85"/>
      <c r="I34" s="86"/>
    </row>
    <row r="37" spans="2:9">
      <c r="B37" s="17" t="s">
        <v>81</v>
      </c>
      <c r="C37" s="18" t="s">
        <v>331</v>
      </c>
      <c r="D37" s="75"/>
    </row>
    <row r="38" spans="2:9">
      <c r="C38" s="18" t="s">
        <v>332</v>
      </c>
      <c r="D38" s="76"/>
    </row>
  </sheetData>
  <mergeCells count="4">
    <mergeCell ref="B1:I1"/>
    <mergeCell ref="B2:H2"/>
    <mergeCell ref="B34:D34"/>
    <mergeCell ref="G34:I34"/>
  </mergeCells>
  <phoneticPr fontId="10" type="noConversion"/>
  <dataValidations count="3">
    <dataValidation type="list" errorStyle="warning" allowBlank="1" sqref="C28: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D6:D33</xm:sqref>
        </x14:dataValidation>
        <x14:dataValidation type="list" errorStyle="warning" allowBlank="1" xr:uid="{00000000-0002-0000-0000-000003000000}">
          <x14:formula1>
            <xm:f>'Exhibit I - Virtual Group'!$A$1:$A$7</xm:f>
          </x14:formula1>
          <xm:sqref>C6:C27</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93" outlineLevel="1">
      <c r="C5" s="21" t="s">
        <v>100</v>
      </c>
      <c r="D5" s="109" t="s">
        <v>101</v>
      </c>
      <c r="E5" s="102"/>
      <c r="F5" s="22" t="s">
        <v>102</v>
      </c>
      <c r="G5" s="21" t="s">
        <v>103</v>
      </c>
      <c r="H5" s="21" t="s">
        <v>104</v>
      </c>
      <c r="I5" s="21" t="s">
        <v>105</v>
      </c>
      <c r="J5" s="21" t="s">
        <v>106</v>
      </c>
      <c r="K5" s="110" t="s">
        <v>107</v>
      </c>
      <c r="L5" s="110"/>
      <c r="M5" s="110"/>
      <c r="N5" s="110"/>
    </row>
    <row r="6" spans="2:14" s="23" customFormat="1" ht="186"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48"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310"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108.5"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23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41"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5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WPHK Legal</cp:lastModifiedBy>
  <dcterms:created xsi:type="dcterms:W3CDTF">2024-05-07T02:03:00Z</dcterms:created>
  <dcterms:modified xsi:type="dcterms:W3CDTF">2025-08-04T03:38:34Z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