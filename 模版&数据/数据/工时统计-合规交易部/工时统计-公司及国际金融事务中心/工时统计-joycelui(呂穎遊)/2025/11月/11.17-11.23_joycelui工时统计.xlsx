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72D9DC14-AE10-41FB-9A05-F2073965E6F2}" xr6:coauthVersionLast="47" xr6:coauthVersionMax="47" xr10:uidLastSave="{00000000-0000-0000-0000-000000000000}"/>
  <bookViews>
    <workbookView xWindow="-5010" yWindow="-20460" windowWidth="28800" windowHeight="15225"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<sst xmlns="http://schemas.openxmlformats.org/spreadsheetml/2006/main" count="510" uniqueCount="352">
  <si>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</si>
  <si>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</si>
  <si>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</si>
  <si>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</si>
  <si>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</si>
  <si>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</si>
  <si>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</si>
  <si>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</si>
  <si>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</si>
  <si>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</si>
  <si>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</si>
  <si>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</si>
  <si>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</si>
  <si>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</si>
  <si>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</si>
  <si>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</si>
  <si>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</si>
  <si>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</si>
  <si>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</si>
  <si>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</si>
  <si>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</si>
  <si>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</si>
  <si>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</si>
  <si>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</si>
  <si>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</si>
  <si>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</si>
  <si>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</si>
  <si>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</si>
  <si>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</si>
  <si>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</si>
  <si>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</si>
  <si>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</si>
  <si>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</si>
  <si>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</si>
  <si>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</si>
  <si>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</si>
  <si>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</si>
  <si>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</si>
  <si>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</si>
  <si>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</si>
  <si>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</si>
  <si>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</si>
  <si>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</si>
  <si>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</si>
  <si>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</si>
  <si>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</si>
  <si>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</si>
  <si>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</si>
  <si>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</si>
  <si>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</si>
  <si>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</si>
  <si>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</si>
  <si>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</si>
  <si>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</si>
  <si>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</si>
  <si>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</si>
  <si>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</si>
  <si>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</si>
  <si>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</si>
  <si>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</si>
  <si>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</si>
  <si>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</si>
  <si>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</si>
  <si>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</si>
  <si>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</si>
  <si>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</si>
  <si>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</si>
  <si>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</si>
  <si>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</si>
  <si>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</si>
  <si>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</si>
  <si>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</si>
  <si>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</si>
  <si>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</si>
  <si>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</si>
  <si>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</si>
  <si>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</si>
  <si>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</si>
  <si>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</si>
  <si>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</si>
  <si>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</si>
  <si>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</si>
  <si>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</si>
  <si>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</si>
  <si>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</si>
  <si>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</si>
  <si>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</si>
  <si>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</si>
  <si>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</si>
  <si>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</si>
  <si>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</si>
  <si>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</si>
  <si>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</si>
  <si>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</si>
  <si>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</si>
  <si>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</si>
  <si>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</si>
  <si>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</si>
  <si>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</si>
  <si>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</si>
  <si>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</si>
  <si>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</si>
  <si>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</si>
  <si>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</si>
  <si>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</si>
  <si>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</si>
  <si>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</si>
  <si>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</si>
  <si>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</si>
  <si>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</si>
  <si>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</si>
  <si>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</si>
  <si>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</si>
  <si>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</si>
  <si>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</si>
  <si>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</si>
  <si>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</si>
  <si>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</si>
  <si>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</si>
  <si>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</si>
  <si>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</si>
  <si>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</si>
  <si>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</si>
  <si>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</si>
  <si>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</si>
  <si>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</si>
  <si>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</si>
  <si>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</si>
  <si>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</si>
  <si>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</si>
  <si>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</si>
  <si>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</si>
  <si>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</si>
  <si>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</si>
  <si>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</si>
  <si>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</si>
  <si>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</si>
  <si>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</si>
  <si>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</si>
  <si>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</si>
  <si>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</si>
  <si>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</si>
  <si>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</si>
  <si>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</si>
  <si>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</si>
  <si>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</si>
  <si>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</si>
  <si>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</si>
  <si>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</si>
  <si>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</si>
  <si>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</si>
  <si>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</si>
  <si>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</si>
  <si>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</si>
  <si>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</si>
  <si>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</si>
  <si>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</si>
  <si>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</si>
  <si>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</si>
  <si>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</si>
  <si>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</si>
  <si>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</si>
  <si>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</si>
  <si>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</si>
  <si>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</si>
  <si>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</si>
  <si>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</si>
  <si>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</si>
  <si>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</si>
  <si>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</si>
  <si>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</si>
  <si>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</si>
  <si>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</si>
  <si>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</si>
  <si>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</si>
  <si>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</si>
  <si>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</si>
  <si>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</si>
  <si>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</si>
  <si>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</si>
  <si>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</si>
  <si>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</si>
  <si>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</si>
  <si>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</si>
  <si>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</si>
  <si>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</si>
  <si>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</si>
  <si>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</si>
  <si>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</si>
  <si>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</si>
  <si>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</si>
  <si>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</si>
  <si>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</si>
  <si>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</si>
  <si>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</si>
  <si>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</si>
  <si>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</si>
  <si>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</si>
  <si>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</si>
  <si>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</si>
  <si>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</si>
  <si>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</si>
  <si>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</si>
  <si>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</si>
  <si>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</si>
  <si>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</si>
  <si>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</si>
  <si>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</si>
  <si>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</si>
  <si>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</si>
  <si>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</si>
  <si>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</si>
  <si>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</si>
  <si>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</si>
  <si>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</si>
  <si>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</si>
  <si>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</si>
  <si>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</si>
  <si>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</si>
  <si>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</si>
  <si>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</si>
  <si>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</si>
  <si>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</si>
  <si>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</si>
  <si>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</si>
  <si>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</si>
  <si>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</si>
  <si>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</si>
  <si>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</si>
  <si>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</si>
  <si>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</si>
  <si>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</si>
  <si>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</si>
  <si>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</si>
  <si>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</si>
  <si>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</si>
  <si>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</si>
  <si>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</si>
  <si>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</si>
  <si>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</si>
  <si>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</si>
  <si>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</si>
  <si>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</si>
  <si>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</si>
  <si>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</si>
  <si>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</si>
  <si>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</si>
  <si>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</si>
  <si>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</si>
  <si>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</si>
  <si>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</si>
  <si>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</si>
  <si>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</si>
  <si>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</si>
  <si>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</si>
  <si>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</si>
  <si>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</si>
  <si>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</si>
  <si>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</si>
  <si>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</si>
  <si>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</si>
  <si>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</si>
  <si>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</si>
  <si>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</si>
  <si>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</si>
  <si>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</si>
  <si>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</si>
  <si>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</si>
  <si>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</si>
  <si>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</si>
  <si>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</si>
  <si>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</si>
  <si>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</si>
  <si>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</si>
  <si>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</si>
  <si>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</si>
  <si>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</si>
  <si>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</si>
  <si>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</si>
  <si>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</si>
  <si>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</si>
  <si>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</si>
  <si>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</si>
  <si>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</si>
  <si>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</si>
  <si>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</si>
  <si>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</si>
  <si>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</si>
  <si>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</si>
  <si>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</si>
  <si>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</si>
  <si>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</si>
  <si>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</si>
  <si>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</si>
  <si>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</si>
  <si>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</si>
  <si>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</si>
  <si>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</si>
  <si>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</si>
  <si>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</si>
  <si>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</si>
  <si>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</si>
  <si>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</si>
  <si>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</si>
  <si>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</si>
  <si>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</si>
  <si>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</si>
  <si>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</si>
  <si>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</si>
  <si>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</si>
  <si>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</si>
  <si>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</si>
  <si>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</si>
  <si>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</si>
  <si>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</si>
  <si>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</si>
  <si>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</si>
  <si>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</si>
  <si>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</si>
  <si>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</si>
  <si>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</si>
  <si>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</si>
  <si>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</si>
  <si>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</si>
  <si>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</si>
  <si>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</si>
  <si>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</si>
  <si>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</si>
  <si>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</si>
  <si>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</si>
  <si>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</si>
  <si>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</si>
  <si>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</si>
  <si>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</si>
  <si>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</si>
  <si>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</si>
  <si>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</si>
  <si>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</si>
  <si>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</si>
  <si>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</si>
  <si>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</si>
  <si>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t>Reviewed and revised HKMA Information Request List. Liaised and coordinated with internal teams.</t>
  </si>
  <si>
    <t>Call with HKMA case officer on information request list and FPS project queries</t>
  </si>
  <si>
    <t>Internal updates regarding FPS project</t>
  </si>
  <si>
    <t>Call with C Chu on FPS project</t>
  </si>
  <si>
    <t>Call with PwC on stablecoin-related information</t>
  </si>
  <si>
    <t>Reviewed and revised Airbnb agreement</t>
  </si>
  <si>
    <t>Call with Steph Li on Airbnb agreement</t>
  </si>
  <si>
    <t>Liaised with C. Tsiang and prepared WPHK submission for CTD breakthrough awards</t>
  </si>
  <si>
    <t>CTD annual meeting</t>
  </si>
  <si>
    <t>Corporate legal team offsite</t>
  </si>
  <si>
    <r>
      <t>Date: 2025</t>
    </r>
    <r>
      <rPr>
        <b/>
        <sz val="10"/>
        <color theme="0"/>
        <rFont val="等线"/>
        <charset val="134"/>
      </rPr>
      <t>-11-17 - 2025-11-23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</si>
</sst>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9">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B1" zoomScaleNormal="100" workbookViewId="0">
      <selection activeCell="I3" sqref="I3"/>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351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9">
      <c r="B6" s="8" t="s">
        <v>340</v>
      </c>
      <c r="C6" s="9" t="s">
        <v>22</v>
      </c>
      <c r="D6" s="10" t="s">
        <v>55</v>
      </c>
      <c r="E6" s="10" t="s">
        <v>30</v>
      </c>
      <c r="F6" s="9" t="s">
        <v>339</v>
      </c>
      <c r="G6" s="11">
        <v>8</v>
      </c>
      <c r="H6" s="9" t="s">
        <v>73</v>
      </c>
      <c r="I6" s="16" t="s">
        <v>341</v>
      </c>
    </row>
    <row r="7" spans="1:9" s="2" customFormat="1" ht="26">
      <c r="B7" s="8" t="s">
        <v>340</v>
      </c>
      <c r="C7" s="9" t="s">
        <v>22</v>
      </c>
      <c r="D7" s="10" t="s">
        <v>55</v>
      </c>
      <c r="E7" s="10" t="s">
        <v>30</v>
      </c>
      <c r="F7" s="9" t="s">
        <v>326</v>
      </c>
      <c r="G7" s="11">
        <v>3</v>
      </c>
      <c r="H7" s="9" t="s">
        <v>79</v>
      </c>
      <c r="I7" s="16" t="s">
        <v>342</v>
      </c>
    </row>
    <row r="8" spans="1:9" s="2" customFormat="1" ht="26">
      <c r="B8" s="8" t="s">
        <v>340</v>
      </c>
      <c r="C8" s="9" t="s">
        <v>22</v>
      </c>
      <c r="D8" s="10" t="s">
        <v>55</v>
      </c>
      <c r="E8" s="10" t="s">
        <v>30</v>
      </c>
      <c r="F8" s="9" t="s">
        <v>326</v>
      </c>
      <c r="G8" s="11">
        <v>2</v>
      </c>
      <c r="H8" s="9" t="s">
        <v>27</v>
      </c>
      <c r="I8" s="16" t="s">
        <v>343</v>
      </c>
    </row>
    <row r="9" spans="1:9" s="2" customFormat="1" ht="26">
      <c r="B9" s="8" t="s">
        <v>340</v>
      </c>
      <c r="C9" s="9" t="s">
        <v>22</v>
      </c>
      <c r="D9" s="10" t="s">
        <v>55</v>
      </c>
      <c r="E9" s="10" t="s">
        <v>30</v>
      </c>
      <c r="F9" s="9" t="s">
        <v>326</v>
      </c>
      <c r="G9" s="11">
        <v>0.5</v>
      </c>
      <c r="H9" s="9" t="s">
        <v>27</v>
      </c>
      <c r="I9" s="16" t="s">
        <v>344</v>
      </c>
    </row>
    <row r="10" spans="1:9" s="2" customFormat="1" ht="26">
      <c r="B10" s="8" t="s">
        <v>340</v>
      </c>
      <c r="C10" s="9" t="s">
        <v>22</v>
      </c>
      <c r="D10" s="10" t="s">
        <v>55</v>
      </c>
      <c r="E10" s="10" t="s">
        <v>30</v>
      </c>
      <c r="F10" s="9" t="s">
        <v>326</v>
      </c>
      <c r="G10" s="11">
        <v>1.5</v>
      </c>
      <c r="H10" s="9" t="s">
        <v>27</v>
      </c>
      <c r="I10" s="16" t="s">
        <v>345</v>
      </c>
    </row>
    <row r="11" spans="1:9" s="2" customFormat="1" ht="26">
      <c r="B11" s="8" t="s">
        <v>340</v>
      </c>
      <c r="C11" s="9" t="s">
        <v>22</v>
      </c>
      <c r="D11" s="10" t="s">
        <v>55</v>
      </c>
      <c r="E11" s="10" t="s">
        <v>30</v>
      </c>
      <c r="F11" s="9" t="s">
        <v>326</v>
      </c>
      <c r="G11" s="11">
        <v>2</v>
      </c>
      <c r="H11" s="9" t="s">
        <v>73</v>
      </c>
      <c r="I11" s="16" t="s">
        <v>346</v>
      </c>
    </row>
    <row r="12" spans="1:9" s="2" customFormat="1" ht="26">
      <c r="B12" s="8" t="s">
        <v>340</v>
      </c>
      <c r="C12" s="9" t="s">
        <v>22</v>
      </c>
      <c r="D12" s="10" t="s">
        <v>55</v>
      </c>
      <c r="E12" s="10" t="s">
        <v>30</v>
      </c>
      <c r="F12" s="9" t="s">
        <v>326</v>
      </c>
      <c r="G12" s="11">
        <v>0.6</v>
      </c>
      <c r="H12" s="9" t="s">
        <v>27</v>
      </c>
      <c r="I12" s="16" t="s">
        <v>347</v>
      </c>
    </row>
    <row r="13" spans="1:9" s="2" customFormat="1" ht="26">
      <c r="B13" s="8" t="s">
        <v>340</v>
      </c>
      <c r="C13" s="9" t="s">
        <v>22</v>
      </c>
      <c r="D13" s="10" t="s">
        <v>55</v>
      </c>
      <c r="E13" s="10" t="s">
        <v>30</v>
      </c>
      <c r="F13" s="9" t="s">
        <v>326</v>
      </c>
      <c r="G13" s="11">
        <v>0.5</v>
      </c>
      <c r="H13" s="9" t="s">
        <v>27</v>
      </c>
      <c r="I13" s="16" t="s">
        <v>348</v>
      </c>
    </row>
    <row r="14" spans="1:9" s="2" customFormat="1" ht="13">
      <c r="B14" s="8" t="s">
        <v>340</v>
      </c>
      <c r="C14" s="9" t="s">
        <v>28</v>
      </c>
      <c r="D14" s="10" t="s">
        <v>31</v>
      </c>
      <c r="E14" s="10" t="s">
        <v>33</v>
      </c>
      <c r="F14" s="9" t="s">
        <v>35</v>
      </c>
      <c r="G14" s="11">
        <v>16</v>
      </c>
      <c r="H14" s="9" t="s">
        <v>21</v>
      </c>
      <c r="I14" s="16" t="s">
        <v>349</v>
      </c>
    </row>
    <row r="15" spans="1:9" s="2" customFormat="1" ht="13">
      <c r="B15" s="8" t="s">
        <v>340</v>
      </c>
      <c r="C15" s="9" t="s">
        <v>28</v>
      </c>
      <c r="D15" s="10" t="s">
        <v>31</v>
      </c>
      <c r="E15" s="10" t="s">
        <v>33</v>
      </c>
      <c r="F15" s="9" t="s">
        <v>35</v>
      </c>
      <c r="G15" s="11">
        <v>16</v>
      </c>
      <c r="H15" s="9" t="s">
        <v>21</v>
      </c>
      <c r="I15" s="16" t="s">
        <v>350</v>
      </c>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4.5" customHeight="1" thickBot="1">
      <c r="B27" s="81" t="s">
        <v>32</v>
      </c>
      <c r="C27" s="82"/>
      <c r="D27" s="83"/>
      <c r="E27" s="12"/>
      <c r="F27" s="12"/>
      <c r="G27" s="84">
        <f>SUM(G6:G26)</f>
        <v>50.1</v>
      </c>
      <c r="H27" s="85"/>
      <c r="I27" s="86"/>
    </row>
    <row r="30" spans="2:9">
      <c r="B30" s="17" t="s">
        <v>81</v>
      </c>
      <c r="C30" s="18" t="s">
        <v>331</v>
      </c>
      <c r="D30" s="75"/>
    </row>
    <row r="31" spans="2:9">
      <c r="C31" s="18" t="s">
        <v>332</v>
      </c>
      <c r="D31" s="76"/>
    </row>
  </sheetData>
  <mergeCells count="4">
    <mergeCell ref="B1:I1"/>
    <mergeCell ref="B2:H2"/>
    <mergeCell ref="B27:D27"/>
    <mergeCell ref="G27:I27"/>
  </mergeCells>
  <phoneticPr fontId="10" type="noConversion"/>
  <dataValidations count="2">
    <dataValidation type="list" allowBlank="1" showInputMessage="1" showErrorMessage="1" sqref="F6:F26" xr:uid="{00000000-0002-0000-0000-000002000000}">
      <formula1>INDIRECT($E6)</formula1>
    </dataValidation>
    <dataValidation type="list" allowBlank="1" showInputMessage="1" showErrorMessage="1" sqref="H6:H26"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D6:D26</xm:sqref>
        </x14:dataValidation>
        <x14:dataValidation type="list" errorStyle="warning" allowBlank="1" xr:uid="{00000000-0002-0000-0000-000003000000}">
          <x14:formula1>
            <xm:f>'Exhibit I - Virtual Group'!$A$1:$A$7</xm:f>
          </x14:formula1>
          <xm:sqref>C6:C26</xm:sqref>
        </x14:dataValidation>
        <x14:dataValidation type="list" allowBlank="1" showInputMessage="1" showErrorMessage="1" xr:uid="{00000000-0002-0000-0000-000007000000}">
          <x14:formula1>
            <xm:f>Tag!$B$2:$E$2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108.5" outlineLevel="1">
      <c r="C5" s="21" t="s">
        <v>100</v>
      </c>
      <c r="D5" s="109" t="s">
        <v>101</v>
      </c>
      <c r="E5" s="102"/>
      <c r="F5" s="22" t="s">
        <v>102</v>
      </c>
      <c r="G5" s="21" t="s">
        <v>103</v>
      </c>
      <c r="H5" s="21" t="s">
        <v>104</v>
      </c>
      <c r="I5" s="21" t="s">
        <v>105</v>
      </c>
      <c r="J5" s="21" t="s">
        <v>106</v>
      </c>
      <c r="K5" s="110" t="s">
        <v>107</v>
      </c>
      <c r="L5" s="110"/>
      <c r="M5" s="110"/>
      <c r="N5" s="110"/>
    </row>
    <row r="6" spans="2:14" s="23" customFormat="1" ht="186"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48"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310"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108.5"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23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41"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5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2025-12-01T09:13:02Z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