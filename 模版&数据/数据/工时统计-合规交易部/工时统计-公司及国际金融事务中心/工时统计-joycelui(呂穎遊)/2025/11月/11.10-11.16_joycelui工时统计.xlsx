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D9763A9B-EE27-4874-A61A-BB3E55D921D7}" xr6:coauthVersionLast="47" xr6:coauthVersionMax="47" xr10:uidLastSave="{00000000-0000-0000-0000-000000000000}"/>
  <bookViews>
    <workbookView xWindow="-3990" yWindow="-19440" windowWidth="28800" windowHeight="15225"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<sst xmlns="http://schemas.openxmlformats.org/spreadsheetml/2006/main" count="490" uniqueCount="350">
  <si>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</si>
  <si>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</si>
  <si>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</si>
  <si>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</si>
  <si>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</si>
  <si>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</si>
  <si>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</si>
  <si>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</si>
  <si>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</si>
  <si>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</si>
  <si>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</si>
  <si>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</si>
  <si>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</si>
  <si>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</si>
  <si>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</si>
  <si>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</si>
  <si>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</si>
  <si>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</si>
  <si>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</si>
  <si>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</si>
  <si>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</si>
  <si>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</si>
  <si>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</si>
  <si>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</si>
  <si>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</si>
  <si>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</si>
  <si>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</si>
  <si>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</si>
  <si>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</si>
  <si>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</si>
  <si>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</si>
  <si>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</si>
  <si>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</si>
  <si>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</si>
  <si>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</si>
  <si>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</si>
  <si>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</si>
  <si>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</si>
  <si>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</si>
  <si>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</si>
  <si>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</si>
  <si>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</si>
  <si>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</si>
  <si>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</si>
  <si>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</si>
  <si>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</si>
  <si>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</si>
  <si>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</si>
  <si>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</si>
  <si>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</si>
  <si>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</si>
  <si>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</si>
  <si>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</si>
  <si>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</si>
  <si>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</si>
  <si>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</si>
  <si>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</si>
  <si>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</si>
  <si>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</si>
  <si>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</si>
  <si>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</si>
  <si>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</si>
  <si>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</si>
  <si>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</si>
  <si>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</si>
  <si>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</si>
  <si>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</si>
  <si>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</si>
  <si>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</si>
  <si>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</si>
  <si>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</si>
  <si>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</si>
  <si>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</si>
  <si>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</si>
  <si>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</si>
  <si>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</si>
  <si>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</si>
  <si>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</si>
  <si>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</si>
  <si>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</si>
  <si>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</si>
  <si>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</si>
  <si>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</si>
  <si>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</si>
  <si>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</si>
  <si>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</si>
  <si>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</si>
  <si>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</si>
  <si>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</si>
  <si>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</si>
  <si>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</si>
  <si>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</si>
  <si>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</si>
  <si>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</si>
  <si>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</si>
  <si>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</si>
  <si>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</si>
  <si>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</si>
  <si>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</si>
  <si>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</si>
  <si>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</si>
  <si>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</si>
  <si>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</si>
  <si>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</si>
  <si>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</si>
  <si>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</si>
  <si>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</si>
  <si>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</si>
  <si>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</si>
  <si>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</si>
  <si>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</si>
  <si>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</si>
  <si>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</si>
  <si>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</si>
  <si>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</si>
  <si>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</si>
  <si>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</si>
  <si>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</si>
  <si>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</si>
  <si>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</si>
  <si>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</si>
  <si>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</si>
  <si>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</si>
  <si>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</si>
  <si>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</si>
  <si>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</si>
  <si>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</si>
  <si>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</si>
  <si>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</si>
  <si>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</si>
  <si>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</si>
  <si>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</si>
  <si>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</si>
  <si>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</si>
  <si>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</si>
  <si>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</si>
  <si>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</si>
  <si>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</si>
  <si>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</si>
  <si>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</si>
  <si>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</si>
  <si>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</si>
  <si>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</si>
  <si>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</si>
  <si>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</si>
  <si>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</si>
  <si>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</si>
  <si>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</si>
  <si>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</si>
  <si>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</si>
  <si>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</si>
  <si>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</si>
  <si>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</si>
  <si>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</si>
  <si>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</si>
  <si>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</si>
  <si>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</si>
  <si>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</si>
  <si>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</si>
  <si>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</si>
  <si>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</si>
  <si>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</si>
  <si>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</si>
  <si>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</si>
  <si>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</si>
  <si>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</si>
  <si>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</si>
  <si>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</si>
  <si>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</si>
  <si>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</si>
  <si>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</si>
  <si>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</si>
  <si>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</si>
  <si>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</si>
  <si>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</si>
  <si>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</si>
  <si>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</si>
  <si>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</si>
  <si>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</si>
  <si>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</si>
  <si>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</si>
  <si>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</si>
  <si>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</si>
  <si>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</si>
  <si>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</si>
  <si>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</si>
  <si>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</si>
  <si>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</si>
  <si>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</si>
  <si>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</si>
  <si>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</si>
  <si>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</si>
  <si>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</si>
  <si>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</si>
  <si>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</si>
  <si>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</si>
  <si>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</si>
  <si>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</si>
  <si>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</si>
  <si>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</si>
  <si>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</si>
  <si>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</si>
  <si>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</si>
  <si>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</si>
  <si>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</si>
  <si>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</si>
  <si>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</si>
  <si>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</si>
  <si>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</si>
  <si>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</si>
  <si>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</si>
  <si>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</si>
  <si>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</si>
  <si>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</si>
  <si>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</si>
  <si>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</si>
  <si>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</si>
  <si>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</si>
  <si>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</si>
  <si>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</si>
  <si>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</si>
  <si>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</si>
  <si>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</si>
  <si>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</si>
  <si>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</si>
  <si>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</si>
  <si>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</si>
  <si>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</si>
  <si>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</si>
  <si>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</si>
  <si>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</si>
  <si>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</si>
  <si>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</si>
  <si>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</si>
  <si>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</si>
  <si>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</si>
  <si>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</si>
  <si>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</si>
  <si>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</si>
  <si>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</si>
  <si>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</si>
  <si>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</si>
  <si>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</si>
  <si>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</si>
  <si>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</si>
  <si>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</si>
  <si>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</si>
  <si>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</si>
  <si>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</si>
  <si>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</si>
  <si>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</si>
  <si>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</si>
  <si>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</si>
  <si>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</si>
  <si>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</si>
  <si>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</si>
  <si>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</si>
  <si>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</si>
  <si>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</si>
  <si>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</si>
  <si>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</si>
  <si>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</si>
  <si>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</si>
  <si>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</si>
  <si>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</si>
  <si>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</si>
  <si>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</si>
  <si>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</si>
  <si>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</si>
  <si>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</si>
  <si>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</si>
  <si>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</si>
  <si>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</si>
  <si>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</si>
  <si>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</si>
  <si>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</si>
  <si>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</si>
  <si>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</si>
  <si>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</si>
  <si>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</si>
  <si>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</si>
  <si>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</si>
  <si>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</si>
  <si>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</si>
  <si>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</si>
  <si>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</si>
  <si>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</si>
  <si>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</si>
  <si>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</si>
  <si>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</si>
  <si>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</si>
  <si>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</si>
  <si>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</si>
  <si>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</si>
  <si>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</si>
  <si>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</si>
  <si>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</si>
  <si>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</si>
  <si>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</si>
  <si>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</si>
  <si>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</si>
  <si>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</si>
  <si>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</si>
  <si>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</si>
  <si>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</si>
  <si>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</si>
  <si>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</si>
  <si>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</si>
  <si>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</si>
  <si>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</si>
  <si>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</si>
  <si>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</si>
  <si>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</si>
  <si>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</si>
  <si>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</si>
  <si>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</si>
  <si>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</si>
  <si>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</si>
  <si>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</si>
  <si>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</si>
  <si>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</si>
  <si>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</si>
  <si>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</si>
  <si>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</si>
  <si>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</si>
  <si>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</si>
  <si>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</si>
  <si>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</si>
  <si>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</si>
  <si>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</si>
  <si>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</si>
  <si>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</si>
  <si>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</si>
  <si>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</si>
  <si>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</si>
  <si>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</si>
  <si>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</si>
  <si>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</si>
  <si>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</si>
  <si>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</si>
  <si>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</si>
  <si>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11-12 Nov 2025 (SL); 14 Nov (AL)</t>
  </si>
  <si>
    <t>Reviewed and revised Apple agreement. Discussion with S. Chan on finalisation.</t>
  </si>
  <si>
    <t>Prepared timesheets for November</t>
  </si>
  <si>
    <t>Discussion with C Wan of CFT, reviewed participating rules and operating rules for PPW collaboration</t>
  </si>
  <si>
    <t>Reviewed and revised FPS materials for submission.</t>
  </si>
  <si>
    <t>Liaisons with HKMA case officer on FPS projejct.</t>
  </si>
  <si>
    <t>Reviewed and revised Airbnb direct merchant supplementary agreement</t>
  </si>
  <si>
    <t>Internal coordination and completion of HKMA information request list</t>
  </si>
  <si>
    <r>
      <t>Date: 2025</t>
    </r>
    <r>
      <rPr>
        <b/>
        <sz val="10"/>
        <color theme="0"/>
        <rFont val="等线"/>
        <charset val="134"/>
      </rPr>
      <t>-11-10 - 2025-11-16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</si>
</sst>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B1" zoomScaleNormal="100" workbookViewId="0">
      <selection activeCell="E5" sqref="E5"/>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22</v>
      </c>
      <c r="D6" s="10" t="s">
        <v>55</v>
      </c>
      <c r="E6" s="10" t="s">
        <v>30</v>
      </c>
      <c r="F6" s="9" t="s">
        <v>326</v>
      </c>
      <c r="G6" s="11">
        <v>2.5</v>
      </c>
      <c r="H6" s="9" t="s">
        <v>73</v>
      </c>
      <c r="I6" s="16" t="s">
        <v>342</v>
      </c>
    </row>
    <row r="7" spans="1:9" s="2" customFormat="1" ht="26">
      <c r="B7" s="8" t="s">
        <v>340</v>
      </c>
      <c r="C7" s="9" t="s">
        <v>28</v>
      </c>
      <c r="D7" s="10" t="s">
        <v>31</v>
      </c>
      <c r="E7" s="10" t="s">
        <v>33</v>
      </c>
      <c r="F7" s="9" t="s">
        <v>39</v>
      </c>
      <c r="G7" s="11">
        <v>0.8</v>
      </c>
      <c r="H7" s="9" t="s">
        <v>31</v>
      </c>
      <c r="I7" s="16" t="s">
        <v>343</v>
      </c>
    </row>
    <row r="8" spans="1:9" s="2" customFormat="1" ht="26">
      <c r="B8" s="8" t="s">
        <v>340</v>
      </c>
      <c r="C8" s="9" t="s">
        <v>22</v>
      </c>
      <c r="D8" s="10" t="s">
        <v>55</v>
      </c>
      <c r="E8" s="10" t="s">
        <v>30</v>
      </c>
      <c r="F8" s="9" t="s">
        <v>326</v>
      </c>
      <c r="G8" s="11">
        <v>2</v>
      </c>
      <c r="H8" s="9" t="s">
        <v>27</v>
      </c>
      <c r="I8" s="16" t="s">
        <v>344</v>
      </c>
    </row>
    <row r="9" spans="1:9" s="2" customFormat="1" ht="26">
      <c r="B9" s="8" t="s">
        <v>340</v>
      </c>
      <c r="C9" s="9" t="s">
        <v>22</v>
      </c>
      <c r="D9" s="10" t="s">
        <v>55</v>
      </c>
      <c r="E9" s="10" t="s">
        <v>30</v>
      </c>
      <c r="F9" s="9" t="s">
        <v>326</v>
      </c>
      <c r="G9" s="11">
        <v>4</v>
      </c>
      <c r="H9" s="9" t="s">
        <v>73</v>
      </c>
      <c r="I9" s="16" t="s">
        <v>345</v>
      </c>
    </row>
    <row r="10" spans="1:9" s="2" customFormat="1" ht="26">
      <c r="B10" s="8" t="s">
        <v>340</v>
      </c>
      <c r="C10" s="9" t="s">
        <v>22</v>
      </c>
      <c r="D10" s="10" t="s">
        <v>55</v>
      </c>
      <c r="E10" s="10" t="s">
        <v>30</v>
      </c>
      <c r="F10" s="9" t="s">
        <v>326</v>
      </c>
      <c r="G10" s="11">
        <v>0.8</v>
      </c>
      <c r="H10" s="9" t="s">
        <v>79</v>
      </c>
      <c r="I10" s="16" t="s">
        <v>346</v>
      </c>
    </row>
    <row r="11" spans="1:9" s="2" customFormat="1" ht="26">
      <c r="B11" s="8" t="s">
        <v>340</v>
      </c>
      <c r="C11" s="9" t="s">
        <v>22</v>
      </c>
      <c r="D11" s="10" t="s">
        <v>55</v>
      </c>
      <c r="E11" s="10" t="s">
        <v>30</v>
      </c>
      <c r="F11" s="9" t="s">
        <v>326</v>
      </c>
      <c r="G11" s="11">
        <v>2</v>
      </c>
      <c r="H11" s="9" t="s">
        <v>73</v>
      </c>
      <c r="I11" s="16" t="s">
        <v>347</v>
      </c>
    </row>
    <row r="12" spans="1:9" s="2" customFormat="1" ht="26">
      <c r="B12" s="8" t="s">
        <v>340</v>
      </c>
      <c r="C12" s="9" t="s">
        <v>22</v>
      </c>
      <c r="D12" s="10" t="s">
        <v>55</v>
      </c>
      <c r="E12" s="10" t="s">
        <v>30</v>
      </c>
      <c r="F12" s="9" t="s">
        <v>326</v>
      </c>
      <c r="G12" s="11">
        <v>1.5</v>
      </c>
      <c r="H12" s="9" t="s">
        <v>27</v>
      </c>
      <c r="I12" s="16" t="s">
        <v>348</v>
      </c>
    </row>
    <row r="13" spans="1:9" s="2" customFormat="1" ht="13">
      <c r="B13" s="8"/>
      <c r="C13" s="9"/>
      <c r="D13" s="10"/>
      <c r="E13" s="10"/>
      <c r="F13" s="9"/>
      <c r="G13" s="11"/>
      <c r="H13" s="9"/>
      <c r="I13" s="16"/>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4.5" customHeight="1" thickBot="1">
      <c r="B27" s="81" t="s">
        <v>32</v>
      </c>
      <c r="C27" s="82"/>
      <c r="D27" s="83"/>
      <c r="E27" s="12"/>
      <c r="F27" s="12"/>
      <c r="G27" s="84">
        <f>SUM(G6:G26)</f>
        <v>13.600000000000001</v>
      </c>
      <c r="H27" s="85"/>
      <c r="I27" s="86"/>
    </row>
    <row r="30" spans="2:9">
      <c r="B30" s="17" t="s">
        <v>81</v>
      </c>
      <c r="C30" s="18" t="s">
        <v>331</v>
      </c>
      <c r="D30" s="75" t="s">
        <v>341</v>
      </c>
    </row>
    <row r="31" spans="2:9">
      <c r="C31" s="18" t="s">
        <v>332</v>
      </c>
      <c r="D31" s="76"/>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186"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48"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310"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23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41"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5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2025-12-01T09:14:51Z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