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3D7A0DBC-40E6-4068-A7FE-82F9E39A6CE1}" xr6:coauthVersionLast="47" xr6:coauthVersionMax="47" xr10:uidLastSave="{00000000-0000-0000-0000-000000000000}"/>
  <bookViews>
    <workbookView xWindow="-10180" yWindow="-21710" windowWidth="38620" windowHeight="211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<sst xmlns="http://schemas.openxmlformats.org/spreadsheetml/2006/main" count="519" uniqueCount="354">
  <si>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</si>
  <si>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</si>
  <si>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</si>
  <si>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</si>
  <si>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</si>
  <si>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</si>
  <si>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</si>
  <si>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</si>
  <si>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</si>
  <si>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</si>
  <si>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</si>
  <si>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</si>
  <si>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</si>
  <si>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</si>
  <si>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</si>
  <si>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</si>
  <si>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</si>
  <si>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</si>
  <si>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</si>
  <si>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</si>
  <si>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</si>
  <si>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</si>
  <si>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</si>
  <si>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</si>
  <si>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</si>
  <si>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</si>
  <si>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</si>
  <si>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</si>
  <si>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</si>
  <si>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</si>
  <si>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</si>
  <si>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</si>
  <si>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</si>
  <si>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</si>
  <si>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</si>
  <si>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</si>
  <si>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</si>
  <si>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</si>
  <si>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</si>
  <si>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</si>
  <si>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</si>
  <si>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</si>
  <si>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</si>
  <si>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</si>
  <si>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</si>
  <si>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</si>
  <si>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</si>
  <si>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</si>
  <si>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</si>
  <si>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</si>
  <si>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</si>
  <si>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</si>
  <si>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</si>
  <si>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</si>
  <si>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</si>
  <si>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</si>
  <si>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</si>
  <si>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</si>
  <si>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</si>
  <si>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</si>
  <si>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</si>
  <si>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</si>
  <si>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</si>
  <si>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</si>
  <si>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</si>
  <si>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</si>
  <si>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</si>
  <si>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</si>
  <si>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</si>
  <si>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</si>
  <si>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</si>
  <si>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</si>
  <si>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</si>
  <si>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</si>
  <si>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</si>
  <si>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</si>
  <si>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</si>
  <si>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</si>
  <si>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</si>
  <si>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</si>
  <si>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</si>
  <si>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</si>
  <si>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</si>
  <si>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</si>
  <si>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</si>
  <si>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</si>
  <si>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</si>
  <si>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</si>
  <si>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</si>
  <si>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</si>
  <si>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</si>
  <si>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</si>
  <si>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</si>
  <si>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</si>
  <si>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</si>
  <si>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</si>
  <si>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</si>
  <si>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</si>
  <si>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</si>
  <si>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</si>
  <si>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</si>
  <si>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</si>
  <si>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</si>
  <si>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</si>
  <si>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</si>
  <si>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</si>
  <si>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</si>
  <si>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</si>
  <si>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</si>
  <si>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</si>
  <si>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</si>
  <si>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</si>
  <si>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</si>
  <si>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</si>
  <si>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</si>
  <si>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</si>
  <si>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</si>
  <si>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</si>
  <si>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</si>
  <si>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</si>
  <si>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</si>
  <si>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</si>
  <si>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</si>
  <si>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</si>
  <si>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</si>
  <si>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</si>
  <si>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</si>
  <si>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</si>
  <si>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</si>
  <si>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</si>
  <si>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</si>
  <si>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</si>
  <si>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</si>
  <si>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</si>
  <si>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</si>
  <si>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</si>
  <si>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</si>
  <si>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</si>
  <si>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</si>
  <si>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</si>
  <si>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</si>
  <si>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</si>
  <si>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</si>
  <si>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</si>
  <si>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</si>
  <si>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</si>
  <si>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</si>
  <si>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</si>
  <si>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</si>
  <si>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</si>
  <si>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</si>
  <si>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</si>
  <si>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</si>
  <si>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</si>
  <si>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</si>
  <si>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</si>
  <si>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</si>
  <si>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</si>
  <si>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</si>
  <si>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</si>
  <si>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</si>
  <si>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</si>
  <si>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</si>
  <si>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</si>
  <si>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</si>
  <si>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</si>
  <si>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</si>
  <si>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</si>
  <si>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</si>
  <si>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</si>
  <si>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</si>
  <si>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</si>
  <si>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</si>
  <si>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</si>
  <si>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</si>
  <si>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</si>
  <si>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</si>
  <si>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</si>
  <si>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</si>
  <si>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</si>
  <si>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</si>
  <si>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</si>
  <si>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</si>
  <si>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</si>
  <si>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</si>
  <si>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</si>
  <si>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</si>
  <si>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</si>
  <si>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</si>
  <si>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</si>
  <si>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</si>
  <si>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</si>
  <si>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</si>
  <si>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</si>
  <si>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</si>
  <si>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</si>
  <si>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</si>
  <si>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</si>
  <si>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</si>
  <si>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</si>
  <si>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</si>
  <si>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</si>
  <si>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</si>
  <si>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</si>
  <si>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</si>
  <si>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</si>
  <si>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</si>
  <si>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</si>
  <si>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</si>
  <si>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</si>
  <si>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</si>
  <si>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</si>
  <si>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</si>
  <si>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</si>
  <si>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</si>
  <si>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</si>
  <si>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</si>
  <si>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</si>
  <si>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</si>
  <si>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</si>
  <si>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</si>
  <si>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</si>
  <si>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</si>
  <si>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</si>
  <si>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</si>
  <si>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</si>
  <si>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</si>
  <si>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</si>
  <si>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</si>
  <si>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</si>
  <si>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</si>
  <si>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</si>
  <si>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</si>
  <si>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</si>
  <si>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</si>
  <si>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</si>
  <si>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</si>
  <si>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</si>
  <si>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</si>
  <si>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</si>
  <si>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</si>
  <si>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</si>
  <si>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</si>
  <si>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</si>
  <si>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</si>
  <si>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</si>
  <si>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</si>
  <si>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</si>
  <si>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</si>
  <si>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</si>
  <si>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</si>
  <si>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</si>
  <si>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</si>
  <si>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</si>
  <si>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</si>
  <si>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</si>
  <si>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</si>
  <si>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</si>
  <si>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</si>
  <si>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</si>
  <si>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</si>
  <si>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</si>
  <si>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</si>
  <si>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</si>
  <si>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</si>
  <si>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</si>
  <si>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</si>
  <si>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</si>
  <si>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</si>
  <si>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</si>
  <si>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</si>
  <si>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</si>
  <si>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</si>
  <si>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</si>
  <si>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</si>
  <si>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</si>
  <si>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</si>
  <si>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</si>
  <si>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</si>
  <si>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</si>
  <si>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</si>
  <si>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</si>
  <si>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</si>
  <si>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</si>
  <si>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</si>
  <si>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</si>
  <si>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</si>
  <si>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</si>
  <si>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</si>
  <si>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</si>
  <si>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</si>
  <si>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</si>
  <si>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</si>
  <si>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</si>
  <si>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</si>
  <si>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</si>
  <si>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</si>
  <si>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</si>
  <si>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</si>
  <si>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</si>
  <si>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</si>
  <si>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</si>
  <si>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</si>
  <si>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</si>
  <si>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</si>
  <si>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</si>
  <si>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</si>
  <si>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</si>
  <si>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</si>
  <si>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</si>
  <si>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</si>
  <si>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</si>
  <si>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</si>
  <si>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</si>
  <si>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</si>
  <si>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</si>
  <si>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</si>
  <si>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</si>
  <si>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</si>
  <si>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</si>
  <si>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</si>
  <si>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</si>
  <si>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</si>
  <si>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</si>
  <si>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</si>
  <si>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</si>
  <si>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</si>
  <si>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</si>
  <si>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</si>
  <si>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</si>
  <si>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</si>
  <si>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</si>
  <si>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</si>
  <si>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</si>
  <si>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</si>
  <si>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</si>
  <si>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</si>
  <si>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</si>
  <si>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</si>
  <si>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</si>
  <si>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t>
  </si>
  <si>
    <t>joycelui</t>
  </si>
  <si>
    <t>Futu Stablecoin - call and MOU review</t>
  </si>
  <si>
    <t xml:space="preserve">Reviewed Tenpay MJA </t>
  </si>
  <si>
    <t>Call on WPHK audit results and next steps</t>
  </si>
  <si>
    <t>Call on Finance baseline provisions. Internal discussions.</t>
  </si>
  <si>
    <t xml:space="preserve">Jiabao letter - review and discussion on next steps with Business team. </t>
  </si>
  <si>
    <t>JPM Account opening agreements - discussion with Finance team and review of additional information sent across by JPM.</t>
  </si>
  <si>
    <t>Internal discussions and review of Sanctions/AML team's proposal regarding the Risk Data Monitoring System.</t>
  </si>
  <si>
    <t>Reviewed Finance comments to CCBA Host-to-Host Agreement. Discussion with BD.</t>
  </si>
  <si>
    <t xml:space="preserve">Reviewed Thredd agreement. Internal discussions with counsel and BD team. </t>
  </si>
  <si>
    <t>Reviewed and revised GenAI Chatbot Terms and Conditions</t>
  </si>
  <si>
    <t>Drafted JBC Triparty supplement for Tenpay expansion</t>
  </si>
  <si>
    <r>
      <t>Date: 2025</t>
    </r>
    <r>
      <rPr>
        <b/>
        <sz val="10"/>
        <color theme="0"/>
        <rFont val="等线"/>
        <charset val="134"/>
      </rPr>
      <t xml:space="preserve">-06-23 </t>
    </r>
    <r>
      <rPr>
        <b/>
        <sz val="10"/>
        <color theme="0"/>
        <rFont val="新細明體"/>
        <family val="1"/>
        <charset val="136"/>
      </rPr>
      <t xml:space="preserve">- </t>
    </r>
    <r>
      <rPr>
        <b/>
        <sz val="10"/>
        <color theme="0"/>
        <rFont val="Calibri"/>
        <family val="2"/>
        <scheme val="minor"/>
      </rPr>
      <t>2025-06-29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</si>
</sst>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115" zoomScaleNormal="115" workbookViewId="0">
      <selection activeCell="I3" sqref="I3"/>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6" t="s">
        <v>0</v>
      </c>
      <c r="C1" s="77"/>
      <c r="D1" s="77"/>
      <c r="E1" s="77"/>
      <c r="F1" s="77"/>
      <c r="G1" s="77"/>
      <c r="H1" s="77"/>
      <c r="I1" s="77"/>
    </row>
    <row r="2" spans="1:9" ht="15.5">
      <c r="B2" s="78"/>
      <c r="C2" s="79"/>
      <c r="D2" s="79"/>
      <c r="E2" s="79"/>
      <c r="F2" s="79"/>
      <c r="G2" s="79"/>
      <c r="H2" s="79"/>
      <c r="I2" s="13" t="s">
        <v>353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9">
      <c r="B6" s="8" t="s">
        <v>341</v>
      </c>
      <c r="C6" s="9" t="s">
        <v>22</v>
      </c>
      <c r="D6" s="10" t="s">
        <v>55</v>
      </c>
      <c r="E6" s="10" t="s">
        <v>30</v>
      </c>
      <c r="F6" s="9" t="s">
        <v>339</v>
      </c>
      <c r="G6" s="11">
        <v>1.5</v>
      </c>
      <c r="H6" s="9" t="s">
        <v>73</v>
      </c>
      <c r="I6" s="16" t="s">
        <v>350</v>
      </c>
    </row>
    <row r="7" spans="1:9" s="2" customFormat="1" ht="39">
      <c r="B7" s="8" t="s">
        <v>341</v>
      </c>
      <c r="C7" s="9" t="s">
        <v>22</v>
      </c>
      <c r="D7" s="10" t="s">
        <v>55</v>
      </c>
      <c r="E7" s="10" t="s">
        <v>30</v>
      </c>
      <c r="F7" s="9" t="s">
        <v>339</v>
      </c>
      <c r="G7" s="11">
        <v>4.5</v>
      </c>
      <c r="H7" s="9" t="s">
        <v>73</v>
      </c>
      <c r="I7" s="16" t="s">
        <v>351</v>
      </c>
    </row>
    <row r="8" spans="1:9" s="2" customFormat="1" ht="39">
      <c r="B8" s="8" t="s">
        <v>341</v>
      </c>
      <c r="C8" s="9" t="s">
        <v>22</v>
      </c>
      <c r="D8" s="10" t="s">
        <v>55</v>
      </c>
      <c r="E8" s="10" t="s">
        <v>30</v>
      </c>
      <c r="F8" s="9" t="s">
        <v>339</v>
      </c>
      <c r="G8" s="11">
        <v>4</v>
      </c>
      <c r="H8" s="9" t="s">
        <v>73</v>
      </c>
      <c r="I8" s="16" t="s">
        <v>347</v>
      </c>
    </row>
    <row r="9" spans="1:9" s="2" customFormat="1" ht="39">
      <c r="B9" s="8" t="s">
        <v>341</v>
      </c>
      <c r="C9" s="9" t="s">
        <v>22</v>
      </c>
      <c r="D9" s="10" t="s">
        <v>55</v>
      </c>
      <c r="E9" s="10" t="s">
        <v>30</v>
      </c>
      <c r="F9" s="9" t="s">
        <v>339</v>
      </c>
      <c r="G9" s="11">
        <v>8</v>
      </c>
      <c r="H9" s="9" t="s">
        <v>27</v>
      </c>
      <c r="I9" s="16" t="s">
        <v>348</v>
      </c>
    </row>
    <row r="10" spans="1:9" s="2" customFormat="1" ht="39">
      <c r="B10" s="8" t="s">
        <v>341</v>
      </c>
      <c r="C10" s="9" t="s">
        <v>22</v>
      </c>
      <c r="D10" s="10" t="s">
        <v>55</v>
      </c>
      <c r="E10" s="10" t="s">
        <v>30</v>
      </c>
      <c r="F10" s="9" t="s">
        <v>339</v>
      </c>
      <c r="G10" s="11">
        <v>3.5</v>
      </c>
      <c r="H10" s="9" t="s">
        <v>73</v>
      </c>
      <c r="I10" s="16" t="s">
        <v>342</v>
      </c>
    </row>
    <row r="11" spans="1:9" s="2" customFormat="1" ht="39">
      <c r="B11" s="8" t="s">
        <v>341</v>
      </c>
      <c r="C11" s="9" t="s">
        <v>22</v>
      </c>
      <c r="D11" s="10" t="s">
        <v>55</v>
      </c>
      <c r="E11" s="10" t="s">
        <v>30</v>
      </c>
      <c r="F11" s="9" t="s">
        <v>339</v>
      </c>
      <c r="G11" s="11">
        <v>4</v>
      </c>
      <c r="H11" s="9" t="s">
        <v>73</v>
      </c>
      <c r="I11" s="16" t="s">
        <v>352</v>
      </c>
    </row>
    <row r="12" spans="1:9" s="2" customFormat="1" ht="39">
      <c r="B12" s="8" t="s">
        <v>341</v>
      </c>
      <c r="C12" s="9" t="s">
        <v>22</v>
      </c>
      <c r="D12" s="10" t="s">
        <v>55</v>
      </c>
      <c r="E12" s="10" t="s">
        <v>30</v>
      </c>
      <c r="F12" s="9" t="s">
        <v>339</v>
      </c>
      <c r="G12" s="11">
        <v>1</v>
      </c>
      <c r="H12" s="9" t="s">
        <v>73</v>
      </c>
      <c r="I12" s="16" t="s">
        <v>349</v>
      </c>
    </row>
    <row r="13" spans="1:9" s="2" customFormat="1" ht="39">
      <c r="B13" s="8" t="s">
        <v>341</v>
      </c>
      <c r="C13" s="9" t="s">
        <v>22</v>
      </c>
      <c r="D13" s="10" t="s">
        <v>55</v>
      </c>
      <c r="E13" s="10" t="s">
        <v>30</v>
      </c>
      <c r="F13" s="9" t="s">
        <v>339</v>
      </c>
      <c r="G13" s="11">
        <v>1.5</v>
      </c>
      <c r="H13" s="9" t="s">
        <v>27</v>
      </c>
      <c r="I13" s="16" t="s">
        <v>343</v>
      </c>
    </row>
    <row r="14" spans="1:9" s="2" customFormat="1" ht="39">
      <c r="B14" s="8" t="s">
        <v>341</v>
      </c>
      <c r="C14" s="9" t="s">
        <v>22</v>
      </c>
      <c r="D14" s="10" t="s">
        <v>55</v>
      </c>
      <c r="E14" s="10" t="s">
        <v>30</v>
      </c>
      <c r="F14" s="9" t="s">
        <v>339</v>
      </c>
      <c r="G14" s="11">
        <v>1</v>
      </c>
      <c r="H14" s="9" t="s">
        <v>27</v>
      </c>
      <c r="I14" s="16" t="s">
        <v>345</v>
      </c>
    </row>
    <row r="15" spans="1:9" s="2" customFormat="1" ht="39">
      <c r="B15" s="8" t="s">
        <v>341</v>
      </c>
      <c r="C15" s="9" t="s">
        <v>22</v>
      </c>
      <c r="D15" s="10" t="s">
        <v>55</v>
      </c>
      <c r="E15" s="10" t="s">
        <v>30</v>
      </c>
      <c r="F15" s="9" t="s">
        <v>339</v>
      </c>
      <c r="G15" s="11">
        <v>1</v>
      </c>
      <c r="H15" s="9" t="s">
        <v>27</v>
      </c>
      <c r="I15" s="16" t="s">
        <v>344</v>
      </c>
    </row>
    <row r="16" spans="1:9" s="2" customFormat="1" ht="39">
      <c r="B16" s="8" t="s">
        <v>341</v>
      </c>
      <c r="C16" s="9" t="s">
        <v>22</v>
      </c>
      <c r="D16" s="10" t="s">
        <v>55</v>
      </c>
      <c r="E16" s="10" t="s">
        <v>30</v>
      </c>
      <c r="F16" s="9" t="s">
        <v>339</v>
      </c>
      <c r="G16" s="11">
        <v>1</v>
      </c>
      <c r="H16" s="9" t="s">
        <v>73</v>
      </c>
      <c r="I16" s="16" t="s">
        <v>346</v>
      </c>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3">
      <c r="B30" s="8"/>
      <c r="C30" s="9"/>
      <c r="D30" s="10"/>
      <c r="E30" s="10"/>
      <c r="F30" s="9"/>
      <c r="G30" s="11"/>
      <c r="H30" s="9"/>
      <c r="I30" s="16"/>
    </row>
    <row r="31" spans="2:9" s="2" customFormat="1" ht="13">
      <c r="B31" s="8"/>
      <c r="C31" s="9"/>
      <c r="D31" s="10"/>
      <c r="E31" s="10"/>
      <c r="F31" s="9"/>
      <c r="G31" s="11"/>
      <c r="H31" s="9"/>
      <c r="I31" s="16"/>
    </row>
    <row r="32" spans="2:9" s="2" customFormat="1" ht="13">
      <c r="B32" s="8"/>
      <c r="C32" s="9"/>
      <c r="D32" s="10"/>
      <c r="E32" s="10"/>
      <c r="F32" s="9"/>
      <c r="G32" s="11"/>
      <c r="H32" s="9"/>
      <c r="I32" s="16"/>
    </row>
    <row r="33" spans="2:9" s="2" customFormat="1" ht="13">
      <c r="B33" s="8"/>
      <c r="C33" s="9"/>
      <c r="D33" s="10"/>
      <c r="E33" s="10"/>
      <c r="F33" s="9"/>
      <c r="G33" s="11"/>
      <c r="H33" s="9"/>
      <c r="I33" s="16"/>
    </row>
    <row r="34" spans="2:9" s="2" customFormat="1" ht="13">
      <c r="B34" s="8"/>
      <c r="C34" s="9"/>
      <c r="D34" s="10"/>
      <c r="E34" s="10"/>
      <c r="F34" s="9"/>
      <c r="G34" s="11"/>
      <c r="H34" s="9"/>
      <c r="I34" s="16"/>
    </row>
    <row r="35" spans="2:9" s="2" customFormat="1" ht="14.5" customHeight="1">
      <c r="B35" s="80" t="s">
        <v>32</v>
      </c>
      <c r="C35" s="81"/>
      <c r="D35" s="82"/>
      <c r="E35" s="12"/>
      <c r="F35" s="12"/>
      <c r="G35" s="83">
        <f>SUM(G6:G34)</f>
        <v>31</v>
      </c>
      <c r="H35" s="84"/>
      <c r="I35" s="85"/>
    </row>
    <row r="38" spans="2:9">
      <c r="B38" s="17" t="s">
        <v>81</v>
      </c>
      <c r="C38" s="18" t="s">
        <v>331</v>
      </c>
      <c r="D38" s="75" t="s">
        <v>340</v>
      </c>
    </row>
    <row r="39" spans="2:9">
      <c r="C39" s="18" t="s">
        <v>332</v>
      </c>
      <c r="D39" t="s">
        <v>340</v>
      </c>
    </row>
  </sheetData>
  <mergeCells count="4">
    <mergeCell ref="B1:I1"/>
    <mergeCell ref="B2:H2"/>
    <mergeCell ref="B35:D35"/>
    <mergeCell ref="G35:I35"/>
  </mergeCells>
  <phoneticPr fontId="10" type="noConversion"/>
  <dataValidations count="3">
    <dataValidation type="list" errorStyle="warning" allowBlank="1" sqref="C1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D6:D34</xm:sqref>
        </x14:dataValidation>
        <x14:dataValidation type="list" errorStyle="warning" allowBlank="1" xr:uid="{00000000-0002-0000-0000-000003000000}">
          <x14:formula1>
            <xm:f>'Exhibit I - Virtual Group'!$A$1:$A$7</xm:f>
          </x14:formula1>
          <xm:sqref>C6:C17</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93" outlineLevel="1">
      <c r="C5" s="21" t="s">
        <v>100</v>
      </c>
      <c r="D5" s="108" t="s">
        <v>101</v>
      </c>
      <c r="E5" s="101"/>
      <c r="F5" s="22" t="s">
        <v>102</v>
      </c>
      <c r="G5" s="21" t="s">
        <v>103</v>
      </c>
      <c r="H5" s="21" t="s">
        <v>104</v>
      </c>
      <c r="I5" s="21" t="s">
        <v>105</v>
      </c>
      <c r="J5" s="21" t="s">
        <v>106</v>
      </c>
      <c r="K5" s="109" t="s">
        <v>107</v>
      </c>
      <c r="L5" s="109"/>
      <c r="M5" s="109"/>
      <c r="N5" s="109"/>
    </row>
    <row r="6" spans="2:14" s="23" customFormat="1" ht="186"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48"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10"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8.5"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2.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41"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WPHK Legal</cp:lastModifiedBy>
  <dcterms:created xsi:type="dcterms:W3CDTF">2024-05-07T02:03:00Z</dcterms:created>
  <dcterms:modified xsi:type="dcterms:W3CDTF">2025-07-02T09:46:46Z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