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22C461AF-C9DF-4E20-8B9B-6A4D4BA67A74}"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<sst xmlns="http://schemas.openxmlformats.org/spreadsheetml/2006/main" count="476" uniqueCount="348">
  <si>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</si>
  <si>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</si>
  <si>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</si>
  <si>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</si>
  <si>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</si>
  <si>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</si>
  <si>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</si>
  <si>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</si>
  <si>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</si>
  <si>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</si>
  <si>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</si>
  <si>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</si>
  <si>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</si>
  <si>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</si>
  <si>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</si>
  <si>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</si>
  <si>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</si>
  <si>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</si>
  <si>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</si>
  <si>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</si>
  <si>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</si>
  <si>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</si>
  <si>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</si>
  <si>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</si>
  <si>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</si>
  <si>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</si>
  <si>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</si>
  <si>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</si>
  <si>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</si>
  <si>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</si>
  <si>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</si>
  <si>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</si>
  <si>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</si>
  <si>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</si>
  <si>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</si>
  <si>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</si>
  <si>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</si>
  <si>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</si>
  <si>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</si>
  <si>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</si>
  <si>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</si>
  <si>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</si>
  <si>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</si>
  <si>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</si>
  <si>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</si>
  <si>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</si>
  <si>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</si>
  <si>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</si>
  <si>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</si>
  <si>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</si>
  <si>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</si>
  <si>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</si>
  <si>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</si>
  <si>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</si>
  <si>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</si>
  <si>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</si>
  <si>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</si>
  <si>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</si>
  <si>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</si>
  <si>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</si>
  <si>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</si>
  <si>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</si>
  <si>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</si>
  <si>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</si>
  <si>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</si>
  <si>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</si>
  <si>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</si>
  <si>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</si>
  <si>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</si>
  <si>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</si>
  <si>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</si>
  <si>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</si>
  <si>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</si>
  <si>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</si>
  <si>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</si>
  <si>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</si>
  <si>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</si>
  <si>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</si>
  <si>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</si>
  <si>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</si>
  <si>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</si>
  <si>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</si>
  <si>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</si>
  <si>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</si>
  <si>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</si>
  <si>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</si>
  <si>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</si>
  <si>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</si>
  <si>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</si>
  <si>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</si>
  <si>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</si>
  <si>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</si>
  <si>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</si>
  <si>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</si>
  <si>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</si>
  <si>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</si>
  <si>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</si>
  <si>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</si>
  <si>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</si>
  <si>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</si>
  <si>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</si>
  <si>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</si>
  <si>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</si>
  <si>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</si>
  <si>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</si>
  <si>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</si>
  <si>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</si>
  <si>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</si>
  <si>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</si>
  <si>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</si>
  <si>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</si>
  <si>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</si>
  <si>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</si>
  <si>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</si>
  <si>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</si>
  <si>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</si>
  <si>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</si>
  <si>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</si>
  <si>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</si>
  <si>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</si>
  <si>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</si>
  <si>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</si>
  <si>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</si>
  <si>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</si>
  <si>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</si>
  <si>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</si>
  <si>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</si>
  <si>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</si>
  <si>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</si>
  <si>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</si>
  <si>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</si>
  <si>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</si>
  <si>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</si>
  <si>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</si>
  <si>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</si>
  <si>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</si>
  <si>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</si>
  <si>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</si>
  <si>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</si>
  <si>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</si>
  <si>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</si>
  <si>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</si>
  <si>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</si>
  <si>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</si>
  <si>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</si>
  <si>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</si>
  <si>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</si>
  <si>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</si>
  <si>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</si>
  <si>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</si>
  <si>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</si>
  <si>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</si>
  <si>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</si>
  <si>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</si>
  <si>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</si>
  <si>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</si>
  <si>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</si>
  <si>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</si>
  <si>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</si>
  <si>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</si>
  <si>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</si>
  <si>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</si>
  <si>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</si>
  <si>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</si>
  <si>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</si>
  <si>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</si>
  <si>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</si>
  <si>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</si>
  <si>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</si>
  <si>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</si>
  <si>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</si>
  <si>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</si>
  <si>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</si>
  <si>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</si>
  <si>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</si>
  <si>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</si>
  <si>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</si>
  <si>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</si>
  <si>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</si>
  <si>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</si>
  <si>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</si>
  <si>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</si>
  <si>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</si>
  <si>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</si>
  <si>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</si>
  <si>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</si>
  <si>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</si>
  <si>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</si>
  <si>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</si>
  <si>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</si>
  <si>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</si>
  <si>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</si>
  <si>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</si>
  <si>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</si>
  <si>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</si>
  <si>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</si>
  <si>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</si>
  <si>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</si>
  <si>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</si>
  <si>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</si>
  <si>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</si>
  <si>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</si>
  <si>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</si>
  <si>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</si>
  <si>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</si>
  <si>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</si>
  <si>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</si>
  <si>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</si>
  <si>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</si>
  <si>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</si>
  <si>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</si>
  <si>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</si>
  <si>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</si>
  <si>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</si>
  <si>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</si>
  <si>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</si>
  <si>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</si>
  <si>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</si>
  <si>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</si>
  <si>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</si>
  <si>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</si>
  <si>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</si>
  <si>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</si>
  <si>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</si>
  <si>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</si>
  <si>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</si>
  <si>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</si>
  <si>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</si>
  <si>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</si>
  <si>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</si>
  <si>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</si>
  <si>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</si>
  <si>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</si>
  <si>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</si>
  <si>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</si>
  <si>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</si>
  <si>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</si>
  <si>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</si>
  <si>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</si>
  <si>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</si>
  <si>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</si>
  <si>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</si>
  <si>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</si>
  <si>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</si>
  <si>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</si>
  <si>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</si>
  <si>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</si>
  <si>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</si>
  <si>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</si>
  <si>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</si>
  <si>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</si>
  <si>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</si>
  <si>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</si>
  <si>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</si>
  <si>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</si>
  <si>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</si>
  <si>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</si>
  <si>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</si>
  <si>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</si>
  <si>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</si>
  <si>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</si>
  <si>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</si>
  <si>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</si>
  <si>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</si>
  <si>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</si>
  <si>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</si>
  <si>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</si>
  <si>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</si>
  <si>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</si>
  <si>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</si>
  <si>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</si>
  <si>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</si>
  <si>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</si>
  <si>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</si>
  <si>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</si>
  <si>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</si>
  <si>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</si>
  <si>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</si>
  <si>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</si>
  <si>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</si>
  <si>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</si>
  <si>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</si>
  <si>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</si>
  <si>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</si>
  <si>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</si>
  <si>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</si>
  <si>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</si>
  <si>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</si>
  <si>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</si>
  <si>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</si>
  <si>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</si>
  <si>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</si>
  <si>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</si>
  <si>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</si>
  <si>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</si>
  <si>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</si>
  <si>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</si>
  <si>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</si>
  <si>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</si>
  <si>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</si>
  <si>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</si>
  <si>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</si>
  <si>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</si>
  <si>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</si>
  <si>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</si>
  <si>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</si>
  <si>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</si>
  <si>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</si>
  <si>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</si>
  <si>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</si>
  <si>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</si>
  <si>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</si>
  <si>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</si>
  <si>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</si>
  <si>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</si>
  <si>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</si>
  <si>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</si>
  <si>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</si>
  <si>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</si>
  <si>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</si>
  <si>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</si>
  <si>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</si>
  <si>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</si>
  <si>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</si>
  <si>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</si>
  <si>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</si>
  <si>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</si>
  <si>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</si>
  <si>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</si>
  <si>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</si>
  <si>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</si>
  <si>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</si>
  <si>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</si>
  <si>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</si>
  <si>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</si>
  <si>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</si>
  <si>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</si>
  <si>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</si>
  <si>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</si>
  <si>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</si>
  <si>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</si>
  <si>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02/10 and 03/10</t>
  </si>
  <si>
    <r>
      <t>Date: 2025</t>
    </r>
    <r>
      <rPr>
        <b/>
        <sz val="10"/>
        <color theme="0"/>
        <rFont val="等线"/>
        <charset val="134"/>
      </rPr>
      <t>-09-29 - 2025-10-05</t>
    </r>
  </si>
  <si>
    <t>Preparation ahead of call with HKMA case officer regarding FPS project. Call with HKMA case officer.</t>
  </si>
  <si>
    <t>Reviewed and finalised FPS project product proposal.</t>
  </si>
  <si>
    <t>Internal discussions regarding PPW supplementary agreement.</t>
  </si>
  <si>
    <t>Internal discussions regarding signing of letter of engagement with PwC.</t>
  </si>
  <si>
    <t>Reviewed draft T&amp;Cs for tax refund project. Internal discussions with Product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</si>
</sst>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zoomScale="70" zoomScaleNormal="70" workbookViewId="0">
      <selection activeCell="F16" sqref="F16"/>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22</v>
      </c>
      <c r="D6" s="10" t="s">
        <v>55</v>
      </c>
      <c r="E6" s="10" t="s">
        <v>30</v>
      </c>
      <c r="F6" s="9" t="s">
        <v>326</v>
      </c>
      <c r="G6" s="11">
        <v>2.5</v>
      </c>
      <c r="H6" s="9" t="s">
        <v>79</v>
      </c>
      <c r="I6" s="16" t="s">
        <v>343</v>
      </c>
    </row>
    <row r="7" spans="1:9" s="2" customFormat="1" ht="26">
      <c r="B7" s="8" t="s">
        <v>340</v>
      </c>
      <c r="C7" s="9" t="s">
        <v>22</v>
      </c>
      <c r="D7" s="10" t="s">
        <v>55</v>
      </c>
      <c r="E7" s="10" t="s">
        <v>30</v>
      </c>
      <c r="F7" s="9" t="s">
        <v>326</v>
      </c>
      <c r="G7" s="11">
        <v>1</v>
      </c>
      <c r="H7" s="9" t="s">
        <v>73</v>
      </c>
      <c r="I7" s="16" t="s">
        <v>344</v>
      </c>
    </row>
    <row r="8" spans="1:9" s="2" customFormat="1" ht="26">
      <c r="B8" s="8" t="s">
        <v>340</v>
      </c>
      <c r="C8" s="9" t="s">
        <v>22</v>
      </c>
      <c r="D8" s="10" t="s">
        <v>55</v>
      </c>
      <c r="E8" s="10" t="s">
        <v>30</v>
      </c>
      <c r="F8" s="9" t="s">
        <v>326</v>
      </c>
      <c r="G8" s="11">
        <v>1</v>
      </c>
      <c r="H8" s="9" t="s">
        <v>27</v>
      </c>
      <c r="I8" s="16" t="s">
        <v>345</v>
      </c>
    </row>
    <row r="9" spans="1:9" s="2" customFormat="1" ht="26">
      <c r="B9" s="8" t="s">
        <v>340</v>
      </c>
      <c r="C9" s="9" t="s">
        <v>22</v>
      </c>
      <c r="D9" s="10" t="s">
        <v>55</v>
      </c>
      <c r="E9" s="10" t="s">
        <v>30</v>
      </c>
      <c r="F9" s="9" t="s">
        <v>326</v>
      </c>
      <c r="G9" s="11">
        <v>3</v>
      </c>
      <c r="H9" s="9" t="s">
        <v>73</v>
      </c>
      <c r="I9" s="16" t="s">
        <v>347</v>
      </c>
    </row>
    <row r="10" spans="1:9" s="2" customFormat="1" ht="65">
      <c r="B10" s="8" t="s">
        <v>340</v>
      </c>
      <c r="C10" s="9" t="s">
        <v>22</v>
      </c>
      <c r="D10" s="10" t="s">
        <v>18</v>
      </c>
      <c r="E10" s="10" t="s">
        <v>30</v>
      </c>
      <c r="F10" s="9" t="s">
        <v>333</v>
      </c>
      <c r="G10" s="11">
        <v>0.5</v>
      </c>
      <c r="H10" s="9" t="s">
        <v>27</v>
      </c>
      <c r="I10" s="16" t="s">
        <v>346</v>
      </c>
    </row>
    <row r="11" spans="1:9" s="2" customFormat="1" ht="13">
      <c r="B11" s="8"/>
      <c r="C11" s="9"/>
      <c r="D11" s="10"/>
      <c r="E11" s="10"/>
      <c r="F11" s="9"/>
      <c r="G11" s="11"/>
      <c r="H11" s="9"/>
      <c r="I11" s="16"/>
    </row>
    <row r="12" spans="1:9" s="2" customFormat="1" ht="13">
      <c r="B12" s="8"/>
      <c r="C12" s="9"/>
      <c r="D12" s="10"/>
      <c r="E12" s="10"/>
      <c r="F12" s="9"/>
      <c r="G12" s="11"/>
      <c r="H12" s="9"/>
      <c r="I12" s="16"/>
    </row>
    <row r="13" spans="1:9" s="2" customFormat="1" ht="13">
      <c r="B13" s="8"/>
      <c r="C13" s="9"/>
      <c r="D13" s="10"/>
      <c r="E13" s="10"/>
      <c r="F13" s="9"/>
      <c r="G13" s="11"/>
      <c r="H13" s="9"/>
      <c r="I13" s="16"/>
    </row>
    <row r="14" spans="1:9" s="2" customFormat="1" ht="14.5" customHeight="1" thickBot="1">
      <c r="B14" s="81" t="s">
        <v>32</v>
      </c>
      <c r="C14" s="82"/>
      <c r="D14" s="83"/>
      <c r="E14" s="12"/>
      <c r="F14" s="12"/>
      <c r="G14" s="84">
        <f>SUM(G6:G13)</f>
        <v>8</v>
      </c>
      <c r="H14" s="85"/>
      <c r="I14" s="86"/>
    </row>
    <row r="17" spans="2:4">
      <c r="B17" s="17" t="s">
        <v>81</v>
      </c>
      <c r="C17" s="18" t="s">
        <v>331</v>
      </c>
      <c r="D17" s="75" t="s">
        <v>341</v>
      </c>
    </row>
    <row r="18" spans="2:4">
      <c r="C18" s="18" t="s">
        <v>332</v>
      </c>
      <c r="D18" s="76">
        <v>45931</v>
      </c>
    </row>
  </sheetData>
  <mergeCells count="4">
    <mergeCell ref="B1:I1"/>
    <mergeCell ref="B2:H2"/>
    <mergeCell ref="B14:D14"/>
    <mergeCell ref="G14:I14"/>
  </mergeCells>
  <phoneticPr fontId="10" type="noConversion"/>
  <dataValidations count="2">
    <dataValidation type="list" allowBlank="1" showInputMessage="1" showErrorMessage="1" sqref="F6:F10 F11:F13" xr:uid="{00000000-0002-0000-0000-000002000000}">
      <formula1>INDIRECT($E6)</formula1>
    </dataValidation>
    <dataValidation type="list" allowBlank="1" showInputMessage="1" showErrorMessage="1" sqref="H6:H10 H11:H1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D6:D13</xm:sqref>
        </x14:dataValidation>
        <x14:dataValidation type="list" errorStyle="warning" allowBlank="1" xr:uid="{00000000-0002-0000-0000-000003000000}">
          <x14:formula1>
            <xm:f>'Exhibit I - Virtual Group'!$A$1:$A$7</xm:f>
          </x14:formula1>
          <xm:sqref>C6:C13</xm:sqref>
        </x14:dataValidation>
        <x14:dataValidation type="list" allowBlank="1" showInputMessage="1" showErrorMessage="1" xr:uid="{00000000-0002-0000-0000-000007000000}">
          <x14:formula1>
            <xm:f>Tag!$B$2:$E$2</xm:f>
          </x14:formula1>
          <xm:sqref>E6:E13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2025-10-14T03:33:43Z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