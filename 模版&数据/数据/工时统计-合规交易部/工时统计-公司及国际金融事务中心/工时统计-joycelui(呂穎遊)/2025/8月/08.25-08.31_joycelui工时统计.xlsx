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DC159213-6527-44BC-B94E-DEED69BF5BD0}" xr6:coauthVersionLast="47" xr6:coauthVersionMax="47" xr10:uidLastSave="{00000000-0000-0000-0000-000000000000}"/>
  <bookViews>
    <workbookView xWindow="-10180" yWindow="-21710" windowWidth="38620" windowHeight="211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<sst xmlns="http://schemas.openxmlformats.org/spreadsheetml/2006/main" count="546" uniqueCount="358">
  <si>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</si>
  <si>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</si>
  <si>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</si>
  <si>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</si>
  <si>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</si>
  <si>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</si>
  <si>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</si>
  <si>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</si>
  <si>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</si>
  <si>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</si>
  <si>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</si>
  <si>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</si>
  <si>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</si>
  <si>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</si>
  <si>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</si>
  <si>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</si>
  <si>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</si>
  <si>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</si>
  <si>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</si>
  <si>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</si>
  <si>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</si>
  <si>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</si>
  <si>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</si>
  <si>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</si>
  <si>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</si>
  <si>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</si>
  <si>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</si>
  <si>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</si>
  <si>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</si>
  <si>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</si>
  <si>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</si>
  <si>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</si>
  <si>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</si>
  <si>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</si>
  <si>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</si>
  <si>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</si>
  <si>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</si>
  <si>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</si>
  <si>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</si>
  <si>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</si>
  <si>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</si>
  <si>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</si>
  <si>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</si>
  <si>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</si>
  <si>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</si>
  <si>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</si>
  <si>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</si>
  <si>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</si>
  <si>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</si>
  <si>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</si>
  <si>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</si>
  <si>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</si>
  <si>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</si>
  <si>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</si>
  <si>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</si>
  <si>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</si>
  <si>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</si>
  <si>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</si>
  <si>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</si>
  <si>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</si>
  <si>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</si>
  <si>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</si>
  <si>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</si>
  <si>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</si>
  <si>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</si>
  <si>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</si>
  <si>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</si>
  <si>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</si>
  <si>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</si>
  <si>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</si>
  <si>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</si>
  <si>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</si>
  <si>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</si>
  <si>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</si>
  <si>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</si>
  <si>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</si>
  <si>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</si>
  <si>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</si>
  <si>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</si>
  <si>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</si>
  <si>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</si>
  <si>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</si>
  <si>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</si>
  <si>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</si>
  <si>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</si>
  <si>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</si>
  <si>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</si>
  <si>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</si>
  <si>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</si>
  <si>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</si>
  <si>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</si>
  <si>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</si>
  <si>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</si>
  <si>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</si>
  <si>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</si>
  <si>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</si>
  <si>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</si>
  <si>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</si>
  <si>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</si>
  <si>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</si>
  <si>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</si>
  <si>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</si>
  <si>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</si>
  <si>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</si>
  <si>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</si>
  <si>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</si>
  <si>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</si>
  <si>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</si>
  <si>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</si>
  <si>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</si>
  <si>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</si>
  <si>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</si>
  <si>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</si>
  <si>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</si>
  <si>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</si>
  <si>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</si>
  <si>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</si>
  <si>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</si>
  <si>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</si>
  <si>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</si>
  <si>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</si>
  <si>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</si>
  <si>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</si>
  <si>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</si>
  <si>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</si>
  <si>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</si>
  <si>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</si>
  <si>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</si>
  <si>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</si>
  <si>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</si>
  <si>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</si>
  <si>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</si>
  <si>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</si>
  <si>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</si>
  <si>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</si>
  <si>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</si>
  <si>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</si>
  <si>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</si>
  <si>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</si>
  <si>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</si>
  <si>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</si>
  <si>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</si>
  <si>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</si>
  <si>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</si>
  <si>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</si>
  <si>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</si>
  <si>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</si>
  <si>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</si>
  <si>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</si>
  <si>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</si>
  <si>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</si>
  <si>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</si>
  <si>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</si>
  <si>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</si>
  <si>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</si>
  <si>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</si>
  <si>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</si>
  <si>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</si>
  <si>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</si>
  <si>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</si>
  <si>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</si>
  <si>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</si>
  <si>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</si>
  <si>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</si>
  <si>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</si>
  <si>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</si>
  <si>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</si>
  <si>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</si>
  <si>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</si>
  <si>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</si>
  <si>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</si>
  <si>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</si>
  <si>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</si>
  <si>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</si>
  <si>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</si>
  <si>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</si>
  <si>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</si>
  <si>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</si>
  <si>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</si>
  <si>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</si>
  <si>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</si>
  <si>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</si>
  <si>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</si>
  <si>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</si>
  <si>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</si>
  <si>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</si>
  <si>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</si>
  <si>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</si>
  <si>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</si>
  <si>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</si>
  <si>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</si>
  <si>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</si>
  <si>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</si>
  <si>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</si>
  <si>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</si>
  <si>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</si>
  <si>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</si>
  <si>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</si>
  <si>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</si>
  <si>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</si>
  <si>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</si>
  <si>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</si>
  <si>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</si>
  <si>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</si>
  <si>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</si>
  <si>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</si>
  <si>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</si>
  <si>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</si>
  <si>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</si>
  <si>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</si>
  <si>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</si>
  <si>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</si>
  <si>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</si>
  <si>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</si>
  <si>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</si>
  <si>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</si>
  <si>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</si>
  <si>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</si>
  <si>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</si>
  <si>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</si>
  <si>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</si>
  <si>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</si>
  <si>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</si>
  <si>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</si>
  <si>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</si>
  <si>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</si>
  <si>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</si>
  <si>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</si>
  <si>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</si>
  <si>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</si>
  <si>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</si>
  <si>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</si>
  <si>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</si>
  <si>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</si>
  <si>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</si>
  <si>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</si>
  <si>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</si>
  <si>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</si>
  <si>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</si>
  <si>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</si>
  <si>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</si>
  <si>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</si>
  <si>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</si>
  <si>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</si>
  <si>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</si>
  <si>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</si>
  <si>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</si>
  <si>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</si>
  <si>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</si>
  <si>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</si>
  <si>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</si>
  <si>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</si>
  <si>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</si>
  <si>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</si>
  <si>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</si>
  <si>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</si>
  <si>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</si>
  <si>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</si>
  <si>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</si>
  <si>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</si>
  <si>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</si>
  <si>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</si>
  <si>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</si>
  <si>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</si>
  <si>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</si>
  <si>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</si>
  <si>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</si>
  <si>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</si>
  <si>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</si>
  <si>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</si>
  <si>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</si>
  <si>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</si>
  <si>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</si>
  <si>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</si>
  <si>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</si>
  <si>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</si>
  <si>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</si>
  <si>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</si>
  <si>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</si>
  <si>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</si>
  <si>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</si>
  <si>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</si>
  <si>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</si>
  <si>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</si>
  <si>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</si>
  <si>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</si>
  <si>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</si>
  <si>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</si>
  <si>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</si>
  <si>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</si>
  <si>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</si>
  <si>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</si>
  <si>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</si>
  <si>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</si>
  <si>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</si>
  <si>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</si>
  <si>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</si>
  <si>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</si>
  <si>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</si>
  <si>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</si>
  <si>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</si>
  <si>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</si>
  <si>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</si>
  <si>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</si>
  <si>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</si>
  <si>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</si>
  <si>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</si>
  <si>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</si>
  <si>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</si>
  <si>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</si>
  <si>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</si>
  <si>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</si>
  <si>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</si>
  <si>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</si>
  <si>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</si>
  <si>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</si>
  <si>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</si>
  <si>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</si>
  <si>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</si>
  <si>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</si>
  <si>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</si>
  <si>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</si>
  <si>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</si>
  <si>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</si>
  <si>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</si>
  <si>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</si>
  <si>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</si>
  <si>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</si>
  <si>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</si>
  <si>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</si>
  <si>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</si>
  <si>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</si>
  <si>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</si>
  <si>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</si>
  <si>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</si>
  <si>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</si>
  <si>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</si>
  <si>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</si>
  <si>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</si>
  <si>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</si>
  <si>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</si>
  <si>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r>
      <t>Date: 2025</t>
    </r>
    <r>
      <rPr>
        <b/>
        <sz val="10"/>
        <color theme="0"/>
        <rFont val="等线"/>
        <charset val="134"/>
      </rPr>
      <t>-08-25 -2025-08-31</t>
    </r>
  </si>
  <si>
    <t>26/8/2025 - 27/8/2025 (bereavement leave)</t>
  </si>
  <si>
    <t>Legal team outing to Shenzhen and dinner social.</t>
  </si>
  <si>
    <t>PayPal World - internal discussion with product and BD teams, discussion with TPG and CFT legal teams</t>
  </si>
  <si>
    <t>Discussion with HKMA case officer on submission of FPS product proposal</t>
  </si>
  <si>
    <t>Internal discussions on FPS product proposal and HKMA feedback</t>
  </si>
  <si>
    <t>Call with B&amp;B on stablecoins regime in different jurisdictions.</t>
  </si>
  <si>
    <t xml:space="preserve">Meeting regarding updates on Project S. Internal discussions. </t>
  </si>
  <si>
    <t>JPM AML DDQ review and discussion with Z Zhou. Internal discussion with sanctions team.</t>
  </si>
  <si>
    <t>Reviewed counsel responses to MJA. Discussion with N Meng on Tenpay expansion results of multi jurisdictional analysis.</t>
  </si>
  <si>
    <t>Prepared email for transfer of client funds. Discussion with J. Lau.</t>
  </si>
  <si>
    <t>Reviewed agreement with Evotec. Discussion with F. Song.</t>
  </si>
  <si>
    <t xml:space="preserve">Prepared updated MJA risk analysis. Discussion with N Meng and R Duan. </t>
  </si>
  <si>
    <t>Call with Leo Wong on tax refund project. Reviewed proposal and considered legal issues.</t>
  </si>
  <si>
    <t>Discussion with E Byun and K Bao on NDA for Project S. Reviewed and revised draft NDA.</t>
  </si>
  <si>
    <t>Discussion with CC regarding additional queries.</t>
  </si>
  <si>
    <t>Discussion with C Chu, C Tsiang and Y He on NFC revision of product 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</si>
</sst>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zoomScale="115" zoomScaleNormal="115" workbookViewId="0">
      <selection activeCell="H19" sqref="H19"/>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22</v>
      </c>
      <c r="D6" s="10" t="s">
        <v>55</v>
      </c>
      <c r="E6" s="10" t="s">
        <v>30</v>
      </c>
      <c r="F6" s="9" t="s">
        <v>336</v>
      </c>
      <c r="G6" s="11">
        <v>2.5</v>
      </c>
      <c r="H6" s="9" t="s">
        <v>73</v>
      </c>
      <c r="I6" s="16" t="s">
        <v>349</v>
      </c>
    </row>
    <row r="7" spans="1:9" s="2" customFormat="1" ht="26">
      <c r="B7" s="8" t="s">
        <v>340</v>
      </c>
      <c r="C7" s="9" t="s">
        <v>22</v>
      </c>
      <c r="D7" s="10" t="s">
        <v>55</v>
      </c>
      <c r="E7" s="10" t="s">
        <v>30</v>
      </c>
      <c r="F7" s="9" t="s">
        <v>326</v>
      </c>
      <c r="G7" s="11">
        <v>2</v>
      </c>
      <c r="H7" s="9" t="s">
        <v>27</v>
      </c>
      <c r="I7" s="16" t="s">
        <v>344</v>
      </c>
    </row>
    <row r="8" spans="1:9" s="2" customFormat="1" ht="39">
      <c r="B8" s="8" t="s">
        <v>340</v>
      </c>
      <c r="C8" s="9" t="s">
        <v>22</v>
      </c>
      <c r="D8" s="10" t="s">
        <v>55</v>
      </c>
      <c r="E8" s="10" t="s">
        <v>30</v>
      </c>
      <c r="F8" s="9" t="s">
        <v>326</v>
      </c>
      <c r="G8" s="11">
        <v>1.5</v>
      </c>
      <c r="H8" s="9" t="s">
        <v>73</v>
      </c>
      <c r="I8" s="16" t="s">
        <v>350</v>
      </c>
    </row>
    <row r="9" spans="1:9" s="2" customFormat="1" ht="26">
      <c r="B9" s="8" t="s">
        <v>340</v>
      </c>
      <c r="C9" s="9" t="s">
        <v>22</v>
      </c>
      <c r="D9" s="10" t="s">
        <v>55</v>
      </c>
      <c r="E9" s="10" t="s">
        <v>30</v>
      </c>
      <c r="F9" s="9" t="s">
        <v>326</v>
      </c>
      <c r="G9" s="11">
        <v>0.5</v>
      </c>
      <c r="H9" s="9" t="s">
        <v>79</v>
      </c>
      <c r="I9" s="16" t="s">
        <v>345</v>
      </c>
    </row>
    <row r="10" spans="1:9" s="2" customFormat="1" ht="26">
      <c r="B10" s="8" t="s">
        <v>340</v>
      </c>
      <c r="C10" s="9" t="s">
        <v>22</v>
      </c>
      <c r="D10" s="10" t="s">
        <v>55</v>
      </c>
      <c r="E10" s="10" t="s">
        <v>30</v>
      </c>
      <c r="F10" s="9" t="s">
        <v>326</v>
      </c>
      <c r="G10" s="11">
        <v>1</v>
      </c>
      <c r="H10" s="9" t="s">
        <v>27</v>
      </c>
      <c r="I10" s="16" t="s">
        <v>346</v>
      </c>
    </row>
    <row r="11" spans="1:9" s="2" customFormat="1" ht="39">
      <c r="B11" s="8" t="s">
        <v>340</v>
      </c>
      <c r="C11" s="9" t="s">
        <v>17</v>
      </c>
      <c r="D11" s="10" t="s">
        <v>18</v>
      </c>
      <c r="E11" s="10" t="s">
        <v>30</v>
      </c>
      <c r="F11" s="9" t="s">
        <v>339</v>
      </c>
      <c r="G11" s="11">
        <v>1</v>
      </c>
      <c r="H11" s="9" t="s">
        <v>27</v>
      </c>
      <c r="I11" s="16" t="s">
        <v>347</v>
      </c>
    </row>
    <row r="12" spans="1:9" s="2" customFormat="1" ht="39">
      <c r="B12" s="8" t="s">
        <v>340</v>
      </c>
      <c r="C12" s="9" t="s">
        <v>17</v>
      </c>
      <c r="D12" s="10" t="s">
        <v>18</v>
      </c>
      <c r="E12" s="10" t="s">
        <v>30</v>
      </c>
      <c r="F12" s="9" t="s">
        <v>339</v>
      </c>
      <c r="G12" s="11">
        <v>1.5</v>
      </c>
      <c r="H12" s="9" t="s">
        <v>27</v>
      </c>
      <c r="I12" s="16" t="s">
        <v>348</v>
      </c>
    </row>
    <row r="13" spans="1:9" s="2" customFormat="1" ht="26">
      <c r="B13" s="8" t="s">
        <v>340</v>
      </c>
      <c r="C13" s="9" t="s">
        <v>22</v>
      </c>
      <c r="D13" s="10" t="s">
        <v>55</v>
      </c>
      <c r="E13" s="10" t="s">
        <v>30</v>
      </c>
      <c r="F13" s="9" t="s">
        <v>326</v>
      </c>
      <c r="G13" s="11">
        <v>1</v>
      </c>
      <c r="H13" s="9" t="s">
        <v>73</v>
      </c>
      <c r="I13" s="16" t="s">
        <v>351</v>
      </c>
    </row>
    <row r="14" spans="1:9" s="2" customFormat="1" ht="26">
      <c r="B14" s="8" t="s">
        <v>340</v>
      </c>
      <c r="C14" s="9" t="s">
        <v>22</v>
      </c>
      <c r="D14" s="10" t="s">
        <v>55</v>
      </c>
      <c r="E14" s="10" t="s">
        <v>30</v>
      </c>
      <c r="F14" s="9" t="s">
        <v>326</v>
      </c>
      <c r="G14" s="11">
        <v>1</v>
      </c>
      <c r="H14" s="9" t="s">
        <v>73</v>
      </c>
      <c r="I14" s="16" t="s">
        <v>352</v>
      </c>
    </row>
    <row r="15" spans="1:9" s="2" customFormat="1" ht="26">
      <c r="B15" s="8" t="s">
        <v>340</v>
      </c>
      <c r="C15" s="9" t="s">
        <v>22</v>
      </c>
      <c r="D15" s="10" t="s">
        <v>55</v>
      </c>
      <c r="E15" s="10" t="s">
        <v>30</v>
      </c>
      <c r="F15" s="9" t="s">
        <v>326</v>
      </c>
      <c r="G15" s="11">
        <v>1.5</v>
      </c>
      <c r="H15" s="9" t="s">
        <v>73</v>
      </c>
      <c r="I15" s="16" t="s">
        <v>353</v>
      </c>
    </row>
    <row r="16" spans="1:9" s="2" customFormat="1" ht="26">
      <c r="B16" s="8" t="s">
        <v>340</v>
      </c>
      <c r="C16" s="9" t="s">
        <v>22</v>
      </c>
      <c r="D16" s="10" t="s">
        <v>55</v>
      </c>
      <c r="E16" s="10" t="s">
        <v>30</v>
      </c>
      <c r="F16" s="9" t="s">
        <v>326</v>
      </c>
      <c r="G16" s="11">
        <v>2</v>
      </c>
      <c r="H16" s="9" t="s">
        <v>27</v>
      </c>
      <c r="I16" s="16" t="s">
        <v>354</v>
      </c>
    </row>
    <row r="17" spans="2:9" s="2" customFormat="1" ht="39">
      <c r="B17" s="8" t="s">
        <v>340</v>
      </c>
      <c r="C17" s="9" t="s">
        <v>17</v>
      </c>
      <c r="D17" s="10" t="s">
        <v>18</v>
      </c>
      <c r="E17" s="10" t="s">
        <v>30</v>
      </c>
      <c r="F17" s="9" t="s">
        <v>339</v>
      </c>
      <c r="G17" s="11">
        <v>1.5</v>
      </c>
      <c r="H17" s="9" t="s">
        <v>27</v>
      </c>
      <c r="I17" s="16" t="s">
        <v>355</v>
      </c>
    </row>
    <row r="18" spans="2:9" s="2" customFormat="1" ht="39">
      <c r="B18" s="8" t="s">
        <v>340</v>
      </c>
      <c r="C18" s="9" t="s">
        <v>17</v>
      </c>
      <c r="D18" s="10" t="s">
        <v>18</v>
      </c>
      <c r="E18" s="10" t="s">
        <v>30</v>
      </c>
      <c r="F18" s="9" t="s">
        <v>339</v>
      </c>
      <c r="G18" s="11">
        <v>1</v>
      </c>
      <c r="H18" s="9" t="s">
        <v>27</v>
      </c>
      <c r="I18" s="16" t="s">
        <v>356</v>
      </c>
    </row>
    <row r="19" spans="2:9" s="2" customFormat="1" ht="26">
      <c r="B19" s="8" t="s">
        <v>340</v>
      </c>
      <c r="C19" s="9" t="s">
        <v>22</v>
      </c>
      <c r="D19" s="10" t="s">
        <v>55</v>
      </c>
      <c r="E19" s="10" t="s">
        <v>30</v>
      </c>
      <c r="F19" s="9" t="s">
        <v>326</v>
      </c>
      <c r="G19" s="11">
        <v>1</v>
      </c>
      <c r="H19" s="9" t="s">
        <v>27</v>
      </c>
      <c r="I19" s="16" t="s">
        <v>357</v>
      </c>
    </row>
    <row r="20" spans="2:9" s="2" customFormat="1" ht="13">
      <c r="B20" s="8" t="s">
        <v>340</v>
      </c>
      <c r="C20" s="9" t="s">
        <v>28</v>
      </c>
      <c r="D20" s="10" t="s">
        <v>31</v>
      </c>
      <c r="E20" s="10" t="s">
        <v>33</v>
      </c>
      <c r="F20" s="9" t="s">
        <v>35</v>
      </c>
      <c r="G20" s="11">
        <v>7</v>
      </c>
      <c r="H20" s="9" t="s">
        <v>31</v>
      </c>
      <c r="I20" s="16" t="s">
        <v>343</v>
      </c>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4.5" customHeight="1" thickBot="1">
      <c r="B27" s="81" t="s">
        <v>32</v>
      </c>
      <c r="C27" s="82"/>
      <c r="D27" s="83"/>
      <c r="E27" s="12"/>
      <c r="F27" s="12"/>
      <c r="G27" s="84">
        <f>SUM(G6:G26)</f>
        <v>26</v>
      </c>
      <c r="H27" s="85"/>
      <c r="I27" s="86"/>
    </row>
    <row r="30" spans="2:9">
      <c r="B30" s="17" t="s">
        <v>81</v>
      </c>
      <c r="C30" s="18" t="s">
        <v>331</v>
      </c>
      <c r="D30" s="75" t="s">
        <v>342</v>
      </c>
    </row>
    <row r="31" spans="2:9">
      <c r="C31" s="18" t="s">
        <v>332</v>
      </c>
      <c r="D31" s="76"/>
    </row>
  </sheetData>
  <mergeCells count="4">
    <mergeCell ref="B1:I1"/>
    <mergeCell ref="B2:H2"/>
    <mergeCell ref="B27:D27"/>
    <mergeCell ref="G27:I27"/>
  </mergeCells>
  <phoneticPr fontId="10" type="noConversion"/>
  <dataValidations count="2">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D6:D26</xm:sqref>
        </x14:dataValidation>
        <x14:dataValidation type="list" errorStyle="warning" allowBlank="1" xr:uid="{00000000-0002-0000-0000-000003000000}">
          <x14:formula1>
            <xm:f>'Exhibit I - Virtual Group'!$A$1:$A$7</xm:f>
          </x14:formula1>
          <xm:sqref>C6:C26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93" outlineLevel="1">
      <c r="C5" s="21" t="s">
        <v>100</v>
      </c>
      <c r="D5" s="109" t="s">
        <v>101</v>
      </c>
      <c r="E5" s="102"/>
      <c r="F5" s="22" t="s">
        <v>102</v>
      </c>
      <c r="G5" s="21" t="s">
        <v>103</v>
      </c>
      <c r="H5" s="21" t="s">
        <v>104</v>
      </c>
      <c r="I5" s="21" t="s">
        <v>105</v>
      </c>
      <c r="J5" s="21" t="s">
        <v>106</v>
      </c>
      <c r="K5" s="110" t="s">
        <v>107</v>
      </c>
      <c r="L5" s="110"/>
      <c r="M5" s="110"/>
      <c r="N5" s="110"/>
    </row>
    <row r="6" spans="2:14" s="23" customFormat="1" ht="186"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48"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310"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108.5"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23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41"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5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WPHK Legal</cp:lastModifiedBy>
  <dcterms:created xsi:type="dcterms:W3CDTF">2024-05-07T02:03:00Z</dcterms:created>
  <dcterms:modified xsi:type="dcterms:W3CDTF">2025-09-01T06:30:11Z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