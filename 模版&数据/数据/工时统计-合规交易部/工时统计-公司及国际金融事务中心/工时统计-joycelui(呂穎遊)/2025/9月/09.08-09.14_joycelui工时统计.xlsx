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A5F2F8C5-EAC8-4F99-A4F8-1934DF8691F8}" xr6:coauthVersionLast="47" xr6:coauthVersionMax="47" xr10:uidLastSave="{00000000-0000-0000-0000-000000000000}"/>
  <bookViews>
    <workbookView xWindow="-10160" yWindow="-21600" windowWidth="30370" windowHeight="2097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<sst xmlns="http://schemas.openxmlformats.org/spreadsheetml/2006/main" count="531" uniqueCount="355">
  <si>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</si>
  <si>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</si>
  <si>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</si>
  <si>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</si>
  <si>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</si>
  <si>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</si>
  <si>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</si>
  <si>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</si>
  <si>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</si>
  <si>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</si>
  <si>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</si>
  <si>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</si>
  <si>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</si>
  <si>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</si>
  <si>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</si>
  <si>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</si>
  <si>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</si>
  <si>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</si>
  <si>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</si>
  <si>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</si>
  <si>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</si>
  <si>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</si>
  <si>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</si>
  <si>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</si>
  <si>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</si>
  <si>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</si>
  <si>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</si>
  <si>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</si>
  <si>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</si>
  <si>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</si>
  <si>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</si>
  <si>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</si>
  <si>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</si>
  <si>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</si>
  <si>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</si>
  <si>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</si>
  <si>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</si>
  <si>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</si>
  <si>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</si>
  <si>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</si>
  <si>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</si>
  <si>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</si>
  <si>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</si>
  <si>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</si>
  <si>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</si>
  <si>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</si>
  <si>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</si>
  <si>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</si>
  <si>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</si>
  <si>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</si>
  <si>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</si>
  <si>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</si>
  <si>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</si>
  <si>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</si>
  <si>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</si>
  <si>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</si>
  <si>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</si>
  <si>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</si>
  <si>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</si>
  <si>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</si>
  <si>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</si>
  <si>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</si>
  <si>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</si>
  <si>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</si>
  <si>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</si>
  <si>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</si>
  <si>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</si>
  <si>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</si>
  <si>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</si>
  <si>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</si>
  <si>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</si>
  <si>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</si>
  <si>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</si>
  <si>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</si>
  <si>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</si>
  <si>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</si>
  <si>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</si>
  <si>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</si>
  <si>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</si>
  <si>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</si>
  <si>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</si>
  <si>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</si>
  <si>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</si>
  <si>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</si>
  <si>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</si>
  <si>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</si>
  <si>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</si>
  <si>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</si>
  <si>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</si>
  <si>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</si>
  <si>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</si>
  <si>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</si>
  <si>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</si>
  <si>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</si>
  <si>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</si>
  <si>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</si>
  <si>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</si>
  <si>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</si>
  <si>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</si>
  <si>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</si>
  <si>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</si>
  <si>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</si>
  <si>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</si>
  <si>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</si>
  <si>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</si>
  <si>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</si>
  <si>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</si>
  <si>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</si>
  <si>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</si>
  <si>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</si>
  <si>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</si>
  <si>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</si>
  <si>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</si>
  <si>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</si>
  <si>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</si>
  <si>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</si>
  <si>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</si>
  <si>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</si>
  <si>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</si>
  <si>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</si>
  <si>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</si>
  <si>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</si>
  <si>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</si>
  <si>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</si>
  <si>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</si>
  <si>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</si>
  <si>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</si>
  <si>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</si>
  <si>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</si>
  <si>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</si>
  <si>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</si>
  <si>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</si>
  <si>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</si>
  <si>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</si>
  <si>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</si>
  <si>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</si>
  <si>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</si>
  <si>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</si>
  <si>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</si>
  <si>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</si>
  <si>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</si>
  <si>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</si>
  <si>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</si>
  <si>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</si>
  <si>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</si>
  <si>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</si>
  <si>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</si>
  <si>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</si>
  <si>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</si>
  <si>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</si>
  <si>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</si>
  <si>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</si>
  <si>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</si>
  <si>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</si>
  <si>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</si>
  <si>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</si>
  <si>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</si>
  <si>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</si>
  <si>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</si>
  <si>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</si>
  <si>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</si>
  <si>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</si>
  <si>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</si>
  <si>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</si>
  <si>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</si>
  <si>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</si>
  <si>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</si>
  <si>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</si>
  <si>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</si>
  <si>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</si>
  <si>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</si>
  <si>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</si>
  <si>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</si>
  <si>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</si>
  <si>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</si>
  <si>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</si>
  <si>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</si>
  <si>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</si>
  <si>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</si>
  <si>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</si>
  <si>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</si>
  <si>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</si>
  <si>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</si>
  <si>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</si>
  <si>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</si>
  <si>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</si>
  <si>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</si>
  <si>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</si>
  <si>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</si>
  <si>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</si>
  <si>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</si>
  <si>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</si>
  <si>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</si>
  <si>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</si>
  <si>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</si>
  <si>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</si>
  <si>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</si>
  <si>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</si>
  <si>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</si>
  <si>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</si>
  <si>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</si>
  <si>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</si>
  <si>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</si>
  <si>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</si>
  <si>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</si>
  <si>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</si>
  <si>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</si>
  <si>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</si>
  <si>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</si>
  <si>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</si>
  <si>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</si>
  <si>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</si>
  <si>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</si>
  <si>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</si>
  <si>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</si>
  <si>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</si>
  <si>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</si>
  <si>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</si>
  <si>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</si>
  <si>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</si>
  <si>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</si>
  <si>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</si>
  <si>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</si>
  <si>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</si>
  <si>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</si>
  <si>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</si>
  <si>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</si>
  <si>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</si>
  <si>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</si>
  <si>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</si>
  <si>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</si>
  <si>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</si>
  <si>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</si>
  <si>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</si>
  <si>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</si>
  <si>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</si>
  <si>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</si>
  <si>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</si>
  <si>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</si>
  <si>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</si>
  <si>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</si>
  <si>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</si>
  <si>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</si>
  <si>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</si>
  <si>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</si>
  <si>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</si>
  <si>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</si>
  <si>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</si>
  <si>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</si>
  <si>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</si>
  <si>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</si>
  <si>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</si>
  <si>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</si>
  <si>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</si>
  <si>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</si>
  <si>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</si>
  <si>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</si>
  <si>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</si>
  <si>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</si>
  <si>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</si>
  <si>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</si>
  <si>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</si>
  <si>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</si>
  <si>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</si>
  <si>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</si>
  <si>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</si>
  <si>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</si>
  <si>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</si>
  <si>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</si>
  <si>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</si>
  <si>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</si>
  <si>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</si>
  <si>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</si>
  <si>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</si>
  <si>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</si>
  <si>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</si>
  <si>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</si>
  <si>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</si>
  <si>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</si>
  <si>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</si>
  <si>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</si>
  <si>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</si>
  <si>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</si>
  <si>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</si>
  <si>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</si>
  <si>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</si>
  <si>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</si>
  <si>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</si>
  <si>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</si>
  <si>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</si>
  <si>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</si>
  <si>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</si>
  <si>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</si>
  <si>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</si>
  <si>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</si>
  <si>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</si>
  <si>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</si>
  <si>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</si>
  <si>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</si>
  <si>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</si>
  <si>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</si>
  <si>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</si>
  <si>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</si>
  <si>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</si>
  <si>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</si>
  <si>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</si>
  <si>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</si>
  <si>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</si>
  <si>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</si>
  <si>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</si>
  <si>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</si>
  <si>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</si>
  <si>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</si>
  <si>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</si>
  <si>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</si>
  <si>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</si>
  <si>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</si>
  <si>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</si>
  <si>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</si>
  <si>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</si>
  <si>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</si>
  <si>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</si>
  <si>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</si>
  <si>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</si>
  <si>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</si>
  <si>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</si>
  <si>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</si>
  <si>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</si>
  <si>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</si>
  <si>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</si>
  <si>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</si>
  <si>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</si>
  <si>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</si>
  <si>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</si>
  <si>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</si>
  <si>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</si>
  <si>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</si>
  <si>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</si>
  <si>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</si>
  <si>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</si>
  <si>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</si>
  <si>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r>
      <t>Date: 2025</t>
    </r>
    <r>
      <rPr>
        <b/>
        <sz val="10"/>
        <color theme="0"/>
        <rFont val="等线"/>
        <charset val="134"/>
      </rPr>
      <t>-09-08 - 2025-09-14</t>
    </r>
  </si>
  <si>
    <t>External calls with PwC regarding various workstreams for Project S</t>
  </si>
  <si>
    <t>Calls with PwC regarding terms of NDA and engagement letter</t>
  </si>
  <si>
    <t>Baker McKenzie CPD sessions</t>
  </si>
  <si>
    <t>Reviewed and revised NDA with PwC</t>
  </si>
  <si>
    <t>FPS project submission preparation and discussions with HKMA case officer</t>
  </si>
  <si>
    <t xml:space="preserve">Calls with HKMA regarding cloud migration project status and Thunes PR </t>
  </si>
  <si>
    <t>Discussions with Clifford Chance regarding Project S</t>
  </si>
  <si>
    <t>Prepared fee quote email for K. Bao and D. Hong</t>
  </si>
  <si>
    <t xml:space="preserve">Reviewed and revised draft articles of asssociation and board resolutions prepared by CC. </t>
  </si>
  <si>
    <t>Calls with K. Bao on Project S.</t>
  </si>
  <si>
    <t>Prepared compliance plan for HKMA presentation on Project S, discussion with E. Byun.</t>
  </si>
  <si>
    <t xml:space="preserve">Discussions with IPDP team, C. Tsiang and T. Xue regarding GenAI T&amp;Cs </t>
  </si>
  <si>
    <t xml:space="preserve">Responded to ad hoc queries from GCTSM and PA teams. Reviewed PwC responses and prepared queries.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</si>
</sst>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zoomScale="115" zoomScaleNormal="115" workbookViewId="0">
      <selection activeCell="H18" sqref="H18"/>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5">
      <c r="B6" s="8" t="s">
        <v>340</v>
      </c>
      <c r="C6" s="9" t="s">
        <v>45</v>
      </c>
      <c r="D6" s="10" t="s">
        <v>18</v>
      </c>
      <c r="E6" s="10" t="s">
        <v>30</v>
      </c>
      <c r="F6" s="9" t="s">
        <v>333</v>
      </c>
      <c r="G6" s="11">
        <v>15</v>
      </c>
      <c r="H6" s="9" t="s">
        <v>74</v>
      </c>
      <c r="I6" s="16" t="s">
        <v>342</v>
      </c>
    </row>
    <row r="7" spans="1:9" s="2" customFormat="1" ht="65">
      <c r="B7" s="8" t="s">
        <v>340</v>
      </c>
      <c r="C7" s="9" t="s">
        <v>45</v>
      </c>
      <c r="D7" s="10" t="s">
        <v>18</v>
      </c>
      <c r="E7" s="10" t="s">
        <v>30</v>
      </c>
      <c r="F7" s="9" t="s">
        <v>333</v>
      </c>
      <c r="G7" s="11">
        <v>0.6</v>
      </c>
      <c r="H7" s="9" t="s">
        <v>74</v>
      </c>
      <c r="I7" s="16" t="s">
        <v>343</v>
      </c>
    </row>
    <row r="8" spans="1:9" s="2" customFormat="1" ht="13">
      <c r="B8" s="8" t="s">
        <v>340</v>
      </c>
      <c r="C8" s="9" t="s">
        <v>28</v>
      </c>
      <c r="D8" s="10" t="s">
        <v>31</v>
      </c>
      <c r="E8" s="10" t="s">
        <v>33</v>
      </c>
      <c r="F8" s="9" t="s">
        <v>35</v>
      </c>
      <c r="G8" s="11">
        <v>6.5</v>
      </c>
      <c r="H8" s="9" t="s">
        <v>77</v>
      </c>
      <c r="I8" s="16" t="s">
        <v>344</v>
      </c>
    </row>
    <row r="9" spans="1:9" s="2" customFormat="1" ht="65">
      <c r="B9" s="8" t="s">
        <v>340</v>
      </c>
      <c r="C9" s="9" t="s">
        <v>45</v>
      </c>
      <c r="D9" s="10" t="s">
        <v>18</v>
      </c>
      <c r="E9" s="10" t="s">
        <v>30</v>
      </c>
      <c r="F9" s="9" t="s">
        <v>333</v>
      </c>
      <c r="G9" s="11">
        <v>1.5</v>
      </c>
      <c r="H9" s="9" t="s">
        <v>73</v>
      </c>
      <c r="I9" s="16" t="s">
        <v>345</v>
      </c>
    </row>
    <row r="10" spans="1:9" s="2" customFormat="1" ht="26">
      <c r="B10" s="8" t="s">
        <v>340</v>
      </c>
      <c r="C10" s="9" t="s">
        <v>22</v>
      </c>
      <c r="D10" s="10" t="s">
        <v>55</v>
      </c>
      <c r="E10" s="10" t="s">
        <v>30</v>
      </c>
      <c r="F10" s="9" t="s">
        <v>326</v>
      </c>
      <c r="G10" s="11">
        <v>2</v>
      </c>
      <c r="H10" s="9" t="s">
        <v>79</v>
      </c>
      <c r="I10" s="16" t="s">
        <v>346</v>
      </c>
    </row>
    <row r="11" spans="1:9" s="2" customFormat="1" ht="26">
      <c r="B11" s="8" t="s">
        <v>340</v>
      </c>
      <c r="C11" s="9" t="s">
        <v>22</v>
      </c>
      <c r="D11" s="10" t="s">
        <v>55</v>
      </c>
      <c r="E11" s="10" t="s">
        <v>30</v>
      </c>
      <c r="F11" s="9" t="s">
        <v>326</v>
      </c>
      <c r="G11" s="11">
        <v>0.8</v>
      </c>
      <c r="H11" s="9" t="s">
        <v>79</v>
      </c>
      <c r="I11" s="16" t="s">
        <v>347</v>
      </c>
    </row>
    <row r="12" spans="1:9" s="2" customFormat="1" ht="26">
      <c r="B12" s="8" t="s">
        <v>340</v>
      </c>
      <c r="C12" s="9" t="s">
        <v>22</v>
      </c>
      <c r="D12" s="10" t="s">
        <v>55</v>
      </c>
      <c r="E12" s="10" t="s">
        <v>30</v>
      </c>
      <c r="F12" s="9" t="s">
        <v>326</v>
      </c>
      <c r="G12" s="11">
        <v>1.5</v>
      </c>
      <c r="H12" s="9" t="s">
        <v>27</v>
      </c>
      <c r="I12" s="16" t="s">
        <v>353</v>
      </c>
    </row>
    <row r="13" spans="1:9" s="2" customFormat="1" ht="65">
      <c r="B13" s="8" t="s">
        <v>340</v>
      </c>
      <c r="C13" s="9" t="s">
        <v>45</v>
      </c>
      <c r="D13" s="10" t="s">
        <v>18</v>
      </c>
      <c r="E13" s="10" t="s">
        <v>30</v>
      </c>
      <c r="F13" s="9" t="s">
        <v>333</v>
      </c>
      <c r="G13" s="11">
        <v>2</v>
      </c>
      <c r="H13" s="9" t="s">
        <v>27</v>
      </c>
      <c r="I13" s="16" t="s">
        <v>348</v>
      </c>
    </row>
    <row r="14" spans="1:9" s="2" customFormat="1" ht="65">
      <c r="B14" s="8" t="s">
        <v>340</v>
      </c>
      <c r="C14" s="9" t="s">
        <v>45</v>
      </c>
      <c r="D14" s="10" t="s">
        <v>18</v>
      </c>
      <c r="E14" s="10" t="s">
        <v>30</v>
      </c>
      <c r="F14" s="9" t="s">
        <v>333</v>
      </c>
      <c r="G14" s="11">
        <v>0.5</v>
      </c>
      <c r="H14" s="9" t="s">
        <v>73</v>
      </c>
      <c r="I14" s="16" t="s">
        <v>349</v>
      </c>
    </row>
    <row r="15" spans="1:9" s="2" customFormat="1" ht="65">
      <c r="B15" s="8" t="s">
        <v>340</v>
      </c>
      <c r="C15" s="9" t="s">
        <v>45</v>
      </c>
      <c r="D15" s="10" t="s">
        <v>18</v>
      </c>
      <c r="E15" s="10" t="s">
        <v>30</v>
      </c>
      <c r="F15" s="9" t="s">
        <v>333</v>
      </c>
      <c r="G15" s="11">
        <v>1.5</v>
      </c>
      <c r="H15" s="9" t="s">
        <v>73</v>
      </c>
      <c r="I15" s="16" t="s">
        <v>350</v>
      </c>
    </row>
    <row r="16" spans="1:9" s="2" customFormat="1" ht="65">
      <c r="B16" s="8" t="s">
        <v>340</v>
      </c>
      <c r="C16" s="9" t="s">
        <v>45</v>
      </c>
      <c r="D16" s="10" t="s">
        <v>18</v>
      </c>
      <c r="E16" s="10" t="s">
        <v>30</v>
      </c>
      <c r="F16" s="9" t="s">
        <v>333</v>
      </c>
      <c r="G16" s="11">
        <v>3.5</v>
      </c>
      <c r="H16" s="9" t="s">
        <v>73</v>
      </c>
      <c r="I16" s="16" t="s">
        <v>352</v>
      </c>
    </row>
    <row r="17" spans="2:9" s="2" customFormat="1" ht="65">
      <c r="B17" s="8" t="s">
        <v>340</v>
      </c>
      <c r="C17" s="9" t="s">
        <v>45</v>
      </c>
      <c r="D17" s="10" t="s">
        <v>18</v>
      </c>
      <c r="E17" s="10" t="s">
        <v>30</v>
      </c>
      <c r="F17" s="9" t="s">
        <v>333</v>
      </c>
      <c r="G17" s="11">
        <v>1.2</v>
      </c>
      <c r="H17" s="9" t="s">
        <v>27</v>
      </c>
      <c r="I17" s="16" t="s">
        <v>351</v>
      </c>
    </row>
    <row r="18" spans="2:9" s="2" customFormat="1" ht="65">
      <c r="B18" s="8" t="s">
        <v>340</v>
      </c>
      <c r="C18" s="9" t="s">
        <v>45</v>
      </c>
      <c r="D18" s="10" t="s">
        <v>18</v>
      </c>
      <c r="E18" s="10" t="s">
        <v>30</v>
      </c>
      <c r="F18" s="9" t="s">
        <v>333</v>
      </c>
      <c r="G18" s="11">
        <v>2</v>
      </c>
      <c r="H18" s="9" t="s">
        <v>27</v>
      </c>
      <c r="I18" s="16" t="s">
        <v>354</v>
      </c>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4.5" customHeight="1" thickBot="1">
      <c r="B27" s="81" t="s">
        <v>32</v>
      </c>
      <c r="C27" s="82"/>
      <c r="D27" s="83"/>
      <c r="E27" s="12"/>
      <c r="F27" s="12"/>
      <c r="G27" s="84">
        <f>SUM(G6:G26)</f>
        <v>38.600000000000009</v>
      </c>
      <c r="H27" s="85"/>
      <c r="I27" s="86"/>
    </row>
    <row r="30" spans="2:9">
      <c r="B30" s="17" t="s">
        <v>81</v>
      </c>
      <c r="C30" s="18" t="s">
        <v>331</v>
      </c>
      <c r="D30" s="75"/>
    </row>
    <row r="31" spans="2:9">
      <c r="C31" s="18" t="s">
        <v>332</v>
      </c>
      <c r="D31" s="76"/>
    </row>
  </sheetData>
  <mergeCells count="4">
    <mergeCell ref="B1:I1"/>
    <mergeCell ref="B2:H2"/>
    <mergeCell ref="B27:D27"/>
    <mergeCell ref="G27:I27"/>
  </mergeCells>
  <phoneticPr fontId="10" type="noConversion"/>
  <dataValidations count="2">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D6:D26</xm:sqref>
        </x14:dataValidation>
        <x14:dataValidation type="list" errorStyle="warning" allowBlank="1" xr:uid="{00000000-0002-0000-0000-000003000000}">
          <x14:formula1>
            <xm:f>'Exhibit I - Virtual Group'!$A$1:$A$7</xm:f>
          </x14:formula1>
          <xm:sqref>C6:C26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93" outlineLevel="1">
      <c r="C5" s="21" t="s">
        <v>100</v>
      </c>
      <c r="D5" s="109" t="s">
        <v>101</v>
      </c>
      <c r="E5" s="102"/>
      <c r="F5" s="22" t="s">
        <v>102</v>
      </c>
      <c r="G5" s="21" t="s">
        <v>103</v>
      </c>
      <c r="H5" s="21" t="s">
        <v>104</v>
      </c>
      <c r="I5" s="21" t="s">
        <v>105</v>
      </c>
      <c r="J5" s="21" t="s">
        <v>106</v>
      </c>
      <c r="K5" s="110" t="s">
        <v>107</v>
      </c>
      <c r="L5" s="110"/>
      <c r="M5" s="110"/>
      <c r="N5" s="110"/>
    </row>
    <row r="6" spans="2:14" s="23" customFormat="1" ht="186"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48"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310"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108.5"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23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41"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5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2025-10-13T10:08:41Z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