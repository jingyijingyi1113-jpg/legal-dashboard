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Joyce\"/>
    </mc:Choice>
  </mc:AlternateContent>
  <xr:revisionPtr revIDLastSave="0" documentId="8_{42121CA9-E9FE-41E6-BFCB-B3B8CEF36B5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<sst xmlns="http://schemas.openxmlformats.org/spreadsheetml/2006/main" count="567" uniqueCount="361">
  <si>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</si>
  <si>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</si>
  <si>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</si>
  <si>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</si>
  <si>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</si>
  <si>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</si>
  <si>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</si>
  <si>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</si>
  <si>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</si>
  <si>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</si>
  <si>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</si>
  <si>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</si>
  <si>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</si>
  <si>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</si>
  <si>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</si>
  <si>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</si>
  <si>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</si>
  <si>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</si>
  <si>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</si>
  <si>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</si>
  <si>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</si>
  <si>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</si>
  <si>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</si>
  <si>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</si>
  <si>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</si>
  <si>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</si>
  <si>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</si>
  <si>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</si>
  <si>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</si>
  <si>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</si>
  <si>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</si>
  <si>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</si>
  <si>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</si>
  <si>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</si>
  <si>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</si>
  <si>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</si>
  <si>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</si>
  <si>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</si>
  <si>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</si>
  <si>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</si>
  <si>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</si>
  <si>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</si>
  <si>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</si>
  <si>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</si>
  <si>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</si>
  <si>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</si>
  <si>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</si>
  <si>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</si>
  <si>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</si>
  <si>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</si>
  <si>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</si>
  <si>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</si>
  <si>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</si>
  <si>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</si>
  <si>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</si>
  <si>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</si>
  <si>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</si>
  <si>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</si>
  <si>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</si>
  <si>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</si>
  <si>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</si>
  <si>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</si>
  <si>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</si>
  <si>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</si>
  <si>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</si>
  <si>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</si>
  <si>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</si>
  <si>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</si>
  <si>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</si>
  <si>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</si>
  <si>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</si>
  <si>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</si>
  <si>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</si>
  <si>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</si>
  <si>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</si>
  <si>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</si>
  <si>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</si>
  <si>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</si>
  <si>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</si>
  <si>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</si>
  <si>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</si>
  <si>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</si>
  <si>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</si>
  <si>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</si>
  <si>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</si>
  <si>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</si>
  <si>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</si>
  <si>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</si>
  <si>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</si>
  <si>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</si>
  <si>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</si>
  <si>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</si>
  <si>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</si>
  <si>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</si>
  <si>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</si>
  <si>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</si>
  <si>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</si>
  <si>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</si>
  <si>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</si>
  <si>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</si>
  <si>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</si>
  <si>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</si>
  <si>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</si>
  <si>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</si>
  <si>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</si>
  <si>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</si>
  <si>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</si>
  <si>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</si>
  <si>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</si>
  <si>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</si>
  <si>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</si>
  <si>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</si>
  <si>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</si>
  <si>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</si>
  <si>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</si>
  <si>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</si>
  <si>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</si>
  <si>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</si>
  <si>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</si>
  <si>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</si>
  <si>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</si>
  <si>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</si>
  <si>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</si>
  <si>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</si>
  <si>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</si>
  <si>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</si>
  <si>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</si>
  <si>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</si>
  <si>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</si>
  <si>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</si>
  <si>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</si>
  <si>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</si>
  <si>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</si>
  <si>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</si>
  <si>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</si>
  <si>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</si>
  <si>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</si>
  <si>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</si>
  <si>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</si>
  <si>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</si>
  <si>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</si>
  <si>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</si>
  <si>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</si>
  <si>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</si>
  <si>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</si>
  <si>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</si>
  <si>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</si>
  <si>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</si>
  <si>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</si>
  <si>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</si>
  <si>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</si>
  <si>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</si>
  <si>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</si>
  <si>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</si>
  <si>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</si>
  <si>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</si>
  <si>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</si>
  <si>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</si>
  <si>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</si>
  <si>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</si>
  <si>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</si>
  <si>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</si>
  <si>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</si>
  <si>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</si>
  <si>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</si>
  <si>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</si>
  <si>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</si>
  <si>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</si>
  <si>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</si>
  <si>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</si>
  <si>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</si>
  <si>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</si>
  <si>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</si>
  <si>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</si>
  <si>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</si>
  <si>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</si>
  <si>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</si>
  <si>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</si>
  <si>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</si>
  <si>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</si>
  <si>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</si>
  <si>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</si>
  <si>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</si>
  <si>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</si>
  <si>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</si>
  <si>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</si>
  <si>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</si>
  <si>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</si>
  <si>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</si>
  <si>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</si>
  <si>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</si>
  <si>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</si>
  <si>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</si>
  <si>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</si>
  <si>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</si>
  <si>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</si>
  <si>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</si>
  <si>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</si>
  <si>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</si>
  <si>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</si>
  <si>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</si>
  <si>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</si>
  <si>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</si>
  <si>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</si>
  <si>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</si>
  <si>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</si>
  <si>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</si>
  <si>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</si>
  <si>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</si>
  <si>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</si>
  <si>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</si>
  <si>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</si>
  <si>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</si>
  <si>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</si>
  <si>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</si>
  <si>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</si>
  <si>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</si>
  <si>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</si>
  <si>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</si>
  <si>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</si>
  <si>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</si>
  <si>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</si>
  <si>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</si>
  <si>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</si>
  <si>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</si>
  <si>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</si>
  <si>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</si>
  <si>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</si>
  <si>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</si>
  <si>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</si>
  <si>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</si>
  <si>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</si>
  <si>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</si>
  <si>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</si>
  <si>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</si>
  <si>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</si>
  <si>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</si>
  <si>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</si>
  <si>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</si>
  <si>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</si>
  <si>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</si>
  <si>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</si>
  <si>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</si>
  <si>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</si>
  <si>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</si>
  <si>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</si>
  <si>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</si>
  <si>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</si>
  <si>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</si>
  <si>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</si>
  <si>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</si>
  <si>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</si>
  <si>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</si>
  <si>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</si>
  <si>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</si>
  <si>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</si>
  <si>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</si>
  <si>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</si>
  <si>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</si>
  <si>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</si>
  <si>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</si>
  <si>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</si>
  <si>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</si>
  <si>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</si>
  <si>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</si>
  <si>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</si>
  <si>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</si>
  <si>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</si>
  <si>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</si>
  <si>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</si>
  <si>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</si>
  <si>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</si>
  <si>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</si>
  <si>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</si>
  <si>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</si>
  <si>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</si>
  <si>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</si>
  <si>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</si>
  <si>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</si>
  <si>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</si>
  <si>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</si>
  <si>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</si>
  <si>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</si>
  <si>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</si>
  <si>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</si>
  <si>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</si>
  <si>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</si>
  <si>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</si>
  <si>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</si>
  <si>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</si>
  <si>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</si>
  <si>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</si>
  <si>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</si>
  <si>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</si>
  <si>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</si>
  <si>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</si>
  <si>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</si>
  <si>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</si>
  <si>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</si>
  <si>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</si>
  <si>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</si>
  <si>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</si>
  <si>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</si>
  <si>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</si>
  <si>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</si>
  <si>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</si>
  <si>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</si>
  <si>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</si>
  <si>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</si>
  <si>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</si>
  <si>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</si>
  <si>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</si>
  <si>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</si>
  <si>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</si>
  <si>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</si>
  <si>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</si>
  <si>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</si>
  <si>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</si>
  <si>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</si>
  <si>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</si>
  <si>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</si>
  <si>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</si>
  <si>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</si>
  <si>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</si>
  <si>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</si>
  <si>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</si>
  <si>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</si>
  <si>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</si>
  <si>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</si>
  <si>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</si>
  <si>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</si>
  <si>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</si>
  <si>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</si>
  <si>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</si>
  <si>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</si>
  <si>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</si>
  <si>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</si>
  <si>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</si>
  <si>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</si>
  <si>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</si>
  <si>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</si>
  <si>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r>
      <t>Date: 2025</t>
    </r>
    <r>
      <rPr>
        <b/>
        <sz val="10"/>
        <color theme="0"/>
        <rFont val="等线"/>
        <charset val="134"/>
      </rPr>
      <t>-09-01 - 2025-09-07</t>
    </r>
  </si>
  <si>
    <t>03/09 (pm only)</t>
  </si>
  <si>
    <t>Liaised with external counsel regarding payment integration into Weixin Pay and tax refund projects.</t>
  </si>
  <si>
    <t>Internal discussions regarding response to email from HKMA. Prepared draft email to HKMA.</t>
  </si>
  <si>
    <t>Internal discussions regarding FPS payment connect.</t>
  </si>
  <si>
    <t>Reviewed and revised draft Visa promotion agreement. Liaised with J. Lau on the same.</t>
  </si>
  <si>
    <t>Reviewed and revised draft agreement regarding eDDA with Dah Sing Bank. Discussion with F. Song.</t>
  </si>
  <si>
    <t>Internal discussions regarding project update and progress.</t>
  </si>
  <si>
    <t>Prepared table of pros and cons regarding potential parent company entities.</t>
  </si>
  <si>
    <t>Reviewed and revised draft NDA and engagement letter with PwC regarding Project S. Liaised with K. Bao.</t>
  </si>
  <si>
    <t>Liaised with J. Lau on ICBCA supplemental agreements. Revised draft agreements.</t>
  </si>
  <si>
    <t>Reviewed mark-ups to Airstar agreement. Internal discussion.</t>
  </si>
  <si>
    <t xml:space="preserve">Dinner with Midas team. </t>
  </si>
  <si>
    <t>Reviewed FPS revised proposal. Discussion with K. Zhang.</t>
  </si>
  <si>
    <t>Reviewed revised NFC product proposal. Discussion with C. Chu and Y. He.</t>
  </si>
  <si>
    <t xml:space="preserve">Discussion with CFT legal team and WPHK BD team regarding document structure for WPHK integration into PPW. </t>
  </si>
  <si>
    <t>Reviewed PwC proposed allocation of work and priority list and compared with proposed timeline prepared by CC. Discussion with K. Bao on the same.</t>
  </si>
  <si>
    <t xml:space="preserve">Internal catch-up call regarding project progress and next steps. </t>
  </si>
  <si>
    <t>Reviewed Apple comments to draft collaboration agreement. Internal discussion with BD teams.</t>
  </si>
  <si>
    <t>Liaised with external counsel regarding licensing process, timeline and other ad hoc queries.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</si>
</sst>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9">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zoomScale="115" zoomScaleNormal="115" workbookViewId="0">
      <selection activeCell="G8" sqref="G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7" t="s">
        <v>0</v>
      </c>
      <c r="C1" s="78"/>
      <c r="D1" s="78"/>
      <c r="E1" s="78"/>
      <c r="F1" s="78"/>
      <c r="G1" s="78"/>
      <c r="H1" s="78"/>
      <c r="I1" s="78"/>
    </row>
    <row r="2" spans="1:9" ht="17">
      <c r="B2" s="79"/>
      <c r="C2" s="80"/>
      <c r="D2" s="80"/>
      <c r="E2" s="80"/>
      <c r="F2" s="80"/>
      <c r="G2" s="80"/>
      <c r="H2" s="80"/>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340</v>
      </c>
      <c r="C6" s="9" t="s">
        <v>22</v>
      </c>
      <c r="D6" s="10" t="s">
        <v>55</v>
      </c>
      <c r="E6" s="10" t="s">
        <v>30</v>
      </c>
      <c r="F6" s="9" t="s">
        <v>326</v>
      </c>
      <c r="G6" s="11">
        <v>2.5</v>
      </c>
      <c r="H6" s="9" t="s">
        <v>27</v>
      </c>
      <c r="I6" s="16" t="s">
        <v>343</v>
      </c>
    </row>
    <row r="7" spans="1:9" s="2" customFormat="1" ht="67.5">
      <c r="B7" s="8" t="s">
        <v>340</v>
      </c>
      <c r="C7" s="9" t="s">
        <v>45</v>
      </c>
      <c r="D7" s="10" t="s">
        <v>18</v>
      </c>
      <c r="E7" s="10" t="s">
        <v>30</v>
      </c>
      <c r="F7" s="9" t="s">
        <v>333</v>
      </c>
      <c r="G7" s="11">
        <v>2.5</v>
      </c>
      <c r="H7" s="9" t="s">
        <v>27</v>
      </c>
      <c r="I7" s="16" t="s">
        <v>360</v>
      </c>
    </row>
    <row r="8" spans="1:9" s="2" customFormat="1" ht="27">
      <c r="B8" s="8" t="s">
        <v>340</v>
      </c>
      <c r="C8" s="9" t="s">
        <v>22</v>
      </c>
      <c r="D8" s="10" t="s">
        <v>55</v>
      </c>
      <c r="E8" s="10" t="s">
        <v>30</v>
      </c>
      <c r="F8" s="9" t="s">
        <v>326</v>
      </c>
      <c r="G8" s="11">
        <v>2</v>
      </c>
      <c r="H8" s="9" t="s">
        <v>79</v>
      </c>
      <c r="I8" s="16" t="s">
        <v>344</v>
      </c>
    </row>
    <row r="9" spans="1:9" s="2" customFormat="1" ht="27">
      <c r="B9" s="8" t="s">
        <v>340</v>
      </c>
      <c r="C9" s="9" t="s">
        <v>22</v>
      </c>
      <c r="D9" s="10" t="s">
        <v>55</v>
      </c>
      <c r="E9" s="10" t="s">
        <v>30</v>
      </c>
      <c r="F9" s="9" t="s">
        <v>326</v>
      </c>
      <c r="G9" s="11">
        <v>1.5</v>
      </c>
      <c r="H9" s="9" t="s">
        <v>27</v>
      </c>
      <c r="I9" s="16" t="s">
        <v>345</v>
      </c>
    </row>
    <row r="10" spans="1:9" s="2" customFormat="1" ht="27">
      <c r="B10" s="8" t="s">
        <v>340</v>
      </c>
      <c r="C10" s="9" t="s">
        <v>22</v>
      </c>
      <c r="D10" s="10" t="s">
        <v>55</v>
      </c>
      <c r="E10" s="10" t="s">
        <v>30</v>
      </c>
      <c r="F10" s="9" t="s">
        <v>326</v>
      </c>
      <c r="G10" s="11">
        <v>1</v>
      </c>
      <c r="H10" s="9" t="s">
        <v>73</v>
      </c>
      <c r="I10" s="16" t="s">
        <v>346</v>
      </c>
    </row>
    <row r="11" spans="1:9" s="2" customFormat="1" ht="27">
      <c r="B11" s="8" t="s">
        <v>340</v>
      </c>
      <c r="C11" s="9" t="s">
        <v>22</v>
      </c>
      <c r="D11" s="10" t="s">
        <v>55</v>
      </c>
      <c r="E11" s="10" t="s">
        <v>30</v>
      </c>
      <c r="F11" s="9" t="s">
        <v>326</v>
      </c>
      <c r="G11" s="11">
        <v>1.5</v>
      </c>
      <c r="H11" s="9" t="s">
        <v>73</v>
      </c>
      <c r="I11" s="16" t="s">
        <v>347</v>
      </c>
    </row>
    <row r="12" spans="1:9" s="2" customFormat="1" ht="67.5">
      <c r="B12" s="8" t="s">
        <v>340</v>
      </c>
      <c r="C12" s="9" t="s">
        <v>45</v>
      </c>
      <c r="D12" s="10" t="s">
        <v>18</v>
      </c>
      <c r="E12" s="10" t="s">
        <v>30</v>
      </c>
      <c r="F12" s="9" t="s">
        <v>333</v>
      </c>
      <c r="G12" s="11">
        <v>1.5</v>
      </c>
      <c r="H12" s="9" t="s">
        <v>27</v>
      </c>
      <c r="I12" s="16" t="s">
        <v>348</v>
      </c>
    </row>
    <row r="13" spans="1:9" s="2" customFormat="1" ht="67.5">
      <c r="B13" s="8" t="s">
        <v>340</v>
      </c>
      <c r="C13" s="9" t="s">
        <v>45</v>
      </c>
      <c r="D13" s="10" t="s">
        <v>18</v>
      </c>
      <c r="E13" s="10" t="s">
        <v>30</v>
      </c>
      <c r="F13" s="9" t="s">
        <v>333</v>
      </c>
      <c r="G13" s="11">
        <v>1</v>
      </c>
      <c r="H13" s="9" t="s">
        <v>73</v>
      </c>
      <c r="I13" s="16" t="s">
        <v>349</v>
      </c>
    </row>
    <row r="14" spans="1:9" s="2" customFormat="1" ht="67.5">
      <c r="B14" s="8" t="s">
        <v>340</v>
      </c>
      <c r="C14" s="9" t="s">
        <v>45</v>
      </c>
      <c r="D14" s="10" t="s">
        <v>18</v>
      </c>
      <c r="E14" s="10" t="s">
        <v>30</v>
      </c>
      <c r="F14" s="9" t="s">
        <v>333</v>
      </c>
      <c r="G14" s="11">
        <v>3</v>
      </c>
      <c r="H14" s="9" t="s">
        <v>73</v>
      </c>
      <c r="I14" s="16" t="s">
        <v>350</v>
      </c>
    </row>
    <row r="15" spans="1:9" s="2" customFormat="1" ht="27">
      <c r="B15" s="8" t="s">
        <v>340</v>
      </c>
      <c r="C15" s="9" t="s">
        <v>22</v>
      </c>
      <c r="D15" s="10" t="s">
        <v>55</v>
      </c>
      <c r="E15" s="10" t="s">
        <v>30</v>
      </c>
      <c r="F15" s="9" t="s">
        <v>326</v>
      </c>
      <c r="G15" s="11">
        <v>1</v>
      </c>
      <c r="H15" s="9" t="s">
        <v>73</v>
      </c>
      <c r="I15" s="16" t="s">
        <v>351</v>
      </c>
    </row>
    <row r="16" spans="1:9" s="2" customFormat="1" ht="27">
      <c r="B16" s="8" t="s">
        <v>340</v>
      </c>
      <c r="C16" s="9" t="s">
        <v>22</v>
      </c>
      <c r="D16" s="10" t="s">
        <v>55</v>
      </c>
      <c r="E16" s="10" t="s">
        <v>30</v>
      </c>
      <c r="F16" s="9" t="s">
        <v>326</v>
      </c>
      <c r="G16" s="11">
        <v>0.5</v>
      </c>
      <c r="H16" s="9" t="s">
        <v>73</v>
      </c>
      <c r="I16" s="16" t="s">
        <v>352</v>
      </c>
    </row>
    <row r="17" spans="2:9" s="2" customFormat="1" ht="27">
      <c r="B17" s="8" t="s">
        <v>340</v>
      </c>
      <c r="C17" s="9" t="s">
        <v>45</v>
      </c>
      <c r="D17" s="10" t="s">
        <v>18</v>
      </c>
      <c r="E17" s="10" t="s">
        <v>33</v>
      </c>
      <c r="F17" s="9" t="s">
        <v>35</v>
      </c>
      <c r="G17" s="11">
        <v>3</v>
      </c>
      <c r="H17" s="9" t="s">
        <v>21</v>
      </c>
      <c r="I17" s="16" t="s">
        <v>353</v>
      </c>
    </row>
    <row r="18" spans="2:9" s="2" customFormat="1" ht="27">
      <c r="B18" s="8" t="s">
        <v>340</v>
      </c>
      <c r="C18" s="9" t="s">
        <v>22</v>
      </c>
      <c r="D18" s="10" t="s">
        <v>55</v>
      </c>
      <c r="E18" s="10" t="s">
        <v>30</v>
      </c>
      <c r="F18" s="9" t="s">
        <v>326</v>
      </c>
      <c r="G18" s="11">
        <v>1</v>
      </c>
      <c r="H18" s="9" t="s">
        <v>73</v>
      </c>
      <c r="I18" s="16" t="s">
        <v>354</v>
      </c>
    </row>
    <row r="19" spans="2:9" s="2" customFormat="1" ht="27">
      <c r="B19" s="8" t="s">
        <v>340</v>
      </c>
      <c r="C19" s="9" t="s">
        <v>22</v>
      </c>
      <c r="D19" s="10" t="s">
        <v>55</v>
      </c>
      <c r="E19" s="10" t="s">
        <v>30</v>
      </c>
      <c r="F19" s="9" t="s">
        <v>326</v>
      </c>
      <c r="G19" s="11">
        <v>1</v>
      </c>
      <c r="H19" s="9" t="s">
        <v>73</v>
      </c>
      <c r="I19" s="16" t="s">
        <v>355</v>
      </c>
    </row>
    <row r="20" spans="2:9" s="2" customFormat="1" ht="40.5">
      <c r="B20" s="8" t="s">
        <v>340</v>
      </c>
      <c r="C20" s="9" t="s">
        <v>22</v>
      </c>
      <c r="D20" s="10" t="s">
        <v>55</v>
      </c>
      <c r="E20" s="10" t="s">
        <v>30</v>
      </c>
      <c r="F20" s="9" t="s">
        <v>326</v>
      </c>
      <c r="G20" s="11">
        <v>2</v>
      </c>
      <c r="H20" s="9" t="s">
        <v>27</v>
      </c>
      <c r="I20" s="16" t="s">
        <v>356</v>
      </c>
    </row>
    <row r="21" spans="2:9" s="2" customFormat="1" ht="67.5">
      <c r="B21" s="8" t="s">
        <v>340</v>
      </c>
      <c r="C21" s="9" t="s">
        <v>45</v>
      </c>
      <c r="D21" s="10" t="s">
        <v>18</v>
      </c>
      <c r="E21" s="10" t="s">
        <v>30</v>
      </c>
      <c r="F21" s="9" t="s">
        <v>333</v>
      </c>
      <c r="G21" s="11">
        <v>1.5</v>
      </c>
      <c r="H21" s="9" t="s">
        <v>73</v>
      </c>
      <c r="I21" s="16" t="s">
        <v>357</v>
      </c>
    </row>
    <row r="22" spans="2:9" s="2" customFormat="1" ht="67.5">
      <c r="B22" s="8" t="s">
        <v>340</v>
      </c>
      <c r="C22" s="9" t="s">
        <v>45</v>
      </c>
      <c r="D22" s="10" t="s">
        <v>18</v>
      </c>
      <c r="E22" s="10" t="s">
        <v>30</v>
      </c>
      <c r="F22" s="9" t="s">
        <v>333</v>
      </c>
      <c r="G22" s="11">
        <v>1.5</v>
      </c>
      <c r="H22" s="9" t="s">
        <v>27</v>
      </c>
      <c r="I22" s="16" t="s">
        <v>358</v>
      </c>
    </row>
    <row r="23" spans="2:9" s="2" customFormat="1" ht="27">
      <c r="B23" s="8" t="s">
        <v>340</v>
      </c>
      <c r="C23" s="9" t="s">
        <v>22</v>
      </c>
      <c r="D23" s="10" t="s">
        <v>55</v>
      </c>
      <c r="E23" s="10" t="s">
        <v>30</v>
      </c>
      <c r="F23" s="9" t="s">
        <v>326</v>
      </c>
      <c r="G23" s="11">
        <v>2</v>
      </c>
      <c r="H23" s="9" t="s">
        <v>73</v>
      </c>
      <c r="I23" s="16" t="s">
        <v>359</v>
      </c>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4.5" customHeight="1" thickBot="1">
      <c r="B27" s="81" t="s">
        <v>32</v>
      </c>
      <c r="C27" s="82"/>
      <c r="D27" s="83"/>
      <c r="E27" s="12"/>
      <c r="F27" s="12"/>
      <c r="G27" s="84">
        <f>SUM(G6:G26)</f>
        <v>30</v>
      </c>
      <c r="H27" s="85"/>
      <c r="I27" s="86"/>
    </row>
    <row r="30" spans="2:9">
      <c r="B30" s="17" t="s">
        <v>81</v>
      </c>
      <c r="C30" s="18" t="s">
        <v>331</v>
      </c>
      <c r="D30" s="75" t="s">
        <v>342</v>
      </c>
    </row>
    <row r="31" spans="2:9">
      <c r="C31" s="18" t="s">
        <v>332</v>
      </c>
      <c r="D31" s="76"/>
    </row>
  </sheetData>
  <mergeCells count="4">
    <mergeCell ref="B1:I1"/>
    <mergeCell ref="B2:H2"/>
    <mergeCell ref="B27:D27"/>
    <mergeCell ref="G27:I27"/>
  </mergeCells>
  <phoneticPr fontId="10" type="noConversion"/>
  <dataValidations count="2">
    <dataValidation type="list" allowBlank="1" showInputMessage="1" showErrorMessage="1" sqref="F6:F26" xr:uid="{00000000-0002-0000-0000-000002000000}">
      <formula1>INDIRECT($E6)</formula1>
    </dataValidation>
    <dataValidation type="list" allowBlank="1" showInputMessage="1" showErrorMessage="1" sqref="H6:H26"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D6:D26</xm:sqref>
        </x14:dataValidation>
        <x14:dataValidation type="list" errorStyle="warning" allowBlank="1" xr:uid="{00000000-0002-0000-0000-000003000000}">
          <x14:formula1>
            <xm:f>'Exhibit I - Virtual Group'!$A$1:$A$7</xm:f>
          </x14:formula1>
          <xm:sqref>C6:C26</xm:sqref>
        </x14:dataValidation>
        <x14:dataValidation type="list" allowBlank="1" showInputMessage="1" showErrorMessage="1" xr:uid="{00000000-0002-0000-0000-000007000000}">
          <x14:formula1>
            <xm:f>Tag!$B$2:$E$2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108.5" outlineLevel="1">
      <c r="C5" s="21" t="s">
        <v>100</v>
      </c>
      <c r="D5" s="109" t="s">
        <v>101</v>
      </c>
      <c r="E5" s="102"/>
      <c r="F5" s="22" t="s">
        <v>102</v>
      </c>
      <c r="G5" s="21" t="s">
        <v>103</v>
      </c>
      <c r="H5" s="21" t="s">
        <v>104</v>
      </c>
      <c r="I5" s="21" t="s">
        <v>105</v>
      </c>
      <c r="J5" s="21" t="s">
        <v>106</v>
      </c>
      <c r="K5" s="110" t="s">
        <v>107</v>
      </c>
      <c r="L5" s="110"/>
      <c r="M5" s="110"/>
      <c r="N5" s="110"/>
    </row>
    <row r="6" spans="2:14" s="23" customFormat="1" ht="201.5"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17"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263.5"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93"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170.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10"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39.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2025-09-09T04:26:29Z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