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C312542B-79A4-4EDC-8447-7C60F7920DD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<sst xmlns="http://schemas.openxmlformats.org/spreadsheetml/2006/main" count="492" uniqueCount="344">
  <si>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</si>
  <si>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</si>
  <si>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</si>
  <si>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</si>
  <si>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</si>
  <si>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</si>
  <si>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</si>
  <si>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</si>
  <si>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</si>
  <si>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</si>
  <si>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</si>
  <si>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</si>
  <si>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</si>
  <si>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</si>
  <si>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</si>
  <si>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</si>
  <si>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</si>
  <si>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</si>
  <si>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</si>
  <si>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</si>
  <si>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</si>
  <si>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</si>
  <si>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</si>
  <si>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</si>
  <si>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</si>
  <si>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</si>
  <si>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</si>
  <si>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</si>
  <si>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</si>
  <si>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</si>
  <si>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</si>
  <si>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</si>
  <si>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</si>
  <si>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</si>
  <si>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</si>
  <si>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</si>
  <si>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</si>
  <si>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</si>
  <si>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</si>
  <si>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</si>
  <si>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</si>
  <si>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</si>
  <si>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</si>
  <si>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</si>
  <si>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</si>
  <si>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</si>
  <si>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</si>
  <si>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</si>
  <si>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</si>
  <si>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</si>
  <si>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</si>
  <si>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</si>
  <si>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</si>
  <si>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</si>
  <si>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</si>
  <si>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</si>
  <si>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</si>
  <si>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</si>
  <si>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</si>
  <si>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</si>
  <si>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</si>
  <si>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</si>
  <si>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</si>
  <si>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</si>
  <si>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</si>
  <si>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</si>
  <si>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</si>
  <si>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</si>
  <si>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</si>
  <si>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</si>
  <si>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</si>
  <si>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</si>
  <si>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</si>
  <si>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</si>
  <si>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</si>
  <si>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</si>
  <si>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</si>
  <si>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</si>
  <si>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</si>
  <si>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</si>
  <si>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</si>
  <si>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</si>
  <si>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</si>
  <si>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</si>
  <si>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</si>
  <si>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</si>
  <si>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</si>
  <si>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</si>
  <si>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</si>
  <si>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</si>
  <si>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</si>
  <si>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</si>
  <si>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</si>
  <si>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</si>
  <si>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</si>
  <si>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</si>
  <si>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</si>
  <si>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</si>
  <si>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</si>
  <si>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</si>
  <si>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</si>
  <si>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</si>
  <si>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</si>
  <si>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</si>
  <si>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</si>
  <si>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</si>
  <si>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</si>
  <si>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</si>
  <si>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</si>
  <si>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</si>
  <si>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</si>
  <si>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</si>
  <si>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</si>
  <si>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</si>
  <si>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</si>
  <si>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</si>
  <si>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</si>
  <si>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</si>
  <si>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</si>
  <si>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</si>
  <si>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</si>
  <si>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</si>
  <si>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</si>
  <si>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</si>
  <si>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</si>
  <si>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</si>
  <si>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</si>
  <si>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</si>
  <si>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</si>
  <si>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</si>
  <si>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</si>
  <si>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</si>
  <si>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</si>
  <si>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</si>
  <si>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</si>
  <si>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</si>
  <si>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</si>
  <si>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</si>
  <si>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</si>
  <si>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</si>
  <si>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</si>
  <si>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</si>
  <si>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</si>
  <si>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</si>
  <si>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</si>
  <si>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</si>
  <si>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</si>
  <si>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</si>
  <si>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</si>
  <si>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</si>
  <si>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</si>
  <si>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</si>
  <si>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</si>
  <si>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</si>
  <si>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</si>
  <si>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</si>
  <si>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</si>
  <si>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</si>
  <si>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</si>
  <si>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</si>
  <si>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</si>
  <si>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</si>
  <si>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</si>
  <si>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</si>
  <si>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</si>
  <si>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</si>
  <si>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</si>
  <si>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</si>
  <si>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</si>
  <si>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</si>
  <si>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</si>
  <si>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</si>
  <si>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</si>
  <si>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</si>
  <si>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</si>
  <si>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</si>
  <si>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</si>
  <si>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</si>
  <si>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</si>
  <si>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</si>
  <si>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</si>
  <si>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</si>
  <si>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</si>
  <si>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</si>
  <si>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</si>
  <si>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</si>
  <si>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</si>
  <si>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</si>
  <si>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</si>
  <si>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</si>
  <si>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</si>
  <si>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</si>
  <si>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</si>
  <si>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</si>
  <si>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</si>
  <si>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</si>
  <si>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</si>
  <si>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</si>
  <si>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</si>
  <si>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</si>
  <si>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</si>
  <si>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</si>
  <si>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</si>
  <si>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</si>
  <si>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</si>
  <si>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</si>
  <si>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</si>
  <si>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</si>
  <si>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</si>
  <si>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</si>
  <si>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</si>
  <si>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</si>
  <si>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</si>
  <si>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</si>
  <si>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</si>
  <si>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</si>
  <si>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</si>
  <si>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</si>
  <si>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</si>
  <si>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</si>
  <si>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</si>
  <si>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</si>
  <si>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</si>
  <si>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</si>
  <si>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</si>
  <si>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</si>
  <si>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</si>
  <si>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</si>
  <si>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</si>
  <si>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</si>
  <si>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</si>
  <si>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</si>
  <si>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</si>
  <si>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</si>
  <si>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</si>
  <si>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</si>
  <si>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</si>
  <si>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</si>
  <si>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</si>
  <si>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</si>
  <si>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</si>
  <si>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</si>
  <si>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</si>
  <si>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</si>
  <si>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</si>
  <si>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</si>
  <si>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</si>
  <si>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</si>
  <si>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</si>
  <si>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</si>
  <si>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</si>
  <si>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</si>
  <si>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</si>
  <si>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</si>
  <si>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</si>
  <si>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</si>
  <si>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</si>
  <si>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</si>
  <si>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</si>
  <si>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</si>
  <si>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</si>
  <si>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</si>
  <si>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</si>
  <si>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</si>
  <si>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</si>
  <si>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</si>
  <si>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</si>
  <si>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</si>
  <si>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</si>
  <si>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</si>
  <si>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</si>
  <si>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</si>
  <si>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</si>
  <si>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</si>
  <si>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</si>
  <si>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</si>
  <si>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</si>
  <si>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</si>
  <si>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</si>
  <si>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</si>
  <si>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</si>
  <si>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</si>
  <si>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</si>
  <si>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</si>
  <si>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</si>
  <si>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</si>
  <si>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</si>
  <si>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</si>
  <si>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</si>
  <si>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</si>
  <si>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</si>
  <si>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</si>
  <si>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</si>
  <si>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</si>
  <si>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</si>
  <si>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</si>
  <si>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</si>
  <si>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</si>
  <si>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</si>
  <si>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</si>
  <si>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</si>
  <si>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</si>
  <si>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</si>
  <si>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</si>
  <si>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</si>
  <si>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</si>
  <si>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</si>
  <si>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</si>
  <si>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</si>
  <si>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</si>
  <si>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</si>
  <si>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</si>
  <si>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</si>
  <si>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</si>
  <si>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</si>
  <si>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</si>
  <si>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</si>
  <si>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</si>
  <si>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</si>
  <si>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</si>
  <si>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</si>
  <si>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</si>
  <si>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</si>
  <si>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</si>
  <si>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</si>
  <si>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</si>
  <si>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</si>
  <si>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</si>
  <si>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</si>
  <si>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</si>
  <si>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</si>
  <si>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</si>
  <si>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</si>
  <si>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</si>
  <si>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</si>
  <si>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</si>
  <si>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</si>
  <si>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</si>
  <si>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</si>
  <si>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</si>
  <si>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yvonnecchen</t>
  </si>
  <si>
    <t>RPAA</t>
  </si>
  <si>
    <t>跨境收单</t>
  </si>
  <si>
    <r>
      <t>Date: 2025</t>
    </r>
    <r>
      <rPr>
        <b/>
        <sz val="10"/>
        <color theme="0"/>
        <rFont val="等线"/>
        <family val="4"/>
        <charset val="134"/>
      </rPr>
      <t xml:space="preserve">-09-08 </t>
    </r>
    <r>
      <rPr>
        <b/>
        <sz val="10"/>
        <color theme="0"/>
        <rFont val="新細明體"/>
        <family val="1"/>
        <charset val="136"/>
      </rPr>
      <t xml:space="preserve">- </t>
    </r>
    <r>
      <rPr>
        <b/>
        <sz val="10"/>
        <color theme="0"/>
        <rFont val="新細明體"/>
        <family val="2"/>
        <scheme val="minor"/>
      </rPr>
      <t>2025-09-14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</si>
</sst>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06" zoomScaleNormal="130" workbookViewId="0">
      <selection activeCell="P23" sqref="P2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67.5">
      <c r="B6" s="8" t="s">
        <v>340</v>
      </c>
      <c r="C6" s="9" t="s">
        <v>22</v>
      </c>
      <c r="D6" s="10" t="s">
        <v>54</v>
      </c>
      <c r="E6" s="10" t="s">
        <v>30</v>
      </c>
      <c r="F6" s="9" t="s">
        <v>333</v>
      </c>
      <c r="G6" s="11">
        <v>1.6</v>
      </c>
      <c r="H6" s="9" t="s">
        <v>27</v>
      </c>
      <c r="I6" s="16" t="s">
        <v>341</v>
      </c>
    </row>
    <row r="7" spans="1:9" s="2" customFormat="1" ht="67.5">
      <c r="B7" s="8" t="s">
        <v>340</v>
      </c>
      <c r="C7" s="9" t="s">
        <v>22</v>
      </c>
      <c r="D7" s="10" t="s">
        <v>54</v>
      </c>
      <c r="E7" s="10" t="s">
        <v>30</v>
      </c>
      <c r="F7" s="9" t="s">
        <v>333</v>
      </c>
      <c r="G7" s="11">
        <v>2</v>
      </c>
      <c r="H7" s="9" t="s">
        <v>73</v>
      </c>
      <c r="I7" s="16" t="s">
        <v>341</v>
      </c>
    </row>
    <row r="8" spans="1:9" s="2" customFormat="1" ht="71" customHeight="1">
      <c r="B8" s="8" t="s">
        <v>340</v>
      </c>
      <c r="C8" s="9" t="s">
        <v>22</v>
      </c>
      <c r="D8" s="10" t="s">
        <v>54</v>
      </c>
      <c r="E8" s="10" t="s">
        <v>30</v>
      </c>
      <c r="F8" s="9" t="s">
        <v>337</v>
      </c>
      <c r="G8" s="11">
        <v>3</v>
      </c>
      <c r="H8" s="9" t="s">
        <v>27</v>
      </c>
      <c r="I8" s="16" t="s">
        <v>342</v>
      </c>
    </row>
    <row r="9" spans="1:9" s="2" customFormat="1" ht="80" customHeight="1">
      <c r="B9" s="8" t="s">
        <v>340</v>
      </c>
      <c r="C9" s="9" t="s">
        <v>22</v>
      </c>
      <c r="D9" s="10" t="s">
        <v>54</v>
      </c>
      <c r="E9" s="10" t="s">
        <v>30</v>
      </c>
      <c r="F9" s="9" t="s">
        <v>337</v>
      </c>
      <c r="G9" s="11">
        <v>2</v>
      </c>
      <c r="H9" s="9" t="s">
        <v>24</v>
      </c>
      <c r="I9" s="16" t="s">
        <v>342</v>
      </c>
    </row>
    <row r="10" spans="1:9" s="2" customFormat="1" ht="67.5">
      <c r="B10" s="8" t="s">
        <v>340</v>
      </c>
      <c r="C10" s="9" t="s">
        <v>22</v>
      </c>
      <c r="D10" s="10" t="s">
        <v>58</v>
      </c>
      <c r="E10" s="10" t="s">
        <v>30</v>
      </c>
      <c r="F10" s="9" t="s">
        <v>333</v>
      </c>
      <c r="G10" s="11">
        <v>19</v>
      </c>
      <c r="H10" s="9" t="s">
        <v>27</v>
      </c>
      <c r="I10" s="16"/>
    </row>
    <row r="11" spans="1:9" s="2" customFormat="1" ht="67.5">
      <c r="B11" s="8" t="s">
        <v>340</v>
      </c>
      <c r="C11" s="9" t="s">
        <v>22</v>
      </c>
      <c r="D11" s="10" t="s">
        <v>58</v>
      </c>
      <c r="E11" s="10" t="s">
        <v>30</v>
      </c>
      <c r="F11" s="9" t="s">
        <v>333</v>
      </c>
      <c r="G11" s="11">
        <v>3</v>
      </c>
      <c r="H11" s="9" t="s">
        <v>74</v>
      </c>
      <c r="I11" s="16"/>
    </row>
    <row r="12" spans="1:9" s="2" customFormat="1" ht="67.5">
      <c r="B12" s="8" t="s">
        <v>340</v>
      </c>
      <c r="C12" s="9" t="s">
        <v>22</v>
      </c>
      <c r="D12" s="10" t="s">
        <v>58</v>
      </c>
      <c r="E12" s="10" t="s">
        <v>30</v>
      </c>
      <c r="F12" s="9" t="s">
        <v>333</v>
      </c>
      <c r="G12" s="11">
        <v>14</v>
      </c>
      <c r="H12" s="9" t="s">
        <v>73</v>
      </c>
      <c r="I12" s="16"/>
    </row>
    <row r="13" spans="1:9" s="2" customFormat="1" ht="67.5">
      <c r="B13" s="8" t="s">
        <v>340</v>
      </c>
      <c r="C13" s="9" t="s">
        <v>22</v>
      </c>
      <c r="D13" s="10" t="s">
        <v>58</v>
      </c>
      <c r="E13" s="10" t="s">
        <v>30</v>
      </c>
      <c r="F13" s="9" t="s">
        <v>333</v>
      </c>
      <c r="G13" s="11">
        <v>2</v>
      </c>
      <c r="H13" s="9" t="s">
        <v>24</v>
      </c>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4.5" customHeight="1">
      <c r="B30" s="80" t="s">
        <v>32</v>
      </c>
      <c r="C30" s="81"/>
      <c r="D30" s="82"/>
      <c r="E30" s="12"/>
      <c r="F30" s="12"/>
      <c r="G30" s="83">
        <f>SUM(G6:G29)</f>
        <v>46.6</v>
      </c>
      <c r="H30" s="84"/>
      <c r="I30" s="85"/>
    </row>
    <row r="33" spans="2:4">
      <c r="B33" s="17" t="s">
        <v>81</v>
      </c>
      <c r="C33" s="18" t="s">
        <v>331</v>
      </c>
      <c r="D33" s="75"/>
    </row>
    <row r="34" spans="2:4">
      <c r="C34" s="18" t="s">
        <v>332</v>
      </c>
      <c r="D34" s="75"/>
    </row>
  </sheetData>
  <mergeCells count="4">
    <mergeCell ref="B1:I1"/>
    <mergeCell ref="B2:H2"/>
    <mergeCell ref="B30:D30"/>
    <mergeCell ref="G30:I30"/>
  </mergeCells>
  <phoneticPr fontId="10" type="noConversion"/>
  <dataValidations count="3">
    <dataValidation type="list" errorStyle="warning" allowBlank="1" sqref="C9:C29" xr:uid="{00000000-0002-0000-0000-000005000000}">
      <formula1>项目事项分类项目名称</formula1>
    </dataValidation>
    <dataValidation type="list" allowBlank="1" showInputMessage="1" showErrorMessage="1" sqref="F6:F29" xr:uid="{00000000-0002-0000-0000-000002000000}">
      <formula1>INDIRECT($E6)</formula1>
    </dataValidation>
    <dataValidation type="list" allowBlank="1" showInputMessage="1" showErrorMessage="1" sqref="H6:H29"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C6:C8</xm:sqref>
        </x14:dataValidation>
        <x14:dataValidation type="list" allowBlank="1" showInputMessage="1" showErrorMessage="1" promptTitle="Internal Client" xr:uid="{00000000-0002-0000-0000-000004000000}">
          <x14:formula1>
            <xm:f>'Exhibit II - Internal Client'!$A$1:$A$20</xm:f>
          </x14:formula1>
          <xm:sqref>D6:D29</xm:sqref>
        </x14:dataValidation>
        <x14:dataValidation type="list" allowBlank="1" showInputMessage="1" showErrorMessage="1" xr:uid="{00000000-0002-0000-0000-000007000000}">
          <x14:formula1>
            <xm:f>Tag!$B$2:$E$2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2025-10-02T07:35:13Z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