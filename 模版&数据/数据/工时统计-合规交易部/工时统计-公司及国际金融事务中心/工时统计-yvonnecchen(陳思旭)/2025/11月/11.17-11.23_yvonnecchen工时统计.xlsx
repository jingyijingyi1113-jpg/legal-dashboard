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7929D6D6-1873-4350-A0A2-8CF3DEA5F98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<sst xmlns="http://schemas.openxmlformats.org/spreadsheetml/2006/main" count="473" uniqueCount="344">
  <si>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</si>
  <si>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</si>
  <si>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</si>
  <si>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</si>
  <si>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</si>
  <si>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</si>
  <si>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</si>
  <si>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</si>
  <si>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</si>
  <si>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</si>
  <si>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</si>
  <si>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</si>
  <si>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</si>
  <si>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</si>
  <si>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</si>
  <si>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</si>
  <si>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</si>
  <si>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</si>
  <si>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</si>
  <si>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</si>
  <si>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</si>
  <si>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</si>
  <si>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</si>
  <si>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</si>
  <si>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</si>
  <si>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</si>
  <si>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</si>
  <si>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</si>
  <si>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</si>
  <si>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</si>
  <si>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</si>
  <si>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</si>
  <si>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</si>
  <si>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</si>
  <si>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</si>
  <si>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</si>
  <si>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</si>
  <si>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</si>
  <si>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</si>
  <si>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</si>
  <si>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</si>
  <si>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</si>
  <si>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</si>
  <si>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</si>
  <si>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</si>
  <si>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</si>
  <si>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</si>
  <si>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</si>
  <si>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</si>
  <si>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</si>
  <si>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</si>
  <si>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</si>
  <si>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</si>
  <si>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</si>
  <si>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</si>
  <si>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</si>
  <si>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</si>
  <si>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</si>
  <si>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</si>
  <si>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</si>
  <si>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</si>
  <si>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</si>
  <si>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</si>
  <si>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</si>
  <si>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</si>
  <si>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</si>
  <si>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</si>
  <si>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</si>
  <si>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</si>
  <si>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</si>
  <si>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</si>
  <si>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</si>
  <si>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</si>
  <si>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</si>
  <si>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</si>
  <si>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</si>
  <si>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</si>
  <si>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</si>
  <si>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</si>
  <si>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</si>
  <si>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</si>
  <si>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</si>
  <si>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</si>
  <si>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</si>
  <si>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</si>
  <si>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</si>
  <si>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</si>
  <si>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</si>
  <si>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</si>
  <si>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</si>
  <si>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</si>
  <si>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</si>
  <si>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</si>
  <si>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</si>
  <si>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</si>
  <si>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</si>
  <si>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</si>
  <si>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</si>
  <si>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</si>
  <si>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</si>
  <si>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</si>
  <si>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</si>
  <si>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</si>
  <si>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</si>
  <si>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</si>
  <si>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</si>
  <si>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</si>
  <si>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</si>
  <si>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</si>
  <si>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</si>
  <si>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</si>
  <si>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</si>
  <si>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</si>
  <si>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</si>
  <si>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</si>
  <si>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</si>
  <si>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</si>
  <si>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</si>
  <si>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</si>
  <si>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</si>
  <si>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</si>
  <si>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</si>
  <si>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</si>
  <si>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</si>
  <si>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</si>
  <si>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</si>
  <si>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</si>
  <si>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</si>
  <si>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</si>
  <si>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</si>
  <si>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</si>
  <si>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</si>
  <si>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</si>
  <si>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</si>
  <si>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</si>
  <si>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</si>
  <si>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</si>
  <si>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</si>
  <si>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</si>
  <si>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</si>
  <si>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</si>
  <si>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</si>
  <si>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</si>
  <si>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</si>
  <si>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</si>
  <si>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</si>
  <si>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</si>
  <si>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</si>
  <si>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</si>
  <si>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</si>
  <si>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</si>
  <si>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</si>
  <si>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</si>
  <si>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</si>
  <si>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</si>
  <si>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</si>
  <si>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</si>
  <si>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</si>
  <si>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</si>
  <si>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</si>
  <si>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</si>
  <si>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</si>
  <si>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</si>
  <si>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</si>
  <si>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</si>
  <si>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</si>
  <si>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</si>
  <si>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</si>
  <si>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</si>
  <si>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</si>
  <si>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</si>
  <si>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</si>
  <si>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</si>
  <si>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</si>
  <si>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</si>
  <si>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</si>
  <si>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</si>
  <si>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</si>
  <si>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</si>
  <si>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</si>
  <si>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</si>
  <si>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</si>
  <si>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</si>
  <si>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</si>
  <si>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</si>
  <si>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</si>
  <si>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</si>
  <si>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</si>
  <si>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</si>
  <si>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</si>
  <si>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</si>
  <si>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</si>
  <si>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</si>
  <si>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</si>
  <si>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</si>
  <si>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</si>
  <si>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</si>
  <si>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</si>
  <si>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</si>
  <si>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</si>
  <si>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</si>
  <si>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</si>
  <si>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</si>
  <si>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</si>
  <si>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</si>
  <si>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</si>
  <si>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</si>
  <si>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</si>
  <si>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</si>
  <si>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</si>
  <si>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</si>
  <si>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</si>
  <si>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</si>
  <si>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</si>
  <si>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</si>
  <si>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</si>
  <si>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</si>
  <si>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</si>
  <si>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</si>
  <si>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</si>
  <si>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</si>
  <si>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</si>
  <si>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</si>
  <si>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</si>
  <si>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</si>
  <si>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</si>
  <si>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</si>
  <si>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</si>
  <si>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</si>
  <si>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</si>
  <si>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</si>
  <si>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</si>
  <si>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</si>
  <si>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</si>
  <si>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</si>
  <si>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</si>
  <si>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</si>
  <si>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</si>
  <si>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</si>
  <si>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</si>
  <si>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</si>
  <si>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</si>
  <si>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</si>
  <si>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</si>
  <si>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</si>
  <si>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</si>
  <si>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</si>
  <si>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</si>
  <si>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</si>
  <si>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</si>
  <si>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</si>
  <si>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</si>
  <si>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</si>
  <si>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</si>
  <si>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</si>
  <si>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</si>
  <si>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</si>
  <si>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</si>
  <si>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</si>
  <si>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</si>
  <si>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</si>
  <si>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</si>
  <si>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</si>
  <si>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</si>
  <si>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</si>
  <si>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</si>
  <si>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</si>
  <si>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</si>
  <si>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</si>
  <si>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</si>
  <si>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</si>
  <si>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</si>
  <si>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</si>
  <si>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</si>
  <si>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</si>
  <si>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</si>
  <si>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</si>
  <si>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</si>
  <si>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</si>
  <si>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</si>
  <si>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</si>
  <si>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</si>
  <si>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</si>
  <si>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</si>
  <si>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</si>
  <si>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</si>
  <si>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</si>
  <si>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</si>
  <si>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</si>
  <si>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</si>
  <si>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</si>
  <si>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</si>
  <si>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</si>
  <si>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</si>
  <si>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</si>
  <si>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</si>
  <si>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</si>
  <si>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</si>
  <si>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</si>
  <si>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</si>
  <si>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</si>
  <si>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</si>
  <si>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</si>
  <si>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</si>
  <si>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</si>
  <si>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</si>
  <si>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</si>
  <si>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</si>
  <si>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</si>
  <si>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</si>
  <si>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</si>
  <si>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</si>
  <si>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</si>
  <si>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</si>
  <si>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</si>
  <si>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</si>
  <si>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</si>
  <si>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</si>
  <si>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</si>
  <si>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</si>
  <si>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</si>
  <si>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</si>
  <si>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</si>
  <si>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</si>
  <si>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</si>
  <si>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</si>
  <si>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</si>
  <si>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</si>
  <si>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</si>
  <si>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</si>
  <si>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</si>
  <si>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</si>
  <si>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</si>
  <si>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</si>
  <si>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</si>
  <si>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</si>
  <si>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</si>
  <si>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</si>
  <si>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</si>
  <si>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</si>
  <si>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</si>
  <si>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跨境收单</t>
  </si>
  <si>
    <r>
      <t>Date: 2025</t>
    </r>
    <r>
      <rPr>
        <b/>
        <sz val="10"/>
        <color theme="0"/>
        <rFont val="等线"/>
        <family val="4"/>
        <charset val="134"/>
      </rPr>
      <t xml:space="preserve">-11-17 </t>
    </r>
    <r>
      <rPr>
        <b/>
        <sz val="10"/>
        <color theme="0"/>
        <rFont val="新細明體"/>
        <family val="1"/>
        <charset val="136"/>
      </rPr>
      <t xml:space="preserve">- </t>
    </r>
    <r>
      <rPr>
        <b/>
        <sz val="10"/>
        <color theme="0"/>
        <rFont val="新細明體"/>
        <family val="2"/>
        <scheme val="minor"/>
      </rPr>
      <t>2025-11-23</t>
    </r>
  </si>
  <si>
    <t>Team buidling throughout the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</si>
</sst>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6"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A5" zoomScale="106" zoomScaleNormal="130" workbookViewId="0">
      <selection activeCell="S26" sqref="S2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71" customHeight="1">
      <c r="B6" s="8" t="s">
        <v>340</v>
      </c>
      <c r="C6" s="9" t="s">
        <v>22</v>
      </c>
      <c r="D6" s="10" t="s">
        <v>54</v>
      </c>
      <c r="E6" s="10" t="s">
        <v>30</v>
      </c>
      <c r="F6" s="9" t="s">
        <v>337</v>
      </c>
      <c r="G6" s="11">
        <v>3</v>
      </c>
      <c r="H6" s="9" t="s">
        <v>27</v>
      </c>
      <c r="I6" s="16" t="s">
        <v>341</v>
      </c>
    </row>
    <row r="7" spans="1:9" s="2" customFormat="1" ht="80" customHeight="1">
      <c r="B7" s="8" t="s">
        <v>340</v>
      </c>
      <c r="C7" s="9" t="s">
        <v>22</v>
      </c>
      <c r="D7" s="10" t="s">
        <v>54</v>
      </c>
      <c r="E7" s="10" t="s">
        <v>30</v>
      </c>
      <c r="F7" s="9" t="s">
        <v>337</v>
      </c>
      <c r="G7" s="11">
        <v>1</v>
      </c>
      <c r="H7" s="9" t="s">
        <v>24</v>
      </c>
      <c r="I7" s="16" t="s">
        <v>341</v>
      </c>
    </row>
    <row r="8" spans="1:9" s="2" customFormat="1" ht="67.5">
      <c r="B8" s="8" t="s">
        <v>340</v>
      </c>
      <c r="C8" s="9" t="s">
        <v>22</v>
      </c>
      <c r="D8" s="10" t="s">
        <v>58</v>
      </c>
      <c r="E8" s="10" t="s">
        <v>30</v>
      </c>
      <c r="F8" s="9" t="s">
        <v>333</v>
      </c>
      <c r="G8" s="11">
        <v>12</v>
      </c>
      <c r="H8" s="9" t="s">
        <v>27</v>
      </c>
      <c r="I8" s="16"/>
    </row>
    <row r="9" spans="1:9" s="2" customFormat="1" ht="67.5">
      <c r="B9" s="8" t="s">
        <v>340</v>
      </c>
      <c r="C9" s="9" t="s">
        <v>22</v>
      </c>
      <c r="D9" s="10" t="s">
        <v>58</v>
      </c>
      <c r="E9" s="10" t="s">
        <v>30</v>
      </c>
      <c r="F9" s="9" t="s">
        <v>333</v>
      </c>
      <c r="G9" s="11">
        <v>4</v>
      </c>
      <c r="H9" s="9" t="s">
        <v>73</v>
      </c>
      <c r="I9" s="16"/>
    </row>
    <row r="10" spans="1:9" s="2" customFormat="1" ht="67.5">
      <c r="B10" s="8" t="s">
        <v>340</v>
      </c>
      <c r="C10" s="9" t="s">
        <v>22</v>
      </c>
      <c r="D10" s="10" t="s">
        <v>58</v>
      </c>
      <c r="E10" s="10" t="s">
        <v>30</v>
      </c>
      <c r="F10" s="9" t="s">
        <v>333</v>
      </c>
      <c r="G10" s="11">
        <v>2</v>
      </c>
      <c r="H10" s="9" t="s">
        <v>24</v>
      </c>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4.5" customHeight="1">
      <c r="B27" s="81" t="s">
        <v>32</v>
      </c>
      <c r="C27" s="82"/>
      <c r="D27" s="83"/>
      <c r="E27" s="12"/>
      <c r="F27" s="12"/>
      <c r="G27" s="84">
        <f>SUM(G6:G26)</f>
        <v>22</v>
      </c>
      <c r="H27" s="85"/>
      <c r="I27" s="86"/>
    </row>
    <row r="30" spans="2:9">
      <c r="B30" s="17" t="s">
        <v>81</v>
      </c>
      <c r="C30" s="18" t="s">
        <v>331</v>
      </c>
      <c r="D30" s="76" t="s">
        <v>343</v>
      </c>
    </row>
    <row r="31" spans="2:9">
      <c r="C31" s="18" t="s">
        <v>332</v>
      </c>
      <c r="D31" s="75"/>
    </row>
  </sheetData>
  <mergeCells count="4">
    <mergeCell ref="B1:I1"/>
    <mergeCell ref="B2:H2"/>
    <mergeCell ref="B27:D27"/>
    <mergeCell ref="G27:I27"/>
  </mergeCells>
  <phoneticPr fontId="10" type="noConversion"/>
  <dataValidations count="3">
    <dataValidation type="list" errorStyle="warning" allowBlank="1" sqref="C7:C26" xr:uid="{00000000-0002-0000-0000-000005000000}">
      <formula1>项目事项分类项目名称</formula1>
    </dataValidation>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108.5" outlineLevel="1">
      <c r="C5" s="21" t="s">
        <v>100</v>
      </c>
      <c r="D5" s="109" t="s">
        <v>101</v>
      </c>
      <c r="E5" s="102"/>
      <c r="F5" s="22" t="s">
        <v>102</v>
      </c>
      <c r="G5" s="21" t="s">
        <v>103</v>
      </c>
      <c r="H5" s="21" t="s">
        <v>104</v>
      </c>
      <c r="I5" s="21" t="s">
        <v>105</v>
      </c>
      <c r="J5" s="21" t="s">
        <v>106</v>
      </c>
      <c r="K5" s="110" t="s">
        <v>107</v>
      </c>
      <c r="L5" s="110"/>
      <c r="M5" s="110"/>
      <c r="N5" s="110"/>
    </row>
    <row r="6" spans="2:14" s="23" customFormat="1" ht="201.5"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17"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63.5"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170.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10"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39.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2025-12-03T07:00:10Z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