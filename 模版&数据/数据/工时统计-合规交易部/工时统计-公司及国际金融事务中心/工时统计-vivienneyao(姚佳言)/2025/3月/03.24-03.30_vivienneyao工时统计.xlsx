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43B40ED6-5D53-A04B-868C-2E2BEDE2CB3E}" xr6:coauthVersionLast="47" xr6:coauthVersionMax="47" xr10:uidLastSave="{00000000-0000-0000-0000-000000000000}"/>
  <bookViews>
    <workbookView xWindow="60" yWindow="2380" windowWidth="29400" windowHeight="168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<sst xmlns="http://schemas.openxmlformats.org/spreadsheetml/2006/main" count="593" uniqueCount="363">
  <si>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</si>
  <si>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</si>
  <si>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</si>
  <si>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</si>
  <si>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</si>
  <si>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</si>
  <si>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</si>
  <si>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</si>
  <si>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</si>
  <si>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</si>
  <si>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</si>
  <si>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</si>
  <si>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</si>
  <si>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</si>
  <si>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</si>
  <si>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</si>
  <si>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</si>
  <si>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</si>
  <si>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</si>
  <si>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</si>
  <si>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</si>
  <si>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</si>
  <si>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</si>
  <si>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</si>
  <si>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</si>
  <si>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</si>
  <si>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</si>
  <si>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</si>
  <si>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</si>
  <si>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</si>
  <si>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</si>
  <si>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</si>
  <si>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</si>
  <si>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</si>
  <si>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</si>
  <si>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</si>
  <si>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</si>
  <si>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</si>
  <si>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</si>
  <si>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</si>
  <si>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</si>
  <si>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</si>
  <si>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</si>
  <si>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</si>
  <si>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</si>
  <si>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</si>
  <si>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</si>
  <si>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</si>
  <si>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</si>
  <si>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</si>
  <si>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</si>
  <si>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</si>
  <si>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</si>
  <si>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</si>
  <si>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</si>
  <si>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</si>
  <si>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</si>
  <si>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</si>
  <si>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</si>
  <si>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</si>
  <si>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</si>
  <si>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</si>
  <si>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</si>
  <si>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</si>
  <si>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</si>
  <si>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</si>
  <si>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</si>
  <si>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</si>
  <si>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</si>
  <si>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</si>
  <si>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</si>
  <si>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</si>
  <si>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</si>
  <si>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</si>
  <si>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</si>
  <si>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</si>
  <si>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</si>
  <si>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</si>
  <si>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</si>
  <si>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</si>
  <si>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</si>
  <si>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</si>
  <si>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</si>
  <si>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</si>
  <si>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</si>
  <si>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</si>
  <si>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</si>
  <si>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</si>
  <si>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</si>
  <si>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</si>
  <si>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</si>
  <si>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</si>
  <si>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</si>
  <si>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</si>
  <si>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</si>
  <si>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</si>
  <si>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</si>
  <si>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</si>
  <si>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</si>
  <si>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</si>
  <si>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</si>
  <si>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</si>
  <si>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</si>
  <si>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</si>
  <si>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</si>
  <si>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</si>
  <si>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</si>
  <si>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</si>
  <si>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</si>
  <si>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</si>
  <si>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</si>
  <si>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</si>
  <si>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</si>
  <si>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</si>
  <si>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</si>
  <si>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</si>
  <si>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</si>
  <si>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</si>
  <si>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</si>
  <si>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</si>
  <si>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</si>
  <si>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</si>
  <si>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</si>
  <si>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</si>
  <si>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</si>
  <si>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</si>
  <si>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</si>
  <si>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</si>
  <si>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</si>
  <si>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</si>
  <si>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</si>
  <si>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</si>
  <si>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</si>
  <si>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</si>
  <si>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</si>
  <si>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</si>
  <si>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</si>
  <si>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</si>
  <si>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</si>
  <si>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</si>
  <si>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</si>
  <si>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</si>
  <si>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</si>
  <si>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</si>
  <si>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</si>
  <si>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</si>
  <si>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</si>
  <si>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</si>
  <si>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</si>
  <si>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</si>
  <si>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</si>
  <si>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</si>
  <si>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</si>
  <si>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</si>
  <si>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</si>
  <si>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</si>
  <si>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</si>
  <si>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</si>
  <si>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</si>
  <si>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</si>
  <si>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</si>
  <si>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</si>
  <si>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</si>
  <si>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</si>
  <si>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</si>
  <si>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</si>
  <si>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</si>
  <si>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</si>
  <si>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</si>
  <si>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</si>
  <si>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</si>
  <si>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</si>
  <si>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</si>
  <si>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</si>
  <si>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</si>
  <si>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</si>
  <si>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</si>
  <si>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</si>
  <si>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</si>
  <si>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</si>
  <si>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</si>
  <si>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</si>
  <si>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</si>
  <si>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</si>
  <si>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</si>
  <si>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</si>
  <si>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</si>
  <si>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</si>
  <si>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</si>
  <si>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</si>
  <si>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</si>
  <si>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</si>
  <si>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</si>
  <si>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</si>
  <si>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</si>
  <si>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</si>
  <si>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</si>
  <si>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</si>
  <si>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</si>
  <si>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</si>
  <si>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</si>
  <si>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</si>
  <si>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</si>
  <si>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</si>
  <si>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</si>
  <si>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</si>
  <si>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</si>
  <si>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</si>
  <si>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</si>
  <si>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</si>
  <si>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</si>
  <si>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</si>
  <si>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</si>
  <si>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</si>
  <si>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</si>
  <si>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</si>
  <si>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</si>
  <si>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</si>
  <si>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</si>
  <si>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</si>
  <si>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</si>
  <si>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</si>
  <si>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</si>
  <si>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</si>
  <si>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</si>
  <si>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</si>
  <si>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</si>
  <si>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</si>
  <si>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</si>
  <si>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</si>
  <si>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</si>
  <si>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</si>
  <si>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</si>
  <si>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</si>
  <si>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</si>
  <si>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</si>
  <si>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</si>
  <si>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</si>
  <si>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</si>
  <si>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</si>
  <si>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</si>
  <si>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</si>
  <si>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</si>
  <si>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</si>
  <si>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</si>
  <si>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</si>
  <si>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</si>
  <si>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</si>
  <si>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</si>
  <si>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</si>
  <si>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</si>
  <si>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</si>
  <si>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</si>
  <si>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</si>
  <si>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</si>
  <si>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</si>
  <si>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</si>
  <si>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</si>
  <si>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</si>
  <si>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</si>
  <si>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</si>
  <si>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</si>
  <si>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</si>
  <si>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</si>
  <si>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</si>
  <si>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</si>
  <si>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</si>
  <si>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</si>
  <si>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</si>
  <si>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</si>
  <si>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</si>
  <si>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</si>
  <si>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</si>
  <si>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</si>
  <si>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</si>
  <si>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</si>
  <si>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</si>
  <si>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</si>
  <si>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</si>
  <si>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</si>
  <si>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</si>
  <si>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</si>
  <si>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</si>
  <si>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</si>
  <si>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</si>
  <si>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</si>
  <si>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</si>
  <si>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</si>
  <si>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</si>
  <si>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</si>
  <si>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</si>
  <si>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</si>
  <si>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</si>
  <si>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</si>
  <si>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</si>
  <si>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</si>
  <si>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</si>
  <si>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</si>
  <si>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</si>
  <si>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</si>
  <si>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</si>
  <si>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</si>
  <si>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</si>
  <si>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</si>
  <si>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</si>
  <si>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</si>
  <si>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</si>
  <si>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</si>
  <si>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</si>
  <si>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</si>
  <si>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</si>
  <si>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</si>
  <si>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</si>
  <si>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</si>
  <si>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</si>
  <si>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</si>
  <si>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</si>
  <si>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</si>
  <si>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</si>
  <si>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</si>
  <si>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</si>
  <si>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</si>
  <si>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</si>
  <si>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</si>
  <si>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</si>
  <si>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</si>
  <si>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</si>
  <si>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</si>
  <si>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</si>
  <si>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</si>
  <si>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</si>
  <si>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</si>
  <si>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</si>
  <si>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</si>
  <si>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</si>
  <si>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</si>
  <si>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</si>
  <si>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</si>
  <si>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</si>
  <si>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</si>
  <si>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</si>
  <si>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PUBGM Russia</t>
  </si>
  <si>
    <t>PB RO</t>
  </si>
  <si>
    <t>vivienneyao</t>
  </si>
  <si>
    <t>WeCom-GCTSM</t>
  </si>
  <si>
    <t>Thai Cloud ad-hoc questions</t>
  </si>
  <si>
    <t>AI Legal tech call</t>
  </si>
  <si>
    <t>KBR Agreement Addendum</t>
  </si>
  <si>
    <t>CTD meeting</t>
  </si>
  <si>
    <t>Yuanbao PRC legal knowledge sharing</t>
  </si>
  <si>
    <t>sactions-Aquila Space</t>
  </si>
  <si>
    <t>Sanctions/ABC- CDN</t>
  </si>
  <si>
    <t>Korea WeTV</t>
  </si>
  <si>
    <t>WeChat Out FCC filings</t>
  </si>
  <si>
    <t>CDN analysis- 5 jurisdictions</t>
  </si>
  <si>
    <t xml:space="preserve">Weixin OA Subscription Account </t>
  </si>
  <si>
    <t>Tax- Intragroup Agreement (HK, Cayman and BVI entities)</t>
  </si>
  <si>
    <t xml:space="preserve"> SINNas report- PT KBI</t>
  </si>
  <si>
    <t xml:space="preserve">Email to IEG Overseas Staff </t>
  </si>
  <si>
    <t>invoice</t>
  </si>
  <si>
    <t xml:space="preserve">PSE- CSIG Indonesia </t>
  </si>
  <si>
    <t>KBR matter- director pursuade/EEL response/etc</t>
  </si>
  <si>
    <t>PUBGM LE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</si>
</sst>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
      <i/>
      <sz val="10"/>
      <color rgb="FF203764"/>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1" fillId="10" borderId="1" xfId="0" applyFont="1" applyFill="1" applyBorder="1">
      <alignment vertical="center"/>
    </xf>
    <xf numFmtId="0" fontId="31" fillId="10" borderId="27" xfId="0" applyFont="1" applyFill="1" applyBorder="1">
      <alignment vertical="center"/>
    </xf>
    <xf numFmtId="0" fontId="31" fillId="10" borderId="2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9" zoomScaleNormal="95" workbookViewId="0">
      <selection activeCell="H23" sqref="H2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9" t="s">
        <v>0</v>
      </c>
      <c r="C1" s="80"/>
      <c r="D1" s="80"/>
      <c r="E1" s="80"/>
      <c r="F1" s="80"/>
      <c r="G1" s="80"/>
      <c r="H1" s="80"/>
      <c r="I1" s="80"/>
    </row>
    <row r="2" spans="1:9" ht="16">
      <c r="B2" s="81"/>
      <c r="C2" s="82"/>
      <c r="D2" s="82"/>
      <c r="E2" s="82"/>
      <c r="F2" s="82"/>
      <c r="G2" s="82"/>
      <c r="H2" s="82"/>
      <c r="I2" s="13" t="s">
        <v>339</v>
      </c>
    </row>
    <row r="3" spans="1:9">
      <c r="B3" s="3" t="s">
        <v>1</v>
      </c>
      <c r="C3" s="4" t="s">
        <v>2</v>
      </c>
      <c r="D3" s="4" t="s">
        <v>3</v>
      </c>
      <c r="E3" s="4" t="s">
        <v>4</v>
      </c>
      <c r="F3" s="4" t="s">
        <v>5</v>
      </c>
      <c r="G3" s="4" t="s">
        <v>6</v>
      </c>
      <c r="H3" s="4" t="s">
        <v>7</v>
      </c>
      <c r="I3" s="14" t="s">
        <v>8</v>
      </c>
    </row>
    <row r="4" spans="1:9" s="2" customFormat="1" ht="165.5" customHeight="1">
      <c r="A4" s="5" t="s">
        <v>9</v>
      </c>
      <c r="B4" s="6" t="s">
        <v>10</v>
      </c>
      <c r="C4" s="7" t="s">
        <v>11</v>
      </c>
      <c r="D4" s="7" t="s">
        <v>12</v>
      </c>
      <c r="E4" s="7" t="s">
        <v>322</v>
      </c>
      <c r="F4" s="7" t="s">
        <v>13</v>
      </c>
      <c r="G4" s="7" t="s">
        <v>14</v>
      </c>
      <c r="H4" s="7" t="s">
        <v>15</v>
      </c>
      <c r="I4" s="15" t="s">
        <v>16</v>
      </c>
    </row>
    <row r="5" spans="1:9" s="2" customFormat="1" ht="30">
      <c r="B5" s="8" t="s">
        <v>343</v>
      </c>
      <c r="C5" s="9" t="s">
        <v>45</v>
      </c>
      <c r="D5" s="10" t="s">
        <v>53</v>
      </c>
      <c r="E5" s="10" t="s">
        <v>30</v>
      </c>
      <c r="F5" s="9" t="s">
        <v>340</v>
      </c>
      <c r="G5" s="11">
        <v>2</v>
      </c>
      <c r="H5" s="9" t="s">
        <v>27</v>
      </c>
      <c r="I5" s="16" t="s">
        <v>341</v>
      </c>
    </row>
    <row r="6" spans="1:9" s="2" customFormat="1" ht="30">
      <c r="B6" s="8" t="s">
        <v>343</v>
      </c>
      <c r="C6" s="9" t="s">
        <v>45</v>
      </c>
      <c r="D6" s="10" t="s">
        <v>52</v>
      </c>
      <c r="E6" s="10" t="s">
        <v>30</v>
      </c>
      <c r="F6" s="9" t="s">
        <v>340</v>
      </c>
      <c r="G6" s="11">
        <v>6.1</v>
      </c>
      <c r="H6" s="9" t="s">
        <v>27</v>
      </c>
      <c r="I6" s="16" t="s">
        <v>361</v>
      </c>
    </row>
    <row r="7" spans="1:9" s="2" customFormat="1" ht="45">
      <c r="B7" s="8" t="s">
        <v>343</v>
      </c>
      <c r="C7" s="9" t="s">
        <v>43</v>
      </c>
      <c r="D7" s="10" t="s">
        <v>53</v>
      </c>
      <c r="E7" s="10" t="s">
        <v>30</v>
      </c>
      <c r="F7" s="9" t="s">
        <v>334</v>
      </c>
      <c r="G7" s="11">
        <v>2.2000000000000002</v>
      </c>
      <c r="H7" s="9" t="s">
        <v>27</v>
      </c>
      <c r="I7" s="16" t="s">
        <v>342</v>
      </c>
    </row>
    <row r="8" spans="1:9" s="2" customFormat="1" ht="45">
      <c r="B8" s="8" t="s">
        <v>343</v>
      </c>
      <c r="C8" s="9" t="s">
        <v>43</v>
      </c>
      <c r="D8" s="10" t="s">
        <v>52</v>
      </c>
      <c r="E8" s="10" t="s">
        <v>30</v>
      </c>
      <c r="F8" s="9" t="s">
        <v>334</v>
      </c>
      <c r="G8" s="11">
        <v>1.9</v>
      </c>
      <c r="H8" s="9" t="s">
        <v>24</v>
      </c>
      <c r="I8" s="16" t="s">
        <v>344</v>
      </c>
    </row>
    <row r="9" spans="1:9" s="2" customFormat="1" ht="30">
      <c r="B9" s="8" t="s">
        <v>343</v>
      </c>
      <c r="C9" s="9" t="s">
        <v>45</v>
      </c>
      <c r="D9" s="10" t="s">
        <v>52</v>
      </c>
      <c r="E9" s="10" t="s">
        <v>30</v>
      </c>
      <c r="F9" s="9" t="s">
        <v>326</v>
      </c>
      <c r="G9" s="11">
        <v>0.6</v>
      </c>
      <c r="H9" s="9" t="s">
        <v>27</v>
      </c>
      <c r="I9" s="16" t="s">
        <v>345</v>
      </c>
    </row>
    <row r="10" spans="1:9" s="2" customFormat="1" ht="30">
      <c r="B10" s="8" t="s">
        <v>343</v>
      </c>
      <c r="C10" s="9" t="s">
        <v>45</v>
      </c>
      <c r="D10" s="10" t="s">
        <v>31</v>
      </c>
      <c r="E10" s="10" t="s">
        <v>30</v>
      </c>
      <c r="F10" s="9" t="s">
        <v>326</v>
      </c>
      <c r="G10" s="11">
        <v>1</v>
      </c>
      <c r="H10" s="9" t="s">
        <v>27</v>
      </c>
      <c r="I10" s="16" t="s">
        <v>346</v>
      </c>
    </row>
    <row r="11" spans="1:9" s="2" customFormat="1" ht="30">
      <c r="B11" s="8" t="s">
        <v>343</v>
      </c>
      <c r="C11" s="9" t="s">
        <v>45</v>
      </c>
      <c r="D11" s="10" t="s">
        <v>52</v>
      </c>
      <c r="E11" s="10" t="s">
        <v>30</v>
      </c>
      <c r="F11" s="9" t="s">
        <v>326</v>
      </c>
      <c r="G11" s="11">
        <v>1.5</v>
      </c>
      <c r="H11" s="9" t="s">
        <v>73</v>
      </c>
      <c r="I11" s="16" t="s">
        <v>347</v>
      </c>
    </row>
    <row r="12" spans="1:9" s="2" customFormat="1" ht="30">
      <c r="B12" s="8" t="s">
        <v>343</v>
      </c>
      <c r="C12" s="9" t="s">
        <v>45</v>
      </c>
      <c r="D12" s="10" t="s">
        <v>18</v>
      </c>
      <c r="E12" s="10" t="s">
        <v>33</v>
      </c>
      <c r="F12" s="9" t="s">
        <v>35</v>
      </c>
      <c r="G12" s="11">
        <v>1</v>
      </c>
      <c r="H12" s="9" t="s">
        <v>31</v>
      </c>
      <c r="I12" s="16" t="s">
        <v>348</v>
      </c>
    </row>
    <row r="13" spans="1:9" s="2" customFormat="1" ht="30">
      <c r="B13" s="8" t="s">
        <v>343</v>
      </c>
      <c r="C13" s="9" t="s">
        <v>45</v>
      </c>
      <c r="D13" s="10" t="s">
        <v>52</v>
      </c>
      <c r="E13" s="10" t="s">
        <v>30</v>
      </c>
      <c r="F13" s="9" t="s">
        <v>326</v>
      </c>
      <c r="G13" s="11">
        <v>1.9</v>
      </c>
      <c r="H13" s="9" t="s">
        <v>27</v>
      </c>
      <c r="I13" s="16" t="s">
        <v>349</v>
      </c>
    </row>
    <row r="14" spans="1:9" s="2" customFormat="1" ht="30">
      <c r="B14" s="8" t="s">
        <v>343</v>
      </c>
      <c r="C14" s="9" t="s">
        <v>45</v>
      </c>
      <c r="D14" s="10" t="s">
        <v>52</v>
      </c>
      <c r="E14" s="10" t="s">
        <v>30</v>
      </c>
      <c r="F14" s="9" t="s">
        <v>336</v>
      </c>
      <c r="G14" s="11">
        <v>0.7</v>
      </c>
      <c r="H14" s="9" t="s">
        <v>73</v>
      </c>
      <c r="I14" s="16" t="s">
        <v>350</v>
      </c>
    </row>
    <row r="15" spans="1:9" s="2" customFormat="1" ht="30">
      <c r="B15" s="8" t="s">
        <v>343</v>
      </c>
      <c r="C15" s="9" t="s">
        <v>45</v>
      </c>
      <c r="D15" s="10" t="s">
        <v>52</v>
      </c>
      <c r="E15" s="10" t="s">
        <v>30</v>
      </c>
      <c r="F15" s="9" t="s">
        <v>326</v>
      </c>
      <c r="G15" s="11">
        <v>3.5</v>
      </c>
      <c r="H15" s="9" t="s">
        <v>24</v>
      </c>
      <c r="I15" s="16" t="s">
        <v>354</v>
      </c>
    </row>
    <row r="16" spans="1:9" s="2" customFormat="1" ht="30">
      <c r="B16" s="8" t="s">
        <v>343</v>
      </c>
      <c r="C16" s="9" t="s">
        <v>45</v>
      </c>
      <c r="D16" s="10" t="s">
        <v>52</v>
      </c>
      <c r="E16" s="10" t="s">
        <v>30</v>
      </c>
      <c r="F16" s="9" t="s">
        <v>336</v>
      </c>
      <c r="G16" s="11">
        <v>2.2999999999999998</v>
      </c>
      <c r="H16" s="9" t="s">
        <v>24</v>
      </c>
      <c r="I16" s="16" t="s">
        <v>351</v>
      </c>
    </row>
    <row r="17" spans="2:9" s="2" customFormat="1" ht="30">
      <c r="B17" s="8" t="s">
        <v>343</v>
      </c>
      <c r="C17" s="9" t="s">
        <v>45</v>
      </c>
      <c r="D17" s="10" t="s">
        <v>52</v>
      </c>
      <c r="E17" s="10" t="s">
        <v>30</v>
      </c>
      <c r="F17" s="9" t="s">
        <v>340</v>
      </c>
      <c r="G17" s="11">
        <v>1.7</v>
      </c>
      <c r="H17" s="9" t="s">
        <v>79</v>
      </c>
      <c r="I17" s="16" t="s">
        <v>352</v>
      </c>
    </row>
    <row r="18" spans="2:9" s="2" customFormat="1" ht="30">
      <c r="B18" s="8" t="s">
        <v>343</v>
      </c>
      <c r="C18" s="9" t="s">
        <v>45</v>
      </c>
      <c r="D18" s="10" t="s">
        <v>52</v>
      </c>
      <c r="E18" s="10" t="s">
        <v>30</v>
      </c>
      <c r="F18" s="9" t="s">
        <v>326</v>
      </c>
      <c r="G18" s="11">
        <v>2.9</v>
      </c>
      <c r="H18" s="9" t="s">
        <v>79</v>
      </c>
      <c r="I18" s="16" t="s">
        <v>353</v>
      </c>
    </row>
    <row r="19" spans="2:9" s="2" customFormat="1" ht="30">
      <c r="B19" s="8" t="s">
        <v>343</v>
      </c>
      <c r="C19" s="9" t="s">
        <v>45</v>
      </c>
      <c r="D19" s="10" t="s">
        <v>54</v>
      </c>
      <c r="E19" s="10" t="s">
        <v>30</v>
      </c>
      <c r="F19" s="9" t="s">
        <v>326</v>
      </c>
      <c r="G19" s="11">
        <v>0.7</v>
      </c>
      <c r="H19" s="9" t="s">
        <v>24</v>
      </c>
      <c r="I19" s="16" t="s">
        <v>355</v>
      </c>
    </row>
    <row r="20" spans="2:9" s="2" customFormat="1" ht="30">
      <c r="B20" s="8" t="s">
        <v>343</v>
      </c>
      <c r="C20" s="9" t="s">
        <v>45</v>
      </c>
      <c r="D20" s="10" t="s">
        <v>48</v>
      </c>
      <c r="E20" s="10" t="s">
        <v>30</v>
      </c>
      <c r="F20" s="9" t="s">
        <v>326</v>
      </c>
      <c r="G20" s="11">
        <v>1.4</v>
      </c>
      <c r="H20" s="9" t="s">
        <v>73</v>
      </c>
      <c r="I20" s="16" t="s">
        <v>356</v>
      </c>
    </row>
    <row r="21" spans="2:9" s="2" customFormat="1" ht="45">
      <c r="B21" s="8" t="s">
        <v>343</v>
      </c>
      <c r="C21" s="9" t="s">
        <v>43</v>
      </c>
      <c r="D21" s="76" t="s">
        <v>50</v>
      </c>
      <c r="E21" s="77" t="s">
        <v>30</v>
      </c>
      <c r="F21" s="78" t="s">
        <v>334</v>
      </c>
      <c r="G21" s="11">
        <v>1.5</v>
      </c>
      <c r="H21" s="9" t="s">
        <v>73</v>
      </c>
      <c r="I21" s="16" t="s">
        <v>357</v>
      </c>
    </row>
    <row r="22" spans="2:9" s="2" customFormat="1" ht="30">
      <c r="B22" s="8" t="s">
        <v>343</v>
      </c>
      <c r="C22" s="9" t="s">
        <v>43</v>
      </c>
      <c r="D22" s="10" t="s">
        <v>52</v>
      </c>
      <c r="E22" s="10" t="s">
        <v>30</v>
      </c>
      <c r="F22" s="9" t="s">
        <v>326</v>
      </c>
      <c r="G22" s="11">
        <v>0.5</v>
      </c>
      <c r="H22" s="9" t="s">
        <v>73</v>
      </c>
      <c r="I22" s="16" t="s">
        <v>358</v>
      </c>
    </row>
    <row r="23" spans="2:9" s="2" customFormat="1" ht="30">
      <c r="B23" s="8" t="s">
        <v>343</v>
      </c>
      <c r="C23" s="9" t="s">
        <v>45</v>
      </c>
      <c r="D23" s="10" t="s">
        <v>52</v>
      </c>
      <c r="E23" s="10" t="s">
        <v>30</v>
      </c>
      <c r="F23" s="9" t="s">
        <v>326</v>
      </c>
      <c r="G23" s="11">
        <v>1.7</v>
      </c>
      <c r="H23" s="9" t="s">
        <v>79</v>
      </c>
      <c r="I23" s="16" t="s">
        <v>362</v>
      </c>
    </row>
    <row r="24" spans="2:9" s="2" customFormat="1" ht="30">
      <c r="B24" s="8" t="s">
        <v>343</v>
      </c>
      <c r="C24" s="9" t="s">
        <v>45</v>
      </c>
      <c r="D24" s="10" t="s">
        <v>52</v>
      </c>
      <c r="E24" s="10" t="s">
        <v>30</v>
      </c>
      <c r="F24" s="9" t="s">
        <v>326</v>
      </c>
      <c r="G24" s="11">
        <v>1.2</v>
      </c>
      <c r="H24" s="9" t="s">
        <v>27</v>
      </c>
      <c r="I24" s="16" t="s">
        <v>360</v>
      </c>
    </row>
    <row r="25" spans="2:9" s="2" customFormat="1" ht="30">
      <c r="B25" s="8" t="s">
        <v>343</v>
      </c>
      <c r="C25" s="9" t="s">
        <v>45</v>
      </c>
      <c r="D25" s="10" t="s">
        <v>31</v>
      </c>
      <c r="E25" s="10" t="s">
        <v>33</v>
      </c>
      <c r="F25" s="9" t="s">
        <v>39</v>
      </c>
      <c r="G25" s="11">
        <v>0.6</v>
      </c>
      <c r="H25" s="9" t="s">
        <v>31</v>
      </c>
      <c r="I25" s="16"/>
    </row>
    <row r="26" spans="2:9" s="2" customFormat="1">
      <c r="B26" s="8" t="s">
        <v>343</v>
      </c>
      <c r="C26" s="9" t="s">
        <v>28</v>
      </c>
      <c r="D26" s="10" t="s">
        <v>31</v>
      </c>
      <c r="E26" s="10" t="s">
        <v>33</v>
      </c>
      <c r="F26" s="9" t="s">
        <v>36</v>
      </c>
      <c r="G26" s="11">
        <v>0.3</v>
      </c>
      <c r="H26" s="9" t="s">
        <v>31</v>
      </c>
      <c r="I26" s="16" t="s">
        <v>359</v>
      </c>
    </row>
    <row r="27" spans="2:9" s="2" customFormat="1" ht="14.5" customHeight="1">
      <c r="B27" s="83" t="s">
        <v>32</v>
      </c>
      <c r="C27" s="84"/>
      <c r="D27" s="85"/>
      <c r="E27" s="12"/>
      <c r="F27" s="12"/>
      <c r="G27" s="86">
        <f>SUM(G5:G26)</f>
        <v>37.199999999999996</v>
      </c>
      <c r="H27" s="87"/>
      <c r="I27" s="88"/>
    </row>
    <row r="30" spans="2:9" ht="16">
      <c r="B30" s="17" t="s">
        <v>81</v>
      </c>
      <c r="C30" s="18" t="s">
        <v>331</v>
      </c>
      <c r="D30" s="75"/>
    </row>
    <row r="31" spans="2:9" ht="16">
      <c r="C31" s="18" t="s">
        <v>332</v>
      </c>
    </row>
  </sheetData>
  <mergeCells count="4">
    <mergeCell ref="B1:I1"/>
    <mergeCell ref="B2:H2"/>
    <mergeCell ref="B27:D27"/>
    <mergeCell ref="G27:I27"/>
  </mergeCells>
  <phoneticPr fontId="10" type="noConversion"/>
  <dataValidations count="4">
    <dataValidation type="list" allowBlank="1" showInputMessage="1" showErrorMessage="1" sqref="F12 F16:F17 F14 F5:F8 F25:F26" xr:uid="{00000000-0002-0000-0000-000002000000}">
      <formula1>INDIRECT($E5)</formula1>
    </dataValidation>
    <dataValidation type="list" allowBlank="1" showInputMessage="1" showErrorMessage="1" sqref="F18:F20 F13 F15 F9:F11 F22:F24" xr:uid="{455CC7D9-48E2-8647-B843-5DAE6C2E0340}">
      <formula1>INDIRECT(#REF!)</formula1>
    </dataValidation>
    <dataValidation type="list" errorStyle="warning" allowBlank="1" sqref="C5:C26" xr:uid="{00000000-0002-0000-0000-000005000000}">
      <formula1>项目事项分类项目名称</formula1>
    </dataValidation>
    <dataValidation type="list" allowBlank="1" showInputMessage="1" showErrorMessage="1" sqref="H5:H2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D5:D13 D20</xm:sqref>
        </x14:dataValidation>
        <x14:dataValidation type="list" allowBlank="1" showInputMessage="1" showErrorMessage="1" xr:uid="{00000000-0002-0000-0000-000007000000}">
          <x14:formula1>
            <xm:f>Tag!$B$2:$E$2</xm:f>
          </x14:formula1>
          <xm:sqref>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ht="17">
      <c r="C4" s="127"/>
      <c r="D4" s="108"/>
      <c r="E4" s="120"/>
      <c r="F4" s="127"/>
      <c r="G4" s="127"/>
      <c r="H4" s="127"/>
      <c r="I4" s="127"/>
      <c r="J4" s="127"/>
      <c r="K4" s="20" t="s">
        <v>64</v>
      </c>
      <c r="L4" s="20" t="s">
        <v>65</v>
      </c>
      <c r="M4" s="20" t="s">
        <v>66</v>
      </c>
      <c r="N4" s="20" t="s">
        <v>67</v>
      </c>
    </row>
    <row r="5" spans="2:14" ht="102" outlineLevel="1">
      <c r="C5" s="21" t="s">
        <v>100</v>
      </c>
      <c r="D5" s="111" t="s">
        <v>101</v>
      </c>
      <c r="E5" s="104"/>
      <c r="F5" s="22" t="s">
        <v>102</v>
      </c>
      <c r="G5" s="21" t="s">
        <v>103</v>
      </c>
      <c r="H5" s="21" t="s">
        <v>104</v>
      </c>
      <c r="I5" s="21" t="s">
        <v>105</v>
      </c>
      <c r="J5" s="21" t="s">
        <v>106</v>
      </c>
      <c r="K5" s="112" t="s">
        <v>107</v>
      </c>
      <c r="L5" s="112"/>
      <c r="M5" s="112"/>
      <c r="N5" s="112"/>
    </row>
    <row r="6" spans="2:14" s="23" customFormat="1" ht="187"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72"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8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306"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6"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70"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102"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238">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72"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6"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53"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2025-04-08T02:47:58Z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