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28748017-C53B-4D10-BAAC-1EA5475AF9A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<sst xmlns="http://schemas.openxmlformats.org/spreadsheetml/2006/main" count="629" uniqueCount="369">
  <si>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</si>
  <si>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</si>
  <si>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</si>
  <si>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</si>
  <si>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</si>
  <si>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</si>
  <si>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</si>
  <si>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</si>
  <si>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</si>
  <si>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</si>
  <si>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</si>
  <si>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</si>
  <si>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</si>
  <si>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</si>
  <si>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</si>
  <si>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</si>
  <si>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</si>
  <si>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</si>
  <si>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</si>
  <si>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</si>
  <si>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</si>
  <si>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</si>
  <si>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</si>
  <si>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</si>
  <si>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</si>
  <si>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</si>
  <si>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</si>
  <si>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</si>
  <si>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</si>
  <si>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</si>
  <si>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</si>
  <si>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</si>
  <si>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</si>
  <si>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</si>
  <si>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</si>
  <si>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</si>
  <si>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</si>
  <si>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</si>
  <si>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</si>
  <si>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</si>
  <si>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</si>
  <si>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</si>
  <si>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</si>
  <si>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</si>
  <si>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</si>
  <si>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</si>
  <si>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</si>
  <si>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</si>
  <si>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</si>
  <si>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</si>
  <si>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</si>
  <si>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</si>
  <si>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</si>
  <si>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</si>
  <si>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</si>
  <si>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</si>
  <si>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</si>
  <si>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</si>
  <si>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</si>
  <si>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</si>
  <si>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</si>
  <si>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</si>
  <si>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</si>
  <si>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</si>
  <si>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</si>
  <si>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</si>
  <si>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</si>
  <si>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</si>
  <si>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</si>
  <si>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</si>
  <si>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</si>
  <si>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</si>
  <si>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</si>
  <si>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</si>
  <si>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</si>
  <si>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</si>
  <si>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</si>
  <si>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</si>
  <si>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</si>
  <si>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</si>
  <si>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</si>
  <si>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</si>
  <si>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</si>
  <si>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</si>
  <si>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</si>
  <si>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</si>
  <si>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</si>
  <si>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</si>
  <si>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</si>
  <si>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</si>
  <si>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</si>
  <si>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</si>
  <si>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</si>
  <si>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</si>
  <si>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</si>
  <si>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</si>
  <si>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</si>
  <si>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</si>
  <si>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</si>
  <si>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</si>
  <si>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</si>
  <si>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</si>
  <si>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</si>
  <si>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</si>
  <si>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</si>
  <si>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</si>
  <si>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</si>
  <si>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</si>
  <si>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</si>
  <si>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</si>
  <si>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</si>
  <si>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</si>
  <si>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</si>
  <si>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</si>
  <si>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</si>
  <si>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</si>
  <si>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</si>
  <si>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</si>
  <si>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</si>
  <si>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</si>
  <si>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</si>
  <si>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</si>
  <si>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</si>
  <si>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</si>
  <si>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</si>
  <si>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</si>
  <si>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</si>
  <si>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</si>
  <si>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</si>
  <si>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</si>
  <si>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</si>
  <si>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</si>
  <si>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</si>
  <si>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</si>
  <si>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</si>
  <si>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</si>
  <si>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</si>
  <si>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</si>
  <si>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</si>
  <si>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</si>
  <si>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</si>
  <si>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</si>
  <si>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</si>
  <si>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</si>
  <si>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</si>
  <si>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</si>
  <si>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</si>
  <si>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</si>
  <si>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</si>
  <si>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</si>
  <si>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</si>
  <si>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</si>
  <si>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</si>
  <si>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</si>
  <si>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</si>
  <si>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</si>
  <si>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</si>
  <si>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</si>
  <si>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</si>
  <si>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</si>
  <si>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</si>
  <si>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</si>
  <si>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</si>
  <si>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</si>
  <si>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</si>
  <si>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</si>
  <si>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</si>
  <si>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</si>
  <si>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</si>
  <si>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</si>
  <si>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</si>
  <si>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</si>
  <si>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</si>
  <si>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</si>
  <si>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</si>
  <si>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</si>
  <si>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</si>
  <si>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</si>
  <si>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</si>
  <si>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</si>
  <si>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</si>
  <si>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</si>
  <si>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</si>
  <si>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</si>
  <si>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</si>
  <si>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</si>
  <si>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</si>
  <si>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</si>
  <si>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</si>
  <si>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</si>
  <si>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</si>
  <si>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</si>
  <si>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</si>
  <si>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</si>
  <si>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</si>
  <si>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</si>
  <si>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</si>
  <si>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</si>
  <si>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</si>
  <si>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</si>
  <si>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</si>
  <si>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</si>
  <si>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</si>
  <si>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</si>
  <si>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</si>
  <si>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</si>
  <si>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</si>
  <si>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</si>
  <si>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</si>
  <si>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</si>
  <si>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</si>
  <si>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</si>
  <si>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</si>
  <si>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</si>
  <si>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</si>
  <si>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</si>
  <si>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</si>
  <si>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</si>
  <si>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</si>
  <si>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</si>
  <si>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</si>
  <si>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</si>
  <si>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</si>
  <si>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</si>
  <si>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</si>
  <si>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</si>
  <si>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</si>
  <si>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</si>
  <si>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</si>
  <si>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</si>
  <si>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</si>
  <si>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</si>
  <si>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</si>
  <si>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</si>
  <si>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</si>
  <si>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</si>
  <si>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</si>
  <si>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</si>
  <si>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</si>
  <si>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</si>
  <si>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</si>
  <si>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</si>
  <si>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</si>
  <si>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</si>
  <si>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</si>
  <si>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</si>
  <si>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</si>
  <si>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</si>
  <si>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</si>
  <si>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</si>
  <si>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</si>
  <si>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</si>
  <si>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</si>
  <si>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</si>
  <si>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</si>
  <si>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</si>
  <si>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</si>
  <si>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</si>
  <si>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</si>
  <si>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</si>
  <si>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</si>
  <si>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</si>
  <si>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</si>
  <si>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</si>
  <si>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</si>
  <si>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</si>
  <si>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</si>
  <si>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</si>
  <si>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</si>
  <si>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</si>
  <si>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</si>
  <si>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</si>
  <si>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</si>
  <si>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</si>
  <si>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</si>
  <si>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</si>
  <si>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</si>
  <si>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</si>
  <si>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</si>
  <si>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</si>
  <si>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</si>
  <si>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</si>
  <si>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</si>
  <si>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</si>
  <si>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</si>
  <si>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</si>
  <si>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</si>
  <si>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</si>
  <si>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</si>
  <si>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</si>
  <si>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</si>
  <si>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</si>
  <si>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</si>
  <si>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</si>
  <si>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</si>
  <si>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</si>
  <si>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</si>
  <si>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</si>
  <si>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</si>
  <si>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</si>
  <si>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</si>
  <si>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</si>
  <si>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</si>
  <si>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</si>
  <si>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</si>
  <si>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</si>
  <si>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</si>
  <si>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</si>
  <si>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</si>
  <si>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</si>
  <si>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</si>
  <si>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</si>
  <si>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</si>
  <si>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</si>
  <si>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</si>
  <si>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</si>
  <si>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</si>
  <si>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</si>
  <si>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</si>
  <si>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</si>
  <si>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</si>
  <si>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</si>
  <si>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</si>
  <si>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</si>
  <si>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</si>
  <si>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</si>
  <si>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</si>
  <si>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</si>
  <si>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</si>
  <si>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</si>
  <si>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</si>
  <si>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</si>
  <si>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</si>
  <si>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</si>
  <si>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</si>
  <si>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</si>
  <si>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</si>
  <si>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</si>
  <si>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</si>
  <si>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</si>
  <si>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</si>
  <si>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</si>
  <si>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KBR</t>
  </si>
  <si>
    <t>DNN engagement</t>
  </si>
  <si>
    <t>Komdigi official- Indonesia</t>
  </si>
  <si>
    <t>Tencent Thai Police reuqest</t>
  </si>
  <si>
    <t>Korea VSP</t>
  </si>
  <si>
    <t>US LEA Practice Review- US</t>
  </si>
  <si>
    <t>US LEA Practice Review- SG law</t>
  </si>
  <si>
    <t>KBR Debt Offset Discussion</t>
  </si>
  <si>
    <t>Intelligent Guidance -compliance</t>
  </si>
  <si>
    <t>ACS scoring- compliance</t>
  </si>
  <si>
    <t xml:space="preserve">Chat  ESP </t>
  </si>
  <si>
    <t>KSA- Cross Border Payment Service</t>
  </si>
  <si>
    <t>email to IEG overseas staff - 【gamescom 2025】SPOTLIGHTS REVEALED</t>
  </si>
  <si>
    <t>TCI - Seeking Comments on Technical Specification for Calling Name Service</t>
  </si>
  <si>
    <t>billing- US OMM/ Bakers</t>
  </si>
  <si>
    <t>1 on 1</t>
  </si>
  <si>
    <t>ITSK牌照项目进展例会</t>
  </si>
  <si>
    <t>泰国主体问题对齐-yining</t>
  </si>
  <si>
    <t>Call with TW counsel</t>
  </si>
  <si>
    <t>OPTW police request</t>
  </si>
  <si>
    <t>PB LEs</t>
  </si>
  <si>
    <t>PUBGM Russia</t>
  </si>
  <si>
    <t>WeChat AG</t>
  </si>
  <si>
    <t>TW cloud queries</t>
  </si>
  <si>
    <t>Clood ac hoc quesries</t>
  </si>
  <si>
    <t>summary of product entities and licenses and obligations</t>
  </si>
  <si>
    <t>palmda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</si>
</sst>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5" zoomScale="101" zoomScaleNormal="95" workbookViewId="0">
      <selection activeCell="C19" sqref="C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76" t="s">
        <v>340</v>
      </c>
      <c r="C6" s="9" t="s">
        <v>43</v>
      </c>
      <c r="D6" s="10" t="s">
        <v>52</v>
      </c>
      <c r="E6" s="9" t="s">
        <v>30</v>
      </c>
      <c r="F6" s="9" t="s">
        <v>334</v>
      </c>
      <c r="G6" s="77">
        <v>1</v>
      </c>
      <c r="H6" s="9" t="s">
        <v>27</v>
      </c>
      <c r="I6" s="16" t="s">
        <v>342</v>
      </c>
    </row>
    <row r="7" spans="1:9" s="2" customFormat="1" ht="40.5">
      <c r="B7" s="76" t="s">
        <v>340</v>
      </c>
      <c r="C7" s="9" t="s">
        <v>45</v>
      </c>
      <c r="D7" s="10" t="s">
        <v>52</v>
      </c>
      <c r="E7" s="9" t="s">
        <v>30</v>
      </c>
      <c r="F7" s="9" t="s">
        <v>339</v>
      </c>
      <c r="G7" s="77">
        <v>0.4</v>
      </c>
      <c r="H7" s="9" t="s">
        <v>27</v>
      </c>
      <c r="I7" s="16" t="s">
        <v>343</v>
      </c>
    </row>
    <row r="8" spans="1:9" s="2" customFormat="1" ht="40.5">
      <c r="B8" s="76" t="s">
        <v>340</v>
      </c>
      <c r="C8" s="9" t="s">
        <v>45</v>
      </c>
      <c r="D8" s="10" t="s">
        <v>52</v>
      </c>
      <c r="E8" s="9" t="s">
        <v>30</v>
      </c>
      <c r="F8" s="9" t="s">
        <v>339</v>
      </c>
      <c r="G8" s="11">
        <v>1.3</v>
      </c>
      <c r="H8" s="9" t="s">
        <v>79</v>
      </c>
      <c r="I8" s="16" t="s">
        <v>344</v>
      </c>
    </row>
    <row r="9" spans="1:9" s="2" customFormat="1" ht="54">
      <c r="B9" s="76" t="s">
        <v>340</v>
      </c>
      <c r="C9" s="9" t="s">
        <v>43</v>
      </c>
      <c r="D9" s="10" t="s">
        <v>52</v>
      </c>
      <c r="E9" s="9" t="s">
        <v>30</v>
      </c>
      <c r="F9" s="9" t="s">
        <v>334</v>
      </c>
      <c r="G9" s="77">
        <v>2.8</v>
      </c>
      <c r="H9" s="9" t="s">
        <v>79</v>
      </c>
      <c r="I9" s="16" t="s">
        <v>345</v>
      </c>
    </row>
    <row r="10" spans="1:9" s="2" customFormat="1" ht="40.5">
      <c r="B10" s="76" t="s">
        <v>340</v>
      </c>
      <c r="C10" s="9" t="s">
        <v>45</v>
      </c>
      <c r="D10" s="10" t="s">
        <v>53</v>
      </c>
      <c r="E10" s="9" t="s">
        <v>30</v>
      </c>
      <c r="F10" s="9" t="s">
        <v>339</v>
      </c>
      <c r="G10" s="11">
        <v>0.3</v>
      </c>
      <c r="H10" s="9" t="s">
        <v>27</v>
      </c>
      <c r="I10" s="16" t="s">
        <v>346</v>
      </c>
    </row>
    <row r="11" spans="1:9" s="2" customFormat="1" ht="40.5">
      <c r="B11" s="76" t="s">
        <v>340</v>
      </c>
      <c r="C11" s="9" t="s">
        <v>45</v>
      </c>
      <c r="D11" s="10" t="s">
        <v>54</v>
      </c>
      <c r="E11" s="9" t="s">
        <v>30</v>
      </c>
      <c r="F11" s="9" t="s">
        <v>339</v>
      </c>
      <c r="G11" s="77">
        <v>2.2999999999999998</v>
      </c>
      <c r="H11" s="9" t="s">
        <v>24</v>
      </c>
      <c r="I11" s="16" t="s">
        <v>347</v>
      </c>
    </row>
    <row r="12" spans="1:9" s="2" customFormat="1" ht="40.5">
      <c r="B12" s="76" t="s">
        <v>340</v>
      </c>
      <c r="C12" s="9" t="s">
        <v>45</v>
      </c>
      <c r="D12" s="10" t="s">
        <v>54</v>
      </c>
      <c r="E12" s="9" t="s">
        <v>30</v>
      </c>
      <c r="F12" s="9" t="s">
        <v>339</v>
      </c>
      <c r="G12" s="77">
        <v>1.2</v>
      </c>
      <c r="H12" s="9" t="s">
        <v>24</v>
      </c>
      <c r="I12" s="16" t="s">
        <v>348</v>
      </c>
    </row>
    <row r="13" spans="1:9" s="2" customFormat="1" ht="54">
      <c r="B13" s="76" t="s">
        <v>340</v>
      </c>
      <c r="C13" s="9" t="s">
        <v>43</v>
      </c>
      <c r="D13" s="10" t="s">
        <v>52</v>
      </c>
      <c r="E13" s="9" t="s">
        <v>30</v>
      </c>
      <c r="F13" s="9" t="s">
        <v>334</v>
      </c>
      <c r="G13" s="77">
        <v>1.7</v>
      </c>
      <c r="H13" s="9" t="s">
        <v>24</v>
      </c>
      <c r="I13" s="16" t="s">
        <v>349</v>
      </c>
    </row>
    <row r="14" spans="1:9" s="2" customFormat="1" ht="27">
      <c r="B14" s="76" t="s">
        <v>340</v>
      </c>
      <c r="C14" s="9" t="s">
        <v>45</v>
      </c>
      <c r="D14" s="10" t="s">
        <v>52</v>
      </c>
      <c r="E14" s="9" t="s">
        <v>30</v>
      </c>
      <c r="F14" s="9" t="s">
        <v>326</v>
      </c>
      <c r="G14" s="77">
        <v>1.2</v>
      </c>
      <c r="H14" s="9" t="s">
        <v>24</v>
      </c>
      <c r="I14" s="16" t="s">
        <v>350</v>
      </c>
    </row>
    <row r="15" spans="1:9" s="2" customFormat="1" ht="67.5">
      <c r="B15" s="76" t="s">
        <v>340</v>
      </c>
      <c r="C15" s="9" t="s">
        <v>22</v>
      </c>
      <c r="D15" s="10" t="s">
        <v>52</v>
      </c>
      <c r="E15" s="9" t="s">
        <v>30</v>
      </c>
      <c r="F15" s="9" t="s">
        <v>333</v>
      </c>
      <c r="G15" s="11">
        <v>2.2999999999999998</v>
      </c>
      <c r="H15" s="9" t="s">
        <v>24</v>
      </c>
      <c r="I15" s="16" t="s">
        <v>351</v>
      </c>
    </row>
    <row r="16" spans="1:9" s="2" customFormat="1" ht="27">
      <c r="B16" s="76" t="s">
        <v>340</v>
      </c>
      <c r="C16" s="9" t="s">
        <v>45</v>
      </c>
      <c r="D16" s="10" t="s">
        <v>52</v>
      </c>
      <c r="E16" s="9" t="s">
        <v>30</v>
      </c>
      <c r="F16" s="9" t="s">
        <v>326</v>
      </c>
      <c r="G16" s="11">
        <v>2</v>
      </c>
      <c r="H16" s="9" t="s">
        <v>79</v>
      </c>
      <c r="I16" s="16" t="s">
        <v>352</v>
      </c>
    </row>
    <row r="17" spans="2:9" s="2" customFormat="1" ht="27">
      <c r="B17" s="76" t="s">
        <v>340</v>
      </c>
      <c r="C17" s="9" t="s">
        <v>22</v>
      </c>
      <c r="D17" s="10" t="s">
        <v>54</v>
      </c>
      <c r="E17" s="9" t="s">
        <v>30</v>
      </c>
      <c r="F17" s="9" t="s">
        <v>326</v>
      </c>
      <c r="G17" s="11">
        <v>3.6</v>
      </c>
      <c r="H17" s="9" t="s">
        <v>24</v>
      </c>
      <c r="I17" s="16" t="s">
        <v>353</v>
      </c>
    </row>
    <row r="18" spans="2:9" s="2" customFormat="1" ht="54">
      <c r="B18" s="76" t="s">
        <v>340</v>
      </c>
      <c r="C18" s="9" t="s">
        <v>43</v>
      </c>
      <c r="D18" s="10" t="s">
        <v>52</v>
      </c>
      <c r="E18" s="9" t="s">
        <v>30</v>
      </c>
      <c r="F18" s="9" t="s">
        <v>334</v>
      </c>
      <c r="G18" s="77">
        <v>0.5</v>
      </c>
      <c r="H18" s="9" t="s">
        <v>73</v>
      </c>
      <c r="I18" s="16" t="s">
        <v>354</v>
      </c>
    </row>
    <row r="19" spans="2:9" s="2" customFormat="1" ht="40.5">
      <c r="B19" s="76" t="s">
        <v>340</v>
      </c>
      <c r="C19" s="9" t="s">
        <v>45</v>
      </c>
      <c r="D19" s="10" t="s">
        <v>52</v>
      </c>
      <c r="E19" s="9" t="s">
        <v>30</v>
      </c>
      <c r="F19" s="9" t="s">
        <v>339</v>
      </c>
      <c r="G19" s="77">
        <v>0.4</v>
      </c>
      <c r="H19" s="9" t="s">
        <v>27</v>
      </c>
      <c r="I19" s="16" t="s">
        <v>355</v>
      </c>
    </row>
    <row r="20" spans="2:9" s="2" customFormat="1" ht="13.5">
      <c r="B20" s="76" t="s">
        <v>340</v>
      </c>
      <c r="C20" s="9" t="s">
        <v>28</v>
      </c>
      <c r="D20" s="10" t="s">
        <v>54</v>
      </c>
      <c r="E20" s="9" t="s">
        <v>33</v>
      </c>
      <c r="F20" s="9" t="s">
        <v>36</v>
      </c>
      <c r="G20" s="11">
        <v>0.2</v>
      </c>
      <c r="H20" s="9" t="s">
        <v>31</v>
      </c>
      <c r="I20" s="16" t="s">
        <v>356</v>
      </c>
    </row>
    <row r="21" spans="2:9" s="2" customFormat="1" ht="27">
      <c r="B21" s="76" t="s">
        <v>340</v>
      </c>
      <c r="C21" s="9" t="s">
        <v>45</v>
      </c>
      <c r="D21" s="10" t="s">
        <v>31</v>
      </c>
      <c r="E21" s="9" t="s">
        <v>33</v>
      </c>
      <c r="F21" s="9" t="s">
        <v>35</v>
      </c>
      <c r="G21" s="11">
        <v>1</v>
      </c>
      <c r="H21" s="9" t="s">
        <v>27</v>
      </c>
      <c r="I21" s="16" t="s">
        <v>357</v>
      </c>
    </row>
    <row r="22" spans="2:9" s="2" customFormat="1" ht="67.5">
      <c r="B22" s="76" t="s">
        <v>340</v>
      </c>
      <c r="C22" s="9" t="s">
        <v>22</v>
      </c>
      <c r="D22" s="10" t="s">
        <v>52</v>
      </c>
      <c r="E22" s="9" t="s">
        <v>30</v>
      </c>
      <c r="F22" s="9" t="s">
        <v>333</v>
      </c>
      <c r="G22" s="11">
        <v>0.5</v>
      </c>
      <c r="H22" s="9" t="s">
        <v>27</v>
      </c>
      <c r="I22" s="16" t="s">
        <v>358</v>
      </c>
    </row>
    <row r="23" spans="2:9" s="2" customFormat="1" ht="54">
      <c r="B23" s="76" t="s">
        <v>340</v>
      </c>
      <c r="C23" s="9" t="s">
        <v>43</v>
      </c>
      <c r="D23" s="10" t="s">
        <v>52</v>
      </c>
      <c r="E23" s="9" t="s">
        <v>30</v>
      </c>
      <c r="F23" s="9" t="s">
        <v>334</v>
      </c>
      <c r="G23" s="11">
        <v>0.9</v>
      </c>
      <c r="H23" s="9" t="s">
        <v>27</v>
      </c>
      <c r="I23" s="16" t="s">
        <v>359</v>
      </c>
    </row>
    <row r="24" spans="2:9" s="2" customFormat="1" ht="54">
      <c r="B24" s="76" t="s">
        <v>340</v>
      </c>
      <c r="C24" s="9" t="s">
        <v>43</v>
      </c>
      <c r="D24" s="10" t="s">
        <v>52</v>
      </c>
      <c r="E24" s="9" t="s">
        <v>30</v>
      </c>
      <c r="F24" s="9" t="s">
        <v>334</v>
      </c>
      <c r="G24" s="11">
        <v>0.5</v>
      </c>
      <c r="H24" s="9" t="s">
        <v>27</v>
      </c>
      <c r="I24" s="16" t="s">
        <v>360</v>
      </c>
    </row>
    <row r="25" spans="2:9" s="2" customFormat="1" ht="54">
      <c r="B25" s="76" t="s">
        <v>340</v>
      </c>
      <c r="C25" s="9" t="s">
        <v>43</v>
      </c>
      <c r="D25" s="10" t="s">
        <v>52</v>
      </c>
      <c r="E25" s="9" t="s">
        <v>30</v>
      </c>
      <c r="F25" s="9" t="s">
        <v>334</v>
      </c>
      <c r="G25" s="11">
        <v>1.2</v>
      </c>
      <c r="H25" s="9" t="s">
        <v>27</v>
      </c>
      <c r="I25" s="16" t="s">
        <v>361</v>
      </c>
    </row>
    <row r="26" spans="2:9" s="2" customFormat="1" ht="40.5">
      <c r="B26" s="76" t="s">
        <v>340</v>
      </c>
      <c r="C26" s="9" t="s">
        <v>45</v>
      </c>
      <c r="D26" s="10" t="s">
        <v>54</v>
      </c>
      <c r="E26" s="9" t="s">
        <v>30</v>
      </c>
      <c r="F26" s="9" t="s">
        <v>339</v>
      </c>
      <c r="G26" s="11">
        <v>1.6</v>
      </c>
      <c r="H26" s="9" t="s">
        <v>78</v>
      </c>
      <c r="I26" s="16" t="s">
        <v>362</v>
      </c>
    </row>
    <row r="27" spans="2:9" s="2" customFormat="1" ht="40.5">
      <c r="B27" s="76" t="s">
        <v>340</v>
      </c>
      <c r="C27" s="9" t="s">
        <v>45</v>
      </c>
      <c r="D27" s="10" t="s">
        <v>53</v>
      </c>
      <c r="E27" s="9" t="s">
        <v>30</v>
      </c>
      <c r="F27" s="9" t="s">
        <v>339</v>
      </c>
      <c r="G27" s="11">
        <v>4.2</v>
      </c>
      <c r="H27" s="9" t="s">
        <v>27</v>
      </c>
      <c r="I27" s="16" t="s">
        <v>363</v>
      </c>
    </row>
    <row r="28" spans="2:9" s="2" customFormat="1" ht="40.5">
      <c r="B28" s="76" t="s">
        <v>340</v>
      </c>
      <c r="C28" s="9" t="s">
        <v>45</v>
      </c>
      <c r="D28" s="10" t="s">
        <v>54</v>
      </c>
      <c r="E28" s="9" t="s">
        <v>30</v>
      </c>
      <c r="F28" s="9" t="s">
        <v>339</v>
      </c>
      <c r="G28" s="11">
        <v>0.7</v>
      </c>
      <c r="H28" s="9" t="s">
        <v>27</v>
      </c>
      <c r="I28" s="16" t="s">
        <v>364</v>
      </c>
    </row>
    <row r="29" spans="2:9" s="2" customFormat="1" ht="27">
      <c r="B29" s="76" t="s">
        <v>340</v>
      </c>
      <c r="C29" s="9" t="s">
        <v>45</v>
      </c>
      <c r="D29" s="10" t="s">
        <v>52</v>
      </c>
      <c r="E29" s="9" t="s">
        <v>30</v>
      </c>
      <c r="F29" s="9" t="s">
        <v>326</v>
      </c>
      <c r="G29" s="11">
        <v>1.2</v>
      </c>
      <c r="H29" s="9" t="s">
        <v>27</v>
      </c>
      <c r="I29" s="16" t="s">
        <v>365</v>
      </c>
    </row>
    <row r="30" spans="2:9" s="2" customFormat="1" ht="27">
      <c r="B30" s="76" t="s">
        <v>340</v>
      </c>
      <c r="C30" s="9" t="s">
        <v>45</v>
      </c>
      <c r="D30" s="10" t="s">
        <v>52</v>
      </c>
      <c r="E30" s="9" t="s">
        <v>30</v>
      </c>
      <c r="F30" s="9" t="s">
        <v>326</v>
      </c>
      <c r="G30" s="11">
        <v>1.9</v>
      </c>
      <c r="H30" s="9" t="s">
        <v>27</v>
      </c>
      <c r="I30" s="16" t="s">
        <v>366</v>
      </c>
    </row>
    <row r="31" spans="2:9" s="2" customFormat="1" ht="27">
      <c r="B31" s="76" t="s">
        <v>340</v>
      </c>
      <c r="C31" s="9" t="s">
        <v>45</v>
      </c>
      <c r="D31" s="10" t="s">
        <v>18</v>
      </c>
      <c r="E31" s="9" t="s">
        <v>30</v>
      </c>
      <c r="F31" s="9" t="s">
        <v>326</v>
      </c>
      <c r="G31" s="11">
        <v>1.9</v>
      </c>
      <c r="H31" s="9" t="s">
        <v>76</v>
      </c>
      <c r="I31" s="16" t="s">
        <v>367</v>
      </c>
    </row>
    <row r="32" spans="2:9" s="2" customFormat="1" ht="27">
      <c r="B32" s="76" t="s">
        <v>340</v>
      </c>
      <c r="C32" s="9" t="s">
        <v>22</v>
      </c>
      <c r="D32" s="10" t="s">
        <v>54</v>
      </c>
      <c r="E32" s="9" t="s">
        <v>30</v>
      </c>
      <c r="F32" s="9" t="s">
        <v>326</v>
      </c>
      <c r="G32" s="11">
        <v>1</v>
      </c>
      <c r="H32" s="9" t="s">
        <v>27</v>
      </c>
      <c r="I32" s="16" t="s">
        <v>368</v>
      </c>
    </row>
    <row r="33" spans="2:9" s="2" customFormat="1" ht="13.5">
      <c r="B33" s="8"/>
      <c r="C33" s="9"/>
      <c r="D33" s="10"/>
      <c r="E33" s="9"/>
      <c r="F33" s="9"/>
      <c r="G33" s="11"/>
      <c r="H33" s="9"/>
      <c r="I33" s="16"/>
    </row>
    <row r="34" spans="2:9" s="2" customFormat="1" ht="13.5">
      <c r="B34" s="8"/>
      <c r="C34" s="9"/>
      <c r="D34" s="10"/>
      <c r="E34" s="9"/>
      <c r="F34" s="9"/>
      <c r="G34" s="11"/>
      <c r="H34" s="9"/>
      <c r="I34" s="16"/>
    </row>
    <row r="35" spans="2:9" s="2" customFormat="1" ht="13.5">
      <c r="B35" s="8"/>
      <c r="C35" s="9"/>
      <c r="D35" s="10"/>
      <c r="E35" s="9"/>
      <c r="F35" s="9"/>
      <c r="G35" s="11"/>
      <c r="H35" s="9"/>
      <c r="I35" s="16"/>
    </row>
    <row r="36" spans="2:9" s="2" customFormat="1" ht="13.5">
      <c r="B36" s="8"/>
      <c r="C36" s="9"/>
      <c r="D36" s="10"/>
      <c r="E36" s="9"/>
      <c r="F36" s="9"/>
      <c r="G36" s="11"/>
      <c r="H36" s="9"/>
      <c r="I36" s="16"/>
    </row>
    <row r="37" spans="2:9" s="2" customFormat="1" ht="13.5">
      <c r="B37" s="8"/>
      <c r="C37" s="9"/>
      <c r="D37" s="10"/>
      <c r="E37" s="9"/>
      <c r="F37" s="9"/>
      <c r="G37" s="11"/>
      <c r="H37" s="9"/>
      <c r="I37" s="16"/>
    </row>
    <row r="38" spans="2:9" s="2" customFormat="1" ht="13.5">
      <c r="B38" s="8"/>
      <c r="C38" s="9"/>
      <c r="D38" s="10"/>
      <c r="E38" s="9"/>
      <c r="F38" s="9"/>
      <c r="G38" s="11"/>
      <c r="H38" s="9"/>
      <c r="I38" s="16"/>
    </row>
    <row r="39" spans="2:9" s="2" customFormat="1" ht="13.5">
      <c r="B39" s="8"/>
      <c r="C39" s="9"/>
      <c r="D39" s="10"/>
      <c r="E39" s="9"/>
      <c r="F39" s="9"/>
      <c r="G39" s="11"/>
      <c r="H39" s="9"/>
      <c r="I39" s="16"/>
    </row>
    <row r="40" spans="2:9" s="2" customFormat="1" ht="13.5">
      <c r="B40" s="8"/>
      <c r="C40" s="9"/>
      <c r="D40" s="10"/>
      <c r="E40" s="9"/>
      <c r="F40" s="9"/>
      <c r="G40" s="11"/>
      <c r="H40" s="9"/>
      <c r="I40" s="16"/>
    </row>
    <row r="41" spans="2:9" s="2" customFormat="1" ht="13.5">
      <c r="B41" s="8"/>
      <c r="C41" s="9"/>
      <c r="D41" s="10"/>
      <c r="E41" s="9"/>
      <c r="F41" s="9"/>
      <c r="G41" s="11"/>
      <c r="H41" s="9"/>
      <c r="I41" s="16"/>
    </row>
    <row r="42" spans="2:9" s="2" customFormat="1" ht="13.5">
      <c r="B42" s="8"/>
      <c r="C42" s="9"/>
      <c r="D42" s="10"/>
      <c r="E42" s="9"/>
      <c r="F42" s="9"/>
      <c r="G42" s="11"/>
      <c r="H42" s="9"/>
      <c r="I42" s="16"/>
    </row>
    <row r="43" spans="2:9" s="2" customFormat="1" ht="13.5">
      <c r="B43" s="8"/>
      <c r="C43" s="9"/>
      <c r="D43" s="10"/>
      <c r="E43" s="10"/>
      <c r="F43" s="9"/>
      <c r="G43" s="11"/>
      <c r="H43" s="9"/>
      <c r="I43" s="16"/>
    </row>
    <row r="44" spans="2:9" s="2" customFormat="1" ht="14.5" customHeight="1">
      <c r="B44" s="84" t="s">
        <v>32</v>
      </c>
      <c r="C44" s="85"/>
      <c r="D44" s="86"/>
      <c r="E44" s="12"/>
      <c r="F44" s="12"/>
      <c r="G44" s="87">
        <f>SUM(G6:G43)</f>
        <v>37.79999999999999</v>
      </c>
      <c r="H44" s="88"/>
      <c r="I44" s="89"/>
    </row>
    <row r="47" spans="2:9">
      <c r="B47" s="17" t="s">
        <v>81</v>
      </c>
      <c r="C47" s="18" t="s">
        <v>331</v>
      </c>
      <c r="D47" s="75"/>
      <c r="F47" s="79"/>
    </row>
    <row r="48" spans="2:9">
      <c r="C48" s="18" t="s">
        <v>332</v>
      </c>
      <c r="D48" s="78"/>
    </row>
  </sheetData>
  <mergeCells count="4">
    <mergeCell ref="B1:I1"/>
    <mergeCell ref="B2:H2"/>
    <mergeCell ref="B44:D44"/>
    <mergeCell ref="G44:I44"/>
  </mergeCells>
  <phoneticPr fontId="10" type="noConversion"/>
  <dataValidations count="3">
    <dataValidation type="list" allowBlank="1" showInputMessage="1" showErrorMessage="1" sqref="F6:F43" xr:uid="{E86E2E73-60D0-B342-9011-13B9206D83BA}">
      <formula1>INDIRECT($E6)</formula1>
    </dataValidation>
    <dataValidation type="list" errorStyle="warning" allowBlank="1" sqref="C6:C43" xr:uid="{BDEB1F19-B6CA-F24F-B459-1A50D9617E2C}">
      <formula1>项目事项分类项目名称</formula1>
    </dataValidation>
    <dataValidation type="list" allowBlank="1" showInputMessage="1" showErrorMessage="1" sqref="H6:H43"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D57B36-EEBE-664D-AB8B-FD921B2FBD4E}">
          <x14:formula1>
            <xm:f>Tag!$B$2:$E$2</xm:f>
          </x14:formula1>
          <xm:sqref>E39:E42 E20:E21</xm:sqref>
        </x14:dataValidation>
        <x14:dataValidation type="list" allowBlank="1" showInputMessage="1" showErrorMessage="1" promptTitle="Internal Client" xr:uid="{B51D9579-1F7E-7745-B5EC-3506F69F63FD}">
          <x14:formula1>
            <xm:f>'Exhibit II - Internal Client'!$A$1:$A$20</xm:f>
          </x14:formula1>
          <xm:sqref>D6:D42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