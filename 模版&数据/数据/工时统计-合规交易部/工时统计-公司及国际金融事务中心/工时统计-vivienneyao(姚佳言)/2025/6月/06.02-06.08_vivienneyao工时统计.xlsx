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78EE68F5-0053-4DF3-ABCB-66324684C1E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<sst xmlns="http://schemas.openxmlformats.org/spreadsheetml/2006/main" count="588" uniqueCount="364">
  <si>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</si>
  <si>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</si>
  <si>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</si>
  <si>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</si>
  <si>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</si>
  <si>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</si>
  <si>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</si>
  <si>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</si>
  <si>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</si>
  <si>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</si>
  <si>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</si>
  <si>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</si>
  <si>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</si>
  <si>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</si>
  <si>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</si>
  <si>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</si>
  <si>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</si>
  <si>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</si>
  <si>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</si>
  <si>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</si>
  <si>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</si>
  <si>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</si>
  <si>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</si>
  <si>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</si>
  <si>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</si>
  <si>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</si>
  <si>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</si>
  <si>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</si>
  <si>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</si>
  <si>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</si>
  <si>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</si>
  <si>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</si>
  <si>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</si>
  <si>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</si>
  <si>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</si>
  <si>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</si>
  <si>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</si>
  <si>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</si>
  <si>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</si>
  <si>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</si>
  <si>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</si>
  <si>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</si>
  <si>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</si>
  <si>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</si>
  <si>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</si>
  <si>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</si>
  <si>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</si>
  <si>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</si>
  <si>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</si>
  <si>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</si>
  <si>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</si>
  <si>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</si>
  <si>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</si>
  <si>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</si>
  <si>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</si>
  <si>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</si>
  <si>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</si>
  <si>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</si>
  <si>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</si>
  <si>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</si>
  <si>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</si>
  <si>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</si>
  <si>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</si>
  <si>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</si>
  <si>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</si>
  <si>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</si>
  <si>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</si>
  <si>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</si>
  <si>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</si>
  <si>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</si>
  <si>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</si>
  <si>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</si>
  <si>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</si>
  <si>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</si>
  <si>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</si>
  <si>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</si>
  <si>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</si>
  <si>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</si>
  <si>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</si>
  <si>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</si>
  <si>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</si>
  <si>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</si>
  <si>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</si>
  <si>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</si>
  <si>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</si>
  <si>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</si>
  <si>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</si>
  <si>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</si>
  <si>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</si>
  <si>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</si>
  <si>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</si>
  <si>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</si>
  <si>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</si>
  <si>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</si>
  <si>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</si>
  <si>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</si>
  <si>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</si>
  <si>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</si>
  <si>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</si>
  <si>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</si>
  <si>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</si>
  <si>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</si>
  <si>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</si>
  <si>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</si>
  <si>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</si>
  <si>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</si>
  <si>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</si>
  <si>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</si>
  <si>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</si>
  <si>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</si>
  <si>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</si>
  <si>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</si>
  <si>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</si>
  <si>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</si>
  <si>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</si>
  <si>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</si>
  <si>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</si>
  <si>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</si>
  <si>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</si>
  <si>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</si>
  <si>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</si>
  <si>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</si>
  <si>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</si>
  <si>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</si>
  <si>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</si>
  <si>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</si>
  <si>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</si>
  <si>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</si>
  <si>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</si>
  <si>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</si>
  <si>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</si>
  <si>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</si>
  <si>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</si>
  <si>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</si>
  <si>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</si>
  <si>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</si>
  <si>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</si>
  <si>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</si>
  <si>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</si>
  <si>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</si>
  <si>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</si>
  <si>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</si>
  <si>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</si>
  <si>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</si>
  <si>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</si>
  <si>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</si>
  <si>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</si>
  <si>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</si>
  <si>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</si>
  <si>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</si>
  <si>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</si>
  <si>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</si>
  <si>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</si>
  <si>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</si>
  <si>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</si>
  <si>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</si>
  <si>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</si>
  <si>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</si>
  <si>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</si>
  <si>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</si>
  <si>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</si>
  <si>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</si>
  <si>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</si>
  <si>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</si>
  <si>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</si>
  <si>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</si>
  <si>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</si>
  <si>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</si>
  <si>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</si>
  <si>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</si>
  <si>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</si>
  <si>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</si>
  <si>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</si>
  <si>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</si>
  <si>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</si>
  <si>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</si>
  <si>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</si>
  <si>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</si>
  <si>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</si>
  <si>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</si>
  <si>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</si>
  <si>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</si>
  <si>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</si>
  <si>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</si>
  <si>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</si>
  <si>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</si>
  <si>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</si>
  <si>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</si>
  <si>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</si>
  <si>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</si>
  <si>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</si>
  <si>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</si>
  <si>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</si>
  <si>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</si>
  <si>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</si>
  <si>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</si>
  <si>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</si>
  <si>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</si>
  <si>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</si>
  <si>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</si>
  <si>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</si>
  <si>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</si>
  <si>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</si>
  <si>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</si>
  <si>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</si>
  <si>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</si>
  <si>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</si>
  <si>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</si>
  <si>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</si>
  <si>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</si>
  <si>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</si>
  <si>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</si>
  <si>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</si>
  <si>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</si>
  <si>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</si>
  <si>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</si>
  <si>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</si>
  <si>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</si>
  <si>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</si>
  <si>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</si>
  <si>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</si>
  <si>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</si>
  <si>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</si>
  <si>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</si>
  <si>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</si>
  <si>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</si>
  <si>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</si>
  <si>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</si>
  <si>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</si>
  <si>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</si>
  <si>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</si>
  <si>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</si>
  <si>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</si>
  <si>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</si>
  <si>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</si>
  <si>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</si>
  <si>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</si>
  <si>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</si>
  <si>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</si>
  <si>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</si>
  <si>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</si>
  <si>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</si>
  <si>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</si>
  <si>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</si>
  <si>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</si>
  <si>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</si>
  <si>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</si>
  <si>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</si>
  <si>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</si>
  <si>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</si>
  <si>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</si>
  <si>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</si>
  <si>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</si>
  <si>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</si>
  <si>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</si>
  <si>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</si>
  <si>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</si>
  <si>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</si>
  <si>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</si>
  <si>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</si>
  <si>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</si>
  <si>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</si>
  <si>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</si>
  <si>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</si>
  <si>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</si>
  <si>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</si>
  <si>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</si>
  <si>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</si>
  <si>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</si>
  <si>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</si>
  <si>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</si>
  <si>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</si>
  <si>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</si>
  <si>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</si>
  <si>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</si>
  <si>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</si>
  <si>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</si>
  <si>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</si>
  <si>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</si>
  <si>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</si>
  <si>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</si>
  <si>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</si>
  <si>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</si>
  <si>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</si>
  <si>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</si>
  <si>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</si>
  <si>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</si>
  <si>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</si>
  <si>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</si>
  <si>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</si>
  <si>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</si>
  <si>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</si>
  <si>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</si>
  <si>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</si>
  <si>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</si>
  <si>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</si>
  <si>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</si>
  <si>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</si>
  <si>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</si>
  <si>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</si>
  <si>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</si>
  <si>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</si>
  <si>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</si>
  <si>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</si>
  <si>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</si>
  <si>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</si>
  <si>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</si>
  <si>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</si>
  <si>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</si>
  <si>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</si>
  <si>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</si>
  <si>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</si>
  <si>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</si>
  <si>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</si>
  <si>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</si>
  <si>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</si>
  <si>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</si>
  <si>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</si>
  <si>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</si>
  <si>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</si>
  <si>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</si>
  <si>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</si>
  <si>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</si>
  <si>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</si>
  <si>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</si>
  <si>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</si>
  <si>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</si>
  <si>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</si>
  <si>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</si>
  <si>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</si>
  <si>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</si>
  <si>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</si>
  <si>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</si>
  <si>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</si>
  <si>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</si>
  <si>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</si>
  <si>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</si>
  <si>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</si>
  <si>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</si>
  <si>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</si>
  <si>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</si>
  <si>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</si>
  <si>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</si>
  <si>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</si>
  <si>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ad-hoc quesries from AML team.</t>
  </si>
  <si>
    <t>Cloud Taiwan</t>
  </si>
  <si>
    <t>Aml team 俄罗斯裁撤quesries</t>
  </si>
  <si>
    <t>Yeguan Audit</t>
  </si>
  <si>
    <t>Hunyuan entity discussion- GCTSM</t>
  </si>
  <si>
    <t>WeChat LOR</t>
  </si>
  <si>
    <t>IPC-Improvement</t>
  </si>
  <si>
    <t>GPA ad-hoc</t>
  </si>
  <si>
    <t>国际法务——安管资金 fentanyl discussion</t>
  </si>
  <si>
    <t>证明PAM Plus Limited to Oredoo</t>
  </si>
  <si>
    <t>r_Tenc_HQS(腾讯正式集团HR体系- 全员 email review</t>
  </si>
  <si>
    <t>项目框架协议《华润数据库合同》</t>
  </si>
  <si>
    <t>贸促会感谢信</t>
  </si>
  <si>
    <t>海发宝诚融资租赁有限公司-《制裁合规承诺函》</t>
  </si>
  <si>
    <t>Total working day</t>
  </si>
  <si>
    <t>Engagement Letter DNN</t>
  </si>
  <si>
    <t>证明PAM Plus Limited to LITC</t>
  </si>
  <si>
    <t>Indonesia VSC KBI Sinna</t>
  </si>
  <si>
    <t>US AG</t>
  </si>
  <si>
    <t>on 4 June pm</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</si>
</sst>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7" fillId="5" borderId="8" xfId="0" applyFont="1" applyFill="1" applyBorder="1" applyAlignment="1">
      <alignment vertical="center" wrapText="1"/>
    </xf>
    <xf numFmtId="177" fontId="7" fillId="5" borderId="1" xfId="0" applyNumberFormat="1" applyFont="1" applyFill="1" applyBorder="1" applyAlignment="1">
      <alignment horizontal="center" vertical="center" wrapText="1"/>
    </xf>
    <xf numFmtId="16" fontId="31" fillId="0" borderId="0" xfId="0" applyNumberFormat="1" applyFont="1">
      <alignment vertical="center"/>
    </xf>
    <xf numFmtId="0" fontId="31" fillId="0" borderId="0" xfId="0" applyFont="1">
      <alignment vertical="center"/>
    </xf>
    <xf numFmtId="0" fontId="31" fillId="0" borderId="0" xfId="0" applyFont="1" applyAlignment="1">
      <alignment vertical="center" wrapText="1"/>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16" fontId="1"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8" zoomScale="101" zoomScaleNormal="95" workbookViewId="0">
      <selection activeCell="S25" sqref="S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5" t="s">
        <v>340</v>
      </c>
      <c r="C6" s="9" t="s">
        <v>45</v>
      </c>
      <c r="D6" s="10" t="s">
        <v>52</v>
      </c>
      <c r="E6" s="9" t="s">
        <v>30</v>
      </c>
      <c r="F6" s="9" t="s">
        <v>339</v>
      </c>
      <c r="G6" s="76">
        <v>9</v>
      </c>
      <c r="H6" s="9" t="s">
        <v>27</v>
      </c>
      <c r="I6" s="16" t="s">
        <v>341</v>
      </c>
    </row>
    <row r="7" spans="1:9" s="2" customFormat="1" ht="40.5">
      <c r="B7" s="8" t="s">
        <v>340</v>
      </c>
      <c r="C7" s="9" t="s">
        <v>45</v>
      </c>
      <c r="D7" s="10" t="s">
        <v>53</v>
      </c>
      <c r="E7" s="9" t="s">
        <v>30</v>
      </c>
      <c r="F7" s="9" t="s">
        <v>339</v>
      </c>
      <c r="G7" s="11">
        <v>4</v>
      </c>
      <c r="H7" s="9" t="s">
        <v>79</v>
      </c>
      <c r="I7" s="16" t="s">
        <v>342</v>
      </c>
    </row>
    <row r="8" spans="1:9" s="2" customFormat="1" ht="40.5">
      <c r="B8" s="8" t="s">
        <v>340</v>
      </c>
      <c r="C8" s="9" t="s">
        <v>45</v>
      </c>
      <c r="D8" s="10" t="s">
        <v>54</v>
      </c>
      <c r="E8" s="9" t="s">
        <v>30</v>
      </c>
      <c r="F8" s="9" t="s">
        <v>339</v>
      </c>
      <c r="G8" s="11">
        <v>4.5</v>
      </c>
      <c r="H8" s="9" t="s">
        <v>27</v>
      </c>
      <c r="I8" s="16" t="s">
        <v>362</v>
      </c>
    </row>
    <row r="9" spans="1:9" s="2" customFormat="1" ht="27">
      <c r="B9" s="75" t="s">
        <v>340</v>
      </c>
      <c r="C9" s="9" t="s">
        <v>45</v>
      </c>
      <c r="D9" s="10" t="s">
        <v>52</v>
      </c>
      <c r="E9" s="9" t="s">
        <v>30</v>
      </c>
      <c r="F9" s="9" t="s">
        <v>326</v>
      </c>
      <c r="G9" s="76">
        <v>1.9</v>
      </c>
      <c r="H9" s="9" t="s">
        <v>27</v>
      </c>
      <c r="I9" s="16" t="s">
        <v>345</v>
      </c>
    </row>
    <row r="10" spans="1:9" s="2" customFormat="1" ht="27">
      <c r="B10" s="75" t="s">
        <v>340</v>
      </c>
      <c r="C10" s="9" t="s">
        <v>45</v>
      </c>
      <c r="D10" s="10" t="s">
        <v>18</v>
      </c>
      <c r="E10" s="9" t="s">
        <v>30</v>
      </c>
      <c r="F10" s="9" t="s">
        <v>326</v>
      </c>
      <c r="G10" s="11">
        <v>0.5</v>
      </c>
      <c r="H10" s="9" t="s">
        <v>27</v>
      </c>
      <c r="I10" s="16" t="s">
        <v>344</v>
      </c>
    </row>
    <row r="11" spans="1:9" s="2" customFormat="1" ht="27">
      <c r="B11" s="75" t="s">
        <v>340</v>
      </c>
      <c r="C11" s="9" t="s">
        <v>45</v>
      </c>
      <c r="D11" s="10" t="s">
        <v>54</v>
      </c>
      <c r="E11" s="9" t="s">
        <v>30</v>
      </c>
      <c r="F11" s="9" t="s">
        <v>326</v>
      </c>
      <c r="G11" s="76">
        <v>0.7</v>
      </c>
      <c r="H11" s="9" t="s">
        <v>73</v>
      </c>
      <c r="I11" s="16" t="s">
        <v>349</v>
      </c>
    </row>
    <row r="12" spans="1:9" s="2" customFormat="1" ht="40.5">
      <c r="B12" s="75" t="s">
        <v>340</v>
      </c>
      <c r="C12" s="9" t="s">
        <v>45</v>
      </c>
      <c r="D12" s="10" t="s">
        <v>52</v>
      </c>
      <c r="E12" s="9" t="s">
        <v>30</v>
      </c>
      <c r="F12" s="9" t="s">
        <v>336</v>
      </c>
      <c r="G12" s="11">
        <v>0.4</v>
      </c>
      <c r="H12" s="9" t="s">
        <v>27</v>
      </c>
      <c r="I12" s="16" t="s">
        <v>346</v>
      </c>
    </row>
    <row r="13" spans="1:9" s="2" customFormat="1" ht="27">
      <c r="B13" s="75" t="s">
        <v>340</v>
      </c>
      <c r="C13" s="9" t="s">
        <v>45</v>
      </c>
      <c r="D13" s="10" t="s">
        <v>18</v>
      </c>
      <c r="E13" s="9" t="s">
        <v>30</v>
      </c>
      <c r="F13" s="9" t="s">
        <v>326</v>
      </c>
      <c r="G13" s="11">
        <v>0.7</v>
      </c>
      <c r="H13" s="9" t="s">
        <v>75</v>
      </c>
      <c r="I13" s="16" t="s">
        <v>347</v>
      </c>
    </row>
    <row r="14" spans="1:9" s="2" customFormat="1" ht="27">
      <c r="B14" s="75" t="s">
        <v>340</v>
      </c>
      <c r="C14" s="9" t="s">
        <v>45</v>
      </c>
      <c r="D14" s="10" t="s">
        <v>52</v>
      </c>
      <c r="E14" s="9" t="s">
        <v>30</v>
      </c>
      <c r="F14" s="9" t="s">
        <v>326</v>
      </c>
      <c r="G14" s="11">
        <v>1.2</v>
      </c>
      <c r="H14" s="9" t="s">
        <v>27</v>
      </c>
      <c r="I14" s="16" t="s">
        <v>348</v>
      </c>
    </row>
    <row r="15" spans="1:9" s="2" customFormat="1" ht="27">
      <c r="B15" s="75" t="s">
        <v>340</v>
      </c>
      <c r="C15" s="9" t="s">
        <v>45</v>
      </c>
      <c r="D15" s="10" t="s">
        <v>18</v>
      </c>
      <c r="E15" s="9" t="s">
        <v>30</v>
      </c>
      <c r="F15" s="9" t="s">
        <v>326</v>
      </c>
      <c r="G15" s="11">
        <v>0.9</v>
      </c>
      <c r="H15" s="9" t="s">
        <v>76</v>
      </c>
      <c r="I15" s="16" t="s">
        <v>350</v>
      </c>
    </row>
    <row r="16" spans="1:9" s="2" customFormat="1" ht="27">
      <c r="B16" s="75" t="s">
        <v>340</v>
      </c>
      <c r="C16" s="9" t="s">
        <v>45</v>
      </c>
      <c r="D16" s="10" t="s">
        <v>18</v>
      </c>
      <c r="E16" s="9" t="s">
        <v>30</v>
      </c>
      <c r="F16" s="9" t="s">
        <v>326</v>
      </c>
      <c r="G16" s="11">
        <v>0.6</v>
      </c>
      <c r="H16" s="9" t="s">
        <v>27</v>
      </c>
      <c r="I16" s="16" t="s">
        <v>351</v>
      </c>
    </row>
    <row r="17" spans="2:9" s="2" customFormat="1" ht="40.5">
      <c r="B17" s="75" t="s">
        <v>340</v>
      </c>
      <c r="C17" s="9" t="s">
        <v>45</v>
      </c>
      <c r="D17" s="10" t="s">
        <v>54</v>
      </c>
      <c r="E17" s="9" t="s">
        <v>30</v>
      </c>
      <c r="F17" s="9" t="s">
        <v>339</v>
      </c>
      <c r="G17" s="11">
        <v>0.7</v>
      </c>
      <c r="H17" s="9" t="s">
        <v>27</v>
      </c>
      <c r="I17" s="16" t="s">
        <v>352</v>
      </c>
    </row>
    <row r="18" spans="2:9" s="2" customFormat="1" ht="54">
      <c r="B18" s="75" t="s">
        <v>340</v>
      </c>
      <c r="C18" s="9" t="s">
        <v>45</v>
      </c>
      <c r="D18" s="10" t="s">
        <v>52</v>
      </c>
      <c r="E18" s="9" t="s">
        <v>30</v>
      </c>
      <c r="F18" s="9" t="s">
        <v>334</v>
      </c>
      <c r="G18" s="76">
        <v>0.4</v>
      </c>
      <c r="H18" s="9" t="s">
        <v>73</v>
      </c>
      <c r="I18" s="16" t="s">
        <v>353</v>
      </c>
    </row>
    <row r="19" spans="2:9" s="2" customFormat="1" ht="54">
      <c r="B19" s="75" t="s">
        <v>340</v>
      </c>
      <c r="C19" s="9" t="s">
        <v>45</v>
      </c>
      <c r="D19" s="10" t="s">
        <v>52</v>
      </c>
      <c r="E19" s="9" t="s">
        <v>30</v>
      </c>
      <c r="F19" s="9" t="s">
        <v>334</v>
      </c>
      <c r="G19" s="76">
        <v>1.2</v>
      </c>
      <c r="H19" s="9" t="s">
        <v>73</v>
      </c>
      <c r="I19" s="16" t="s">
        <v>360</v>
      </c>
    </row>
    <row r="20" spans="2:9" s="2" customFormat="1" ht="27">
      <c r="B20" s="75" t="s">
        <v>340</v>
      </c>
      <c r="C20" s="9" t="s">
        <v>45</v>
      </c>
      <c r="D20" s="10" t="s">
        <v>26</v>
      </c>
      <c r="E20" s="9" t="s">
        <v>30</v>
      </c>
      <c r="F20" s="9" t="s">
        <v>326</v>
      </c>
      <c r="G20" s="11">
        <v>0.5</v>
      </c>
      <c r="H20" s="9" t="s">
        <v>73</v>
      </c>
      <c r="I20" s="16" t="s">
        <v>354</v>
      </c>
    </row>
    <row r="21" spans="2:9" s="2" customFormat="1" ht="27">
      <c r="B21" s="75" t="s">
        <v>340</v>
      </c>
      <c r="C21" s="9" t="s">
        <v>45</v>
      </c>
      <c r="D21" s="10" t="s">
        <v>52</v>
      </c>
      <c r="E21" s="9" t="s">
        <v>30</v>
      </c>
      <c r="F21" s="9" t="s">
        <v>326</v>
      </c>
      <c r="G21" s="11">
        <v>1.1000000000000001</v>
      </c>
      <c r="H21" s="9" t="s">
        <v>73</v>
      </c>
      <c r="I21" s="16" t="s">
        <v>355</v>
      </c>
    </row>
    <row r="22" spans="2:9" s="2" customFormat="1" ht="40.5">
      <c r="B22" s="75" t="s">
        <v>340</v>
      </c>
      <c r="C22" s="9" t="s">
        <v>45</v>
      </c>
      <c r="D22" s="10" t="s">
        <v>52</v>
      </c>
      <c r="E22" s="9" t="s">
        <v>30</v>
      </c>
      <c r="F22" s="9" t="s">
        <v>339</v>
      </c>
      <c r="G22" s="11">
        <v>0.4</v>
      </c>
      <c r="H22" s="9" t="s">
        <v>79</v>
      </c>
      <c r="I22" s="16" t="s">
        <v>356</v>
      </c>
    </row>
    <row r="23" spans="2:9" s="2" customFormat="1" ht="40.5">
      <c r="B23" s="75" t="s">
        <v>340</v>
      </c>
      <c r="C23" s="9" t="s">
        <v>45</v>
      </c>
      <c r="D23" s="10" t="s">
        <v>52</v>
      </c>
      <c r="E23" s="9" t="s">
        <v>30</v>
      </c>
      <c r="F23" s="9" t="s">
        <v>336</v>
      </c>
      <c r="G23" s="11">
        <v>0.6</v>
      </c>
      <c r="H23" s="9" t="s">
        <v>73</v>
      </c>
      <c r="I23" s="16" t="s">
        <v>357</v>
      </c>
    </row>
    <row r="24" spans="2:9" s="2" customFormat="1" ht="27">
      <c r="B24" s="75" t="s">
        <v>340</v>
      </c>
      <c r="C24" s="9" t="s">
        <v>45</v>
      </c>
      <c r="D24" s="10" t="s">
        <v>31</v>
      </c>
      <c r="E24" s="9" t="s">
        <v>33</v>
      </c>
      <c r="F24" s="9" t="s">
        <v>36</v>
      </c>
      <c r="G24" s="11">
        <v>0.6</v>
      </c>
      <c r="H24" s="9" t="s">
        <v>73</v>
      </c>
      <c r="I24" s="16" t="s">
        <v>359</v>
      </c>
    </row>
    <row r="25" spans="2:9" s="2" customFormat="1" ht="40.5">
      <c r="B25" s="75" t="s">
        <v>340</v>
      </c>
      <c r="C25" s="9" t="s">
        <v>45</v>
      </c>
      <c r="D25" s="10" t="s">
        <v>52</v>
      </c>
      <c r="E25" s="9" t="s">
        <v>30</v>
      </c>
      <c r="F25" s="9" t="s">
        <v>339</v>
      </c>
      <c r="G25" s="11">
        <v>2.1</v>
      </c>
      <c r="H25" s="9" t="s">
        <v>73</v>
      </c>
      <c r="I25" s="16" t="s">
        <v>361</v>
      </c>
    </row>
    <row r="26" spans="2:9" s="2" customFormat="1" ht="27">
      <c r="B26" s="8" t="s">
        <v>340</v>
      </c>
      <c r="C26" s="9" t="s">
        <v>45</v>
      </c>
      <c r="D26" s="10" t="s">
        <v>31</v>
      </c>
      <c r="E26" s="10" t="s">
        <v>33</v>
      </c>
      <c r="F26" s="9" t="s">
        <v>39</v>
      </c>
      <c r="G26" s="11">
        <v>0.6</v>
      </c>
      <c r="H26" s="9" t="s">
        <v>31</v>
      </c>
      <c r="I26" s="16"/>
    </row>
    <row r="27" spans="2:9" s="2" customFormat="1" ht="13.5">
      <c r="B27" s="8"/>
      <c r="C27" s="9"/>
      <c r="D27" s="10"/>
      <c r="E27" s="10"/>
      <c r="F27" s="9"/>
      <c r="G27" s="11"/>
      <c r="H27" s="9"/>
      <c r="I27" s="16"/>
    </row>
    <row r="28" spans="2:9" s="2" customFormat="1" ht="14.5" customHeight="1">
      <c r="B28" s="84" t="s">
        <v>32</v>
      </c>
      <c r="C28" s="85"/>
      <c r="D28" s="86"/>
      <c r="E28" s="12"/>
      <c r="F28" s="12"/>
      <c r="G28" s="87">
        <f>SUM(G6:G27)</f>
        <v>32.599999999999994</v>
      </c>
      <c r="H28" s="88"/>
      <c r="I28" s="89"/>
    </row>
    <row r="31" spans="2:9">
      <c r="B31" s="17" t="s">
        <v>81</v>
      </c>
      <c r="C31" s="18" t="s">
        <v>331</v>
      </c>
      <c r="D31" s="134" t="s">
        <v>363</v>
      </c>
      <c r="F31" s="78"/>
    </row>
    <row r="32" spans="2:9">
      <c r="C32" s="18" t="s">
        <v>332</v>
      </c>
      <c r="D32" s="77">
        <v>45810</v>
      </c>
    </row>
    <row r="33" spans="3:4">
      <c r="C33" s="79" t="s">
        <v>358</v>
      </c>
      <c r="D33">
        <v>3.5</v>
      </c>
    </row>
  </sheetData>
  <mergeCells count="4">
    <mergeCell ref="B1:I1"/>
    <mergeCell ref="B2:H2"/>
    <mergeCell ref="B28:D28"/>
    <mergeCell ref="G28:I28"/>
  </mergeCells>
  <phoneticPr fontId="11" type="noConversion"/>
  <dataValidations count="3">
    <dataValidation type="list" allowBlank="1" showInputMessage="1" showErrorMessage="1" sqref="F6:F27" xr:uid="{E86E2E73-60D0-B342-9011-13B9206D83BA}">
      <formula1>INDIRECT($E6)</formula1>
    </dataValidation>
    <dataValidation type="list" errorStyle="warning" allowBlank="1" sqref="C6:C27" xr:uid="{BDEB1F19-B6CA-F24F-B459-1A50D9617E2C}">
      <formula1>项目事项分类项目名称</formula1>
    </dataValidation>
    <dataValidation type="list" allowBlank="1" showInputMessage="1" showErrorMessage="1" sqref="H6:H27"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D57B36-EEBE-664D-AB8B-FD921B2FBD4E}">
          <x14:formula1>
            <xm:f>Tag!$B$2:$E$2</xm:f>
          </x14:formula1>
          <xm:sqref>E7:E26</xm:sqref>
        </x14:dataValidation>
        <x14:dataValidation type="list" allowBlank="1" showInputMessage="1" showErrorMessage="1" promptTitle="Internal Client" xr:uid="{B51D9579-1F7E-7745-B5EC-3506F69F63FD}">
          <x14:formula1>
            <xm:f>'Exhibit II - Internal Client'!$A$1:$A$20</xm:f>
          </x14:formula1>
          <xm:sqref>D6:D26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20" t="s">
        <v>64</v>
      </c>
      <c r="L4" s="20" t="s">
        <v>65</v>
      </c>
      <c r="M4" s="20" t="s">
        <v>66</v>
      </c>
      <c r="N4" s="20" t="s">
        <v>67</v>
      </c>
    </row>
    <row r="5" spans="2:14" ht="108.5" outlineLevel="1">
      <c r="C5" s="21" t="s">
        <v>100</v>
      </c>
      <c r="D5" s="112" t="s">
        <v>101</v>
      </c>
      <c r="E5" s="105"/>
      <c r="F5" s="22" t="s">
        <v>102</v>
      </c>
      <c r="G5" s="21" t="s">
        <v>103</v>
      </c>
      <c r="H5" s="21" t="s">
        <v>104</v>
      </c>
      <c r="I5" s="21" t="s">
        <v>105</v>
      </c>
      <c r="J5" s="21" t="s">
        <v>106</v>
      </c>
      <c r="K5" s="113" t="s">
        <v>107</v>
      </c>
      <c r="L5" s="113"/>
      <c r="M5" s="113"/>
      <c r="N5" s="113"/>
    </row>
    <row r="6" spans="2:14" s="23" customFormat="1" ht="201.5"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17"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77.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263.5"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55"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170.5">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10"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5"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39.5"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