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36250235-0C6D-47C8-9A93-AB3F4F76187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<sst xmlns="http://schemas.openxmlformats.org/spreadsheetml/2006/main" count="501" uniqueCount="349">
  <si>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</si>
  <si>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</si>
  <si>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</si>
  <si>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</si>
  <si>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</si>
  <si>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</si>
  <si>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</si>
  <si>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</si>
  <si>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</si>
  <si>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</si>
  <si>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</si>
  <si>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</si>
  <si>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</si>
  <si>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</si>
  <si>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</si>
  <si>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</si>
  <si>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</si>
  <si>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</si>
  <si>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</si>
  <si>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</si>
  <si>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</si>
  <si>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</si>
  <si>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</si>
  <si>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</si>
  <si>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</si>
  <si>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</si>
  <si>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</si>
  <si>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</si>
  <si>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</si>
  <si>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</si>
  <si>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</si>
  <si>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</si>
  <si>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</si>
  <si>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</si>
  <si>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</si>
  <si>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</si>
  <si>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</si>
  <si>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</si>
  <si>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</si>
  <si>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</si>
  <si>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</si>
  <si>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</si>
  <si>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</si>
  <si>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</si>
  <si>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</si>
  <si>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</si>
  <si>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</si>
  <si>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</si>
  <si>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</si>
  <si>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</si>
  <si>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</si>
  <si>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</si>
  <si>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</si>
  <si>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</si>
  <si>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</si>
  <si>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</si>
  <si>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</si>
  <si>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</si>
  <si>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</si>
  <si>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</si>
  <si>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</si>
  <si>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</si>
  <si>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</si>
  <si>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</si>
  <si>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</si>
  <si>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</si>
  <si>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</si>
  <si>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</si>
  <si>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</si>
  <si>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</si>
  <si>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</si>
  <si>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</si>
  <si>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</si>
  <si>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</si>
  <si>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</si>
  <si>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</si>
  <si>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</si>
  <si>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</si>
  <si>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</si>
  <si>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</si>
  <si>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</si>
  <si>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</si>
  <si>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</si>
  <si>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</si>
  <si>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</si>
  <si>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</si>
  <si>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</si>
  <si>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</si>
  <si>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</si>
  <si>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</si>
  <si>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</si>
  <si>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</si>
  <si>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</si>
  <si>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</si>
  <si>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</si>
  <si>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</si>
  <si>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</si>
  <si>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</si>
  <si>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</si>
  <si>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</si>
  <si>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</si>
  <si>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</si>
  <si>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</si>
  <si>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</si>
  <si>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</si>
  <si>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</si>
  <si>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</si>
  <si>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</si>
  <si>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</si>
  <si>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</si>
  <si>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</si>
  <si>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</si>
  <si>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</si>
  <si>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</si>
  <si>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</si>
  <si>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</si>
  <si>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</si>
  <si>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</si>
  <si>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</si>
  <si>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</si>
  <si>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</si>
  <si>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</si>
  <si>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</si>
  <si>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</si>
  <si>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</si>
  <si>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</si>
  <si>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</si>
  <si>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</si>
  <si>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</si>
  <si>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</si>
  <si>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</si>
  <si>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</si>
  <si>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</si>
  <si>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</si>
  <si>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</si>
  <si>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</si>
  <si>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</si>
  <si>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</si>
  <si>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</si>
  <si>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</si>
  <si>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</si>
  <si>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</si>
  <si>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</si>
  <si>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</si>
  <si>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</si>
  <si>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</si>
  <si>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</si>
  <si>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</si>
  <si>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</si>
  <si>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</si>
  <si>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</si>
  <si>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</si>
  <si>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</si>
  <si>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</si>
  <si>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</si>
  <si>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</si>
  <si>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</si>
  <si>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</si>
  <si>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</si>
  <si>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</si>
  <si>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</si>
  <si>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</si>
  <si>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</si>
  <si>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</si>
  <si>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</si>
  <si>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</si>
  <si>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</si>
  <si>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</si>
  <si>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</si>
  <si>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</si>
  <si>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</si>
  <si>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</si>
  <si>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</si>
  <si>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</si>
  <si>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</si>
  <si>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</si>
  <si>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</si>
  <si>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</si>
  <si>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</si>
  <si>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</si>
  <si>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</si>
  <si>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</si>
  <si>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</si>
  <si>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</si>
  <si>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</si>
  <si>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</si>
  <si>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</si>
  <si>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</si>
  <si>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</si>
  <si>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</si>
  <si>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</si>
  <si>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</si>
  <si>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</si>
  <si>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</si>
  <si>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</si>
  <si>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</si>
  <si>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</si>
  <si>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</si>
  <si>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</si>
  <si>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</si>
  <si>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</si>
  <si>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</si>
  <si>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</si>
  <si>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</si>
  <si>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</si>
  <si>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</si>
  <si>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</si>
  <si>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</si>
  <si>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</si>
  <si>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</si>
  <si>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</si>
  <si>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</si>
  <si>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</si>
  <si>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</si>
  <si>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</si>
  <si>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</si>
  <si>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</si>
  <si>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</si>
  <si>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</si>
  <si>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</si>
  <si>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</si>
  <si>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</si>
  <si>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</si>
  <si>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</si>
  <si>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</si>
  <si>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</si>
  <si>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</si>
  <si>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</si>
  <si>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</si>
  <si>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</si>
  <si>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</si>
  <si>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</si>
  <si>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</si>
  <si>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</si>
  <si>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</si>
  <si>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</si>
  <si>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</si>
  <si>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</si>
  <si>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</si>
  <si>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</si>
  <si>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</si>
  <si>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</si>
  <si>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</si>
  <si>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</si>
  <si>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</si>
  <si>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</si>
  <si>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</si>
  <si>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</si>
  <si>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</si>
  <si>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</si>
  <si>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</si>
  <si>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</si>
  <si>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</si>
  <si>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</si>
  <si>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</si>
  <si>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</si>
  <si>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</si>
  <si>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</si>
  <si>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</si>
  <si>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</si>
  <si>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</si>
  <si>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</si>
  <si>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</si>
  <si>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</si>
  <si>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</si>
  <si>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</si>
  <si>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</si>
  <si>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</si>
  <si>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</si>
  <si>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</si>
  <si>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</si>
  <si>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</si>
  <si>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</si>
  <si>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</si>
  <si>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</si>
  <si>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</si>
  <si>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</si>
  <si>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</si>
  <si>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</si>
  <si>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</si>
  <si>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</si>
  <si>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</si>
  <si>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</si>
  <si>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</si>
  <si>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</si>
  <si>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</si>
  <si>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</si>
  <si>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</si>
  <si>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</si>
  <si>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</si>
  <si>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</si>
  <si>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</si>
  <si>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</si>
  <si>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</si>
  <si>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</si>
  <si>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</si>
  <si>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</si>
  <si>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</si>
  <si>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</si>
  <si>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</si>
  <si>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</si>
  <si>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</si>
  <si>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</si>
  <si>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</si>
  <si>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</si>
  <si>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</si>
  <si>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</si>
  <si>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</si>
  <si>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</si>
  <si>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</si>
  <si>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</si>
  <si>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</si>
  <si>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</si>
  <si>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</si>
  <si>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</si>
  <si>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</si>
  <si>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</si>
  <si>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</si>
  <si>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</si>
  <si>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</si>
  <si>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</si>
  <si>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</si>
  <si>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</si>
  <si>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</si>
  <si>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</si>
  <si>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</si>
  <si>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</si>
  <si>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</si>
  <si>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</si>
  <si>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</si>
  <si>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</si>
  <si>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</si>
  <si>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</si>
  <si>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</si>
  <si>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</si>
  <si>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</si>
  <si>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</si>
  <si>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</si>
  <si>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</si>
  <si>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</si>
  <si>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</si>
  <si>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</si>
  <si>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Engagment letters, 全员邮件, and other corp doc review</t>
  </si>
  <si>
    <t>Int Reg questies from the team ( Jason, Andy, Desiree, Lingyee)</t>
  </si>
  <si>
    <t>Business entity issues- Thai, Russia, Italy (caiptal injection, business scope,loan matters, director change doc review etc)</t>
  </si>
  <si>
    <t>KBR (court, tax queries, 53m strategy etc)</t>
  </si>
  <si>
    <t>Int reg matters （ESO Reg, Cloud TW, US issues, etc)</t>
  </si>
  <si>
    <t xml:space="preserve"> Midasbuy APP,Midasbuy games, ads, Midas marketing, KSA， Japan new model etc</t>
  </si>
  <si>
    <t xml:space="preserve"> WXP compliance, cross boarder payment, HK tax refund, Superbuy, KSA,Merchants analysis,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</si>
</sst>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A5" zoomScale="101" zoomScaleNormal="95" workbookViewId="0">
      <selection activeCell="H24" sqref="H2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43</v>
      </c>
      <c r="D6" s="10" t="s">
        <v>47</v>
      </c>
      <c r="E6" s="9" t="s">
        <v>30</v>
      </c>
      <c r="F6" s="9" t="s">
        <v>326</v>
      </c>
      <c r="G6" s="11">
        <v>3.6</v>
      </c>
      <c r="H6" s="9" t="s">
        <v>24</v>
      </c>
      <c r="I6" s="16" t="s">
        <v>344</v>
      </c>
    </row>
    <row r="7" spans="1:9" s="2" customFormat="1" ht="27">
      <c r="B7" s="76" t="s">
        <v>340</v>
      </c>
      <c r="C7" s="9" t="s">
        <v>43</v>
      </c>
      <c r="D7" s="10" t="s">
        <v>48</v>
      </c>
      <c r="E7" s="9" t="s">
        <v>30</v>
      </c>
      <c r="F7" s="9" t="s">
        <v>326</v>
      </c>
      <c r="G7" s="11">
        <v>2.5</v>
      </c>
      <c r="H7" s="9" t="s">
        <v>73</v>
      </c>
      <c r="I7" s="16" t="s">
        <v>342</v>
      </c>
    </row>
    <row r="8" spans="1:9" s="2" customFormat="1" ht="27">
      <c r="B8" s="76" t="s">
        <v>340</v>
      </c>
      <c r="C8" s="9" t="s">
        <v>43</v>
      </c>
      <c r="D8" s="10" t="s">
        <v>47</v>
      </c>
      <c r="E8" s="9" t="s">
        <v>30</v>
      </c>
      <c r="F8" s="9" t="s">
        <v>326</v>
      </c>
      <c r="G8" s="11">
        <v>4.3</v>
      </c>
      <c r="H8" s="9" t="s">
        <v>24</v>
      </c>
      <c r="I8" s="16" t="s">
        <v>345</v>
      </c>
    </row>
    <row r="9" spans="1:9" s="2" customFormat="1" ht="27">
      <c r="B9" s="76" t="s">
        <v>340</v>
      </c>
      <c r="C9" s="9" t="s">
        <v>22</v>
      </c>
      <c r="D9" s="10" t="s">
        <v>54</v>
      </c>
      <c r="E9" s="9" t="s">
        <v>30</v>
      </c>
      <c r="F9" s="9" t="s">
        <v>326</v>
      </c>
      <c r="G9" s="11">
        <v>5.5</v>
      </c>
      <c r="H9" s="9" t="s">
        <v>24</v>
      </c>
      <c r="I9" s="16" t="s">
        <v>348</v>
      </c>
    </row>
    <row r="10" spans="1:9" s="2" customFormat="1" ht="27">
      <c r="B10" s="76" t="s">
        <v>340</v>
      </c>
      <c r="C10" s="9" t="s">
        <v>22</v>
      </c>
      <c r="D10" s="10" t="s">
        <v>23</v>
      </c>
      <c r="E10" s="9" t="s">
        <v>30</v>
      </c>
      <c r="F10" s="9" t="s">
        <v>326</v>
      </c>
      <c r="G10" s="11">
        <v>16.8</v>
      </c>
      <c r="H10" s="9" t="s">
        <v>24</v>
      </c>
      <c r="I10" s="16" t="s">
        <v>347</v>
      </c>
    </row>
    <row r="11" spans="1:9" s="2" customFormat="1" ht="27">
      <c r="B11" s="76" t="s">
        <v>340</v>
      </c>
      <c r="C11" s="9" t="s">
        <v>28</v>
      </c>
      <c r="D11" s="10" t="s">
        <v>18</v>
      </c>
      <c r="E11" s="9" t="s">
        <v>30</v>
      </c>
      <c r="F11" s="9" t="s">
        <v>326</v>
      </c>
      <c r="G11" s="11">
        <v>3.9</v>
      </c>
      <c r="H11" s="9" t="s">
        <v>27</v>
      </c>
      <c r="I11" s="16" t="s">
        <v>346</v>
      </c>
    </row>
    <row r="12" spans="1:9" s="2" customFormat="1" ht="27">
      <c r="B12" s="76" t="s">
        <v>340</v>
      </c>
      <c r="C12" s="9" t="s">
        <v>28</v>
      </c>
      <c r="D12" s="10" t="s">
        <v>18</v>
      </c>
      <c r="E12" s="9" t="s">
        <v>30</v>
      </c>
      <c r="F12" s="9" t="s">
        <v>326</v>
      </c>
      <c r="G12" s="11">
        <v>2.6</v>
      </c>
      <c r="H12" s="9" t="s">
        <v>75</v>
      </c>
      <c r="I12" s="16" t="s">
        <v>343</v>
      </c>
    </row>
    <row r="13" spans="1:9" s="2" customFormat="1" ht="27">
      <c r="B13" s="8" t="s">
        <v>340</v>
      </c>
      <c r="C13" s="9" t="s">
        <v>43</v>
      </c>
      <c r="D13" s="10" t="s">
        <v>31</v>
      </c>
      <c r="E13" s="10" t="s">
        <v>33</v>
      </c>
      <c r="F13" s="9" t="s">
        <v>36</v>
      </c>
      <c r="G13" s="11">
        <v>0.3</v>
      </c>
      <c r="H13" s="9" t="s">
        <v>31</v>
      </c>
      <c r="I13" s="16"/>
    </row>
    <row r="14" spans="1:9" s="2" customFormat="1" ht="27">
      <c r="B14" s="8" t="s">
        <v>340</v>
      </c>
      <c r="C14" s="9" t="s">
        <v>43</v>
      </c>
      <c r="D14" s="10" t="s">
        <v>31</v>
      </c>
      <c r="E14" s="10" t="s">
        <v>33</v>
      </c>
      <c r="F14" s="9" t="s">
        <v>39</v>
      </c>
      <c r="G14" s="11">
        <v>0.4</v>
      </c>
      <c r="H14" s="9" t="s">
        <v>31</v>
      </c>
      <c r="I14" s="16"/>
    </row>
    <row r="15" spans="1:9" s="2" customFormat="1" ht="13.5">
      <c r="B15" s="8"/>
      <c r="C15" s="9"/>
      <c r="D15" s="10"/>
      <c r="E15" s="10"/>
      <c r="F15" s="9"/>
      <c r="G15" s="11"/>
      <c r="H15" s="9"/>
      <c r="I15" s="16"/>
    </row>
    <row r="16" spans="1:9" s="2" customFormat="1" ht="14.5" customHeight="1">
      <c r="B16" s="83" t="s">
        <v>32</v>
      </c>
      <c r="C16" s="84"/>
      <c r="D16" s="85"/>
      <c r="E16" s="12"/>
      <c r="F16" s="12"/>
      <c r="G16" s="86">
        <f>SUM(G6:G15)</f>
        <v>39.9</v>
      </c>
      <c r="H16" s="87"/>
      <c r="I16" s="88"/>
    </row>
    <row r="19" spans="2:6">
      <c r="B19" s="17" t="s">
        <v>81</v>
      </c>
      <c r="C19" s="18" t="s">
        <v>331</v>
      </c>
      <c r="D19" s="75"/>
      <c r="F19" s="78"/>
    </row>
    <row r="20" spans="2:6">
      <c r="C20" s="18" t="s">
        <v>332</v>
      </c>
      <c r="D20" s="77"/>
    </row>
  </sheetData>
  <mergeCells count="4">
    <mergeCell ref="B1:I1"/>
    <mergeCell ref="B2:H2"/>
    <mergeCell ref="B16:D16"/>
    <mergeCell ref="G16:I16"/>
  </mergeCells>
  <phoneticPr fontId="10" type="noConversion"/>
  <dataValidations count="3">
    <dataValidation type="list" allowBlank="1" showInputMessage="1" showErrorMessage="1" sqref="F6:F15" xr:uid="{E86E2E73-60D0-B342-9011-13B9206D83BA}">
      <formula1>INDIRECT($E6)</formula1>
    </dataValidation>
    <dataValidation type="list" errorStyle="warning" allowBlank="1" sqref="C6:C15" xr:uid="{BDEB1F19-B6CA-F24F-B459-1A50D9617E2C}">
      <formula1>项目事项分类项目名称</formula1>
    </dataValidation>
    <dataValidation type="list" allowBlank="1" showInputMessage="1" showErrorMessage="1" sqref="H6:H15"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D6:D8 D10:D14</xm:sqref>
        </x14:dataValidation>
        <x14:dataValidation type="list" allowBlank="1" showInputMessage="1" showErrorMessage="1" xr:uid="{C8D57B36-EEBE-664D-AB8B-FD921B2FBD4E}">
          <x14:formula1>
            <xm:f>Tag!$B$2:$E$2</xm:f>
          </x14:formula1>
          <xm:sqref>E13:E14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