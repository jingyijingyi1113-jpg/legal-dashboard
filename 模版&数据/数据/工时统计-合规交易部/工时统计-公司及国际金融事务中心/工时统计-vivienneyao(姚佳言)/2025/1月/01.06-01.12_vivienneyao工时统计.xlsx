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FEB678D6-49BA-FC48-9884-B9A30E4A2983}" xr6:coauthVersionLast="47" xr6:coauthVersionMax="47" xr10:uidLastSave="{00000000-0000-0000-0000-000000000000}"/>
  <bookViews>
    <workbookView xWindow="4720" yWindow="760" windowWidth="29400" windowHeight="169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<sst xmlns="http://schemas.openxmlformats.org/spreadsheetml/2006/main" count="377" uniqueCount="206">
  <si>
    <t>Weekly Work Record</t>
  </si>
  <si>
    <r>
      <rPr>
        <b/>
        <sz val="10"/>
        <color theme="0"/>
        <rFont val="Calibri"/>
        <family val="2"/>
        <scheme val="minor"/>
      </rPr>
      <t>Date: 202[</t>
    </r>
    <r>
      <rPr>
        <b/>
        <sz val="10"/>
        <color theme="0"/>
        <rFont val="等线"/>
        <family val="4"/>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</si>
  <si>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</si>
  <si>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</si>
  <si>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</si>
  <si>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</si>
  <si>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</si>
  <si>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</si>
  <si>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</si>
  <si>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</si>
  <si>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</si>
  <si>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</si>
  <si>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</si>
  <si>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</si>
  <si>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</si>
  <si>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</si>
  <si>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</si>
  <si>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</si>
  <si>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</si>
  <si>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</si>
  <si>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</si>
  <si>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</si>
  <si>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</si>
  <si>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</si>
  <si>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</si>
  <si>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</si>
  <si>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</si>
  <si>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</si>
  <si>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</si>
  <si>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</si>
  <si>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</si>
  <si>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</si>
  <si>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</si>
  <si>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</si>
  <si>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</si>
  <si>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</si>
  <si>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</si>
  <si>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</si>
  <si>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</si>
  <si>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</si>
  <si>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</si>
  <si>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</si>
  <si>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</si>
  <si>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</si>
  <si>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</si>
  <si>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</si>
  <si>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</si>
  <si>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</si>
  <si>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</si>
  <si>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</si>
  <si>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</si>
  <si>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</si>
  <si>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</si>
  <si>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</si>
  <si>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</si>
  <si>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</si>
  <si>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</si>
  <si>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</si>
  <si>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</si>
  <si>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</si>
  <si>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</si>
  <si>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</si>
  <si>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</si>
  <si>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</si>
  <si>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</si>
  <si>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</si>
  <si>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</si>
  <si>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</si>
  <si>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</si>
  <si>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</si>
  <si>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</si>
  <si>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</si>
  <si>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</si>
  <si>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</si>
  <si>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</si>
  <si>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</si>
  <si>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</si>
  <si>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</si>
  <si>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</si>
  <si>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</si>
  <si>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</si>
  <si>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</si>
  <si>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</si>
  <si>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</si>
  <si>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</si>
  <si>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</si>
  <si>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</si>
  <si>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</si>
  <si>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</si>
  <si>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</si>
  <si>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</si>
  <si>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</si>
  <si>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</si>
  <si>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</si>
  <si>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</si>
  <si>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</si>
  <si>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</si>
  <si>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</si>
  <si>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</si>
  <si>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</si>
  <si>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</si>
  <si>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</si>
  <si>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</si>
  <si>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</si>
  <si>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</si>
  <si>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</si>
  <si>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</si>
  <si>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</si>
  <si>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</si>
  <si>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</si>
  <si>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</si>
  <si>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</si>
  <si>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</si>
  <si>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</si>
  <si>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</si>
  <si>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</si>
  <si>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</si>
  <si>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</si>
  <si>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</si>
  <si>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</si>
  <si>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</si>
  <si>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</si>
  <si>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</si>
  <si>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</si>
  <si>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</si>
  <si>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</si>
  <si>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</si>
  <si>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</si>
  <si>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</si>
  <si>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</si>
  <si>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</si>
  <si>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</si>
  <si>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</si>
  <si>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</si>
  <si>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</si>
  <si>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</si>
  <si>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</si>
  <si>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</si>
  <si>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</si>
  <si>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</si>
  <si>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</si>
  <si>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</si>
  <si>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</si>
  <si>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</si>
  <si>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</si>
  <si>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</si>
  <si>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</si>
  <si>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</si>
  <si>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</si>
  <si>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</si>
  <si>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</si>
  <si>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</si>
  <si>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</si>
  <si>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</si>
  <si>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</si>
  <si>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</si>
  <si>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</si>
  <si>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</si>
  <si>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</si>
  <si>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</si>
  <si>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</si>
  <si>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</si>
  <si>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</si>
  <si>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</si>
  <si>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</si>
  <si>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</si>
  <si>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</si>
  <si>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</si>
  <si>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</si>
  <si>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</si>
  <si>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</si>
  <si>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</si>
  <si>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</si>
  <si>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</si>
  <si>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</si>
  <si>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</si>
  <si>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</si>
  <si>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</si>
  <si>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Vivienneyao</t>
  </si>
  <si>
    <t>Texas</t>
  </si>
  <si>
    <t>《2025 vivo 影像GPU云服务合同》</t>
  </si>
  <si>
    <t>腾讯出行服务-uber合作</t>
  </si>
  <si>
    <t>腾讯云传音合同</t>
  </si>
  <si>
    <t>CMC List- AML memo review</t>
  </si>
  <si>
    <t>Thailand Police Investigation</t>
  </si>
  <si>
    <t>IEGG 全员邮件</t>
  </si>
  <si>
    <t>Study CMC</t>
  </si>
  <si>
    <t>ABU agreement amendment</t>
  </si>
  <si>
    <t>KBR ICBC service application</t>
  </si>
  <si>
    <r>
      <t xml:space="preserve">IEG queries- </t>
    </r>
    <r>
      <rPr>
        <sz val="10"/>
        <color theme="4" tint="-0.499984740745262"/>
        <rFont val="Calibri"/>
        <family val="2"/>
        <scheme val="minor"/>
      </rPr>
      <t>Indonesia</t>
    </r>
  </si>
  <si>
    <t>MCMC compliance post licensing obligations</t>
  </si>
  <si>
    <t>VooV Singapore Intragroup Arrangement</t>
  </si>
  <si>
    <t xml:space="preserve">CDN Sweden notification annual </t>
  </si>
  <si>
    <t>sanctions- KBR authorisations</t>
  </si>
  <si>
    <t>PB LE requests- various countries</t>
  </si>
  <si>
    <t>Russia KBR Matter &amp;info collect for director liability analysis</t>
  </si>
  <si>
    <t>Malaysia USP Disucssion</t>
  </si>
  <si>
    <t>WeChat Red packet</t>
  </si>
  <si>
    <t>WeChat yuanbao</t>
  </si>
  <si>
    <t>WeChat yuanbao call with product</t>
  </si>
  <si>
    <t>GPA catch up</t>
  </si>
  <si>
    <t>IPC We survey</t>
  </si>
  <si>
    <t>Thailand Police Investigation-internal facts finding</t>
  </si>
  <si>
    <t>微信安全隔离WeChat账号讨论</t>
  </si>
  <si>
    <t>ad-hoc questions- IEGG</t>
  </si>
  <si>
    <t>ad-hoc questions- CSIG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</si>
</sst>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i/>
      <sz val="10"/>
      <color rgb="FF203764"/>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rgb="FFFFF2CC"/>
        <bgColor rgb="FF000000"/>
      </patternFill>
    </fill>
  </fills>
  <borders count="2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6" fontId="8" fillId="0" borderId="0" xfId="0" applyNumberFormat="1" applyFont="1">
      <alignment vertical="center"/>
    </xf>
    <xf numFmtId="165" fontId="8" fillId="0" borderId="0" xfId="0" applyNumberFormat="1" applyFont="1">
      <alignment vertical="center"/>
    </xf>
    <xf numFmtId="0" fontId="18" fillId="7" borderId="1"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8" fillId="7" borderId="21" xfId="0" applyFont="1" applyFill="1" applyBorder="1">
      <alignment vertical="center"/>
    </xf>
    <xf numFmtId="0" fontId="18" fillId="7" borderId="21" xfId="0" applyFont="1" applyFill="1" applyBorder="1" applyAlignment="1">
      <alignment vertical="center" wrapText="1"/>
    </xf>
    <xf numFmtId="165" fontId="18" fillId="7" borderId="21" xfId="0" applyNumberFormat="1" applyFont="1" applyFill="1" applyBorder="1" applyAlignment="1">
      <alignment horizontal="center" vertical="center"/>
    </xf>
    <xf numFmtId="0" fontId="18" fillId="7" borderId="1" xfId="0" applyFont="1" applyFill="1" applyBorder="1">
      <alignment vertical="center"/>
    </xf>
    <xf numFmtId="165" fontId="13" fillId="6"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topLeftCell="A25" zoomScale="110" zoomScaleNormal="110" workbookViewId="0">
      <selection activeCell="H9" sqref="H9"/>
    </sheetView>
  </sheetViews>
  <sheetFormatPr baseColWidth="10" defaultColWidth="9" defaultRowHeight="15"/>
  <cols>
    <col min="2" max="2" width="10.66406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10" ht="16">
      <c r="B1" s="39" t="s">
        <v>0</v>
      </c>
      <c r="C1" s="40"/>
      <c r="D1" s="40"/>
      <c r="E1" s="40"/>
      <c r="F1" s="40"/>
      <c r="G1" s="40"/>
      <c r="H1" s="40"/>
      <c r="I1" s="40"/>
    </row>
    <row r="2" spans="1:10" ht="16">
      <c r="B2" s="41"/>
      <c r="C2" s="42"/>
      <c r="D2" s="42"/>
      <c r="E2" s="42"/>
      <c r="F2" s="42"/>
      <c r="G2" s="42"/>
      <c r="H2" s="42"/>
      <c r="I2" s="32" t="s">
        <v>1</v>
      </c>
    </row>
    <row r="3" spans="1:10">
      <c r="B3" s="22" t="s">
        <v>2</v>
      </c>
      <c r="C3" s="23" t="s">
        <v>3</v>
      </c>
      <c r="D3" s="23" t="s">
        <v>4</v>
      </c>
      <c r="E3" s="23" t="s">
        <v>5</v>
      </c>
      <c r="F3" s="23" t="s">
        <v>6</v>
      </c>
      <c r="G3" s="23" t="s">
        <v>7</v>
      </c>
      <c r="H3" s="23" t="s">
        <v>8</v>
      </c>
      <c r="I3" s="33" t="s">
        <v>9</v>
      </c>
    </row>
    <row r="4" spans="1:10" s="21" customFormat="1" ht="294" customHeight="1">
      <c r="A4" s="24"/>
      <c r="B4" s="25" t="s">
        <v>10</v>
      </c>
      <c r="C4" s="26" t="s">
        <v>11</v>
      </c>
      <c r="D4" s="26" t="s">
        <v>12</v>
      </c>
      <c r="E4" s="26" t="s">
        <v>13</v>
      </c>
      <c r="F4" s="26" t="s">
        <v>14</v>
      </c>
      <c r="G4" s="26" t="s">
        <v>15</v>
      </c>
      <c r="H4" s="26" t="s">
        <v>16</v>
      </c>
      <c r="I4" s="34" t="s">
        <v>17</v>
      </c>
    </row>
    <row r="5" spans="1:10" s="21" customFormat="1" ht="30">
      <c r="A5" s="36"/>
      <c r="B5" s="29" t="s">
        <v>178</v>
      </c>
      <c r="C5" s="28" t="s">
        <v>63</v>
      </c>
      <c r="D5" s="29" t="s">
        <v>68</v>
      </c>
      <c r="E5" s="29" t="s">
        <v>33</v>
      </c>
      <c r="F5" s="28" t="s">
        <v>43</v>
      </c>
      <c r="G5" s="30">
        <v>1.2</v>
      </c>
      <c r="H5" s="28" t="s">
        <v>30</v>
      </c>
      <c r="I5" s="28" t="s">
        <v>189</v>
      </c>
    </row>
    <row r="6" spans="1:10" s="21" customFormat="1" ht="30">
      <c r="A6" s="36"/>
      <c r="B6" s="29" t="s">
        <v>178</v>
      </c>
      <c r="C6" s="28" t="s">
        <v>63</v>
      </c>
      <c r="D6" s="29" t="s">
        <v>72</v>
      </c>
      <c r="E6" s="29" t="s">
        <v>25</v>
      </c>
      <c r="F6" s="28" t="s">
        <v>56</v>
      </c>
      <c r="G6" s="30">
        <v>1.4</v>
      </c>
      <c r="H6" s="28" t="s">
        <v>30</v>
      </c>
      <c r="I6" s="28" t="s">
        <v>190</v>
      </c>
    </row>
    <row r="7" spans="1:10" s="21" customFormat="1" ht="30">
      <c r="A7" s="36"/>
      <c r="B7" s="29" t="s">
        <v>178</v>
      </c>
      <c r="C7" s="28" t="s">
        <v>63</v>
      </c>
      <c r="D7" s="29" t="s">
        <v>72</v>
      </c>
      <c r="E7" s="29" t="s">
        <v>25</v>
      </c>
      <c r="F7" s="28" t="s">
        <v>56</v>
      </c>
      <c r="G7" s="30">
        <v>2.2000000000000002</v>
      </c>
      <c r="H7" s="28" t="s">
        <v>30</v>
      </c>
      <c r="I7" s="28" t="s">
        <v>179</v>
      </c>
    </row>
    <row r="8" spans="1:10" s="21" customFormat="1" ht="30">
      <c r="A8" s="36"/>
      <c r="B8" s="29" t="s">
        <v>178</v>
      </c>
      <c r="C8" s="28" t="s">
        <v>63</v>
      </c>
      <c r="D8" s="29" t="s">
        <v>70</v>
      </c>
      <c r="E8" s="29" t="s">
        <v>33</v>
      </c>
      <c r="F8" s="28" t="s">
        <v>43</v>
      </c>
      <c r="G8" s="30">
        <v>6.2</v>
      </c>
      <c r="H8" s="28" t="s">
        <v>30</v>
      </c>
      <c r="I8" s="28" t="s">
        <v>195</v>
      </c>
    </row>
    <row r="9" spans="1:10" s="21" customFormat="1" ht="30">
      <c r="B9" s="29" t="s">
        <v>178</v>
      </c>
      <c r="C9" s="28" t="s">
        <v>63</v>
      </c>
      <c r="D9" s="29" t="s">
        <v>70</v>
      </c>
      <c r="E9" s="29" t="s">
        <v>25</v>
      </c>
      <c r="F9" s="28" t="s">
        <v>56</v>
      </c>
      <c r="G9" s="30">
        <v>1.2</v>
      </c>
      <c r="H9" s="28" t="s">
        <v>169</v>
      </c>
      <c r="I9" s="28" t="s">
        <v>180</v>
      </c>
      <c r="J9" s="37"/>
    </row>
    <row r="10" spans="1:10" s="21" customFormat="1" ht="30">
      <c r="A10" s="36"/>
      <c r="B10" s="29" t="s">
        <v>178</v>
      </c>
      <c r="C10" s="28" t="s">
        <v>63</v>
      </c>
      <c r="D10" s="29" t="s">
        <v>70</v>
      </c>
      <c r="E10" s="29" t="s">
        <v>33</v>
      </c>
      <c r="F10" s="28" t="s">
        <v>43</v>
      </c>
      <c r="G10" s="30">
        <v>2.2999999999999998</v>
      </c>
      <c r="H10" s="28" t="s">
        <v>30</v>
      </c>
      <c r="I10" s="28" t="s">
        <v>181</v>
      </c>
    </row>
    <row r="11" spans="1:10" s="21" customFormat="1" ht="30">
      <c r="A11" s="36"/>
      <c r="B11" s="29" t="s">
        <v>178</v>
      </c>
      <c r="C11" s="38" t="s">
        <v>63</v>
      </c>
      <c r="D11" s="67" t="s">
        <v>71</v>
      </c>
      <c r="E11" s="29" t="s">
        <v>33</v>
      </c>
      <c r="F11" s="28" t="s">
        <v>43</v>
      </c>
      <c r="G11" s="71">
        <v>0.6</v>
      </c>
      <c r="H11" s="28" t="s">
        <v>30</v>
      </c>
      <c r="I11" s="28" t="s">
        <v>204</v>
      </c>
    </row>
    <row r="12" spans="1:10" s="21" customFormat="1" ht="30">
      <c r="A12" s="36"/>
      <c r="B12" s="29" t="s">
        <v>178</v>
      </c>
      <c r="C12" s="38" t="s">
        <v>63</v>
      </c>
      <c r="D12" s="29" t="s">
        <v>70</v>
      </c>
      <c r="E12" s="29" t="s">
        <v>33</v>
      </c>
      <c r="F12" s="28" t="s">
        <v>43</v>
      </c>
      <c r="G12" s="71">
        <v>0.5</v>
      </c>
      <c r="H12" s="28" t="s">
        <v>30</v>
      </c>
      <c r="I12" s="28" t="s">
        <v>205</v>
      </c>
    </row>
    <row r="13" spans="1:10" s="21" customFormat="1" ht="30">
      <c r="A13" s="36"/>
      <c r="B13" s="29" t="s">
        <v>178</v>
      </c>
      <c r="C13" s="38" t="s">
        <v>63</v>
      </c>
      <c r="D13" s="67" t="s">
        <v>71</v>
      </c>
      <c r="E13" s="67" t="s">
        <v>25</v>
      </c>
      <c r="F13" s="68" t="s">
        <v>56</v>
      </c>
      <c r="G13" s="69">
        <v>1.1000000000000001</v>
      </c>
      <c r="H13" s="28" t="s">
        <v>170</v>
      </c>
      <c r="I13" s="28" t="s">
        <v>182</v>
      </c>
    </row>
    <row r="14" spans="1:10" s="21" customFormat="1" ht="30">
      <c r="A14" s="36"/>
      <c r="B14" s="29" t="s">
        <v>178</v>
      </c>
      <c r="C14" s="38" t="s">
        <v>63</v>
      </c>
      <c r="D14" s="70" t="s">
        <v>19</v>
      </c>
      <c r="E14" s="67" t="s">
        <v>25</v>
      </c>
      <c r="F14" s="68" t="s">
        <v>56</v>
      </c>
      <c r="G14" s="69">
        <v>0.8</v>
      </c>
      <c r="H14" s="28" t="s">
        <v>169</v>
      </c>
      <c r="I14" s="28" t="s">
        <v>183</v>
      </c>
    </row>
    <row r="15" spans="1:10" s="21" customFormat="1" ht="30">
      <c r="A15" s="36"/>
      <c r="B15" s="29" t="s">
        <v>178</v>
      </c>
      <c r="C15" s="38" t="s">
        <v>63</v>
      </c>
      <c r="D15" s="67" t="s">
        <v>70</v>
      </c>
      <c r="E15" s="67" t="s">
        <v>25</v>
      </c>
      <c r="F15" s="68" t="s">
        <v>56</v>
      </c>
      <c r="G15" s="69">
        <v>2.6</v>
      </c>
      <c r="H15" s="28" t="s">
        <v>30</v>
      </c>
      <c r="I15" s="28" t="s">
        <v>202</v>
      </c>
    </row>
    <row r="16" spans="1:10" s="21" customFormat="1" ht="30">
      <c r="A16" s="36"/>
      <c r="B16" s="29" t="s">
        <v>178</v>
      </c>
      <c r="C16" s="38" t="s">
        <v>63</v>
      </c>
      <c r="D16" s="67" t="s">
        <v>70</v>
      </c>
      <c r="E16" s="67" t="s">
        <v>25</v>
      </c>
      <c r="F16" s="68" t="s">
        <v>56</v>
      </c>
      <c r="G16" s="69">
        <v>0.9</v>
      </c>
      <c r="H16" s="28" t="s">
        <v>176</v>
      </c>
      <c r="I16" s="28" t="s">
        <v>184</v>
      </c>
    </row>
    <row r="17" spans="1:10" s="21" customFormat="1" ht="30">
      <c r="A17" s="36"/>
      <c r="B17" s="29" t="s">
        <v>178</v>
      </c>
      <c r="C17" s="28" t="s">
        <v>63</v>
      </c>
      <c r="D17" s="67" t="s">
        <v>71</v>
      </c>
      <c r="E17" s="29" t="s">
        <v>33</v>
      </c>
      <c r="F17" s="28" t="s">
        <v>43</v>
      </c>
      <c r="G17" s="30">
        <v>0.4</v>
      </c>
      <c r="H17" s="28" t="s">
        <v>30</v>
      </c>
      <c r="I17" s="28" t="s">
        <v>185</v>
      </c>
    </row>
    <row r="18" spans="1:10" s="21" customFormat="1" ht="30">
      <c r="B18" s="29" t="s">
        <v>178</v>
      </c>
      <c r="C18" s="28" t="s">
        <v>63</v>
      </c>
      <c r="D18" s="29" t="s">
        <v>70</v>
      </c>
      <c r="E18" s="67" t="s">
        <v>25</v>
      </c>
      <c r="F18" s="68" t="s">
        <v>56</v>
      </c>
      <c r="G18" s="30">
        <v>1.5</v>
      </c>
      <c r="H18" s="28" t="s">
        <v>26</v>
      </c>
      <c r="I18" s="28" t="s">
        <v>186</v>
      </c>
      <c r="J18" s="37"/>
    </row>
    <row r="19" spans="1:10" s="21" customFormat="1" ht="30">
      <c r="A19" s="36"/>
      <c r="B19" s="29" t="s">
        <v>178</v>
      </c>
      <c r="C19" s="28" t="s">
        <v>63</v>
      </c>
      <c r="D19" s="29" t="s">
        <v>65</v>
      </c>
      <c r="E19" s="29" t="s">
        <v>33</v>
      </c>
      <c r="F19" s="28" t="s">
        <v>43</v>
      </c>
      <c r="G19" s="30">
        <v>1.3</v>
      </c>
      <c r="H19" s="28" t="s">
        <v>170</v>
      </c>
      <c r="I19" s="28" t="s">
        <v>187</v>
      </c>
    </row>
    <row r="20" spans="1:10" s="21" customFormat="1" ht="30">
      <c r="A20" s="36"/>
      <c r="B20" s="29" t="s">
        <v>178</v>
      </c>
      <c r="C20" s="28" t="s">
        <v>63</v>
      </c>
      <c r="D20" s="29" t="s">
        <v>72</v>
      </c>
      <c r="E20" s="29" t="s">
        <v>33</v>
      </c>
      <c r="F20" s="28" t="s">
        <v>43</v>
      </c>
      <c r="G20" s="30">
        <v>1</v>
      </c>
      <c r="H20" s="28" t="s">
        <v>30</v>
      </c>
      <c r="I20" s="28" t="s">
        <v>199</v>
      </c>
    </row>
    <row r="21" spans="1:10" s="21" customFormat="1" ht="30">
      <c r="A21" s="36"/>
      <c r="B21" s="29" t="s">
        <v>178</v>
      </c>
      <c r="C21" s="28" t="s">
        <v>63</v>
      </c>
      <c r="D21" s="29" t="s">
        <v>65</v>
      </c>
      <c r="E21" s="29" t="s">
        <v>33</v>
      </c>
      <c r="F21" s="28" t="s">
        <v>43</v>
      </c>
      <c r="G21" s="30">
        <v>0.9</v>
      </c>
      <c r="H21" s="28" t="s">
        <v>169</v>
      </c>
      <c r="I21" s="28" t="s">
        <v>188</v>
      </c>
    </row>
    <row r="22" spans="1:10" s="21" customFormat="1" ht="30">
      <c r="A22" s="36"/>
      <c r="B22" s="29" t="s">
        <v>178</v>
      </c>
      <c r="C22" s="28" t="s">
        <v>63</v>
      </c>
      <c r="D22" s="67" t="s">
        <v>71</v>
      </c>
      <c r="E22" s="67" t="s">
        <v>25</v>
      </c>
      <c r="F22" s="68" t="s">
        <v>56</v>
      </c>
      <c r="G22" s="30">
        <v>2.2999999999999998</v>
      </c>
      <c r="H22" s="28" t="s">
        <v>176</v>
      </c>
      <c r="I22" s="28" t="s">
        <v>194</v>
      </c>
    </row>
    <row r="23" spans="1:10" s="21" customFormat="1" ht="30">
      <c r="A23" s="36"/>
      <c r="B23" s="29" t="s">
        <v>178</v>
      </c>
      <c r="C23" s="38" t="s">
        <v>63</v>
      </c>
      <c r="D23" s="67" t="s">
        <v>70</v>
      </c>
      <c r="E23" s="29" t="s">
        <v>33</v>
      </c>
      <c r="F23" s="28" t="s">
        <v>43</v>
      </c>
      <c r="G23" s="69">
        <v>1.3</v>
      </c>
      <c r="H23" s="28" t="s">
        <v>30</v>
      </c>
      <c r="I23" s="28" t="s">
        <v>191</v>
      </c>
    </row>
    <row r="24" spans="1:10" s="21" customFormat="1" ht="30">
      <c r="A24" s="36"/>
      <c r="B24" s="29" t="s">
        <v>178</v>
      </c>
      <c r="C24" s="38" t="s">
        <v>63</v>
      </c>
      <c r="D24" s="67" t="s">
        <v>70</v>
      </c>
      <c r="E24" s="67" t="s">
        <v>25</v>
      </c>
      <c r="F24" s="68" t="s">
        <v>56</v>
      </c>
      <c r="G24" s="30">
        <v>0.3</v>
      </c>
      <c r="H24" s="28" t="s">
        <v>30</v>
      </c>
      <c r="I24" s="28" t="s">
        <v>192</v>
      </c>
    </row>
    <row r="25" spans="1:10" s="21" customFormat="1" ht="30">
      <c r="A25" s="36"/>
      <c r="B25" s="29" t="s">
        <v>178</v>
      </c>
      <c r="C25" s="28" t="s">
        <v>63</v>
      </c>
      <c r="D25" s="67" t="s">
        <v>70</v>
      </c>
      <c r="E25" s="67" t="s">
        <v>25</v>
      </c>
      <c r="F25" s="68" t="s">
        <v>56</v>
      </c>
      <c r="G25" s="30">
        <v>0.5</v>
      </c>
      <c r="H25" s="28" t="s">
        <v>30</v>
      </c>
      <c r="I25" s="35" t="s">
        <v>193</v>
      </c>
    </row>
    <row r="26" spans="1:10" s="21" customFormat="1" ht="30">
      <c r="B26" s="29" t="s">
        <v>178</v>
      </c>
      <c r="C26" s="28" t="s">
        <v>63</v>
      </c>
      <c r="D26" s="29" t="s">
        <v>35</v>
      </c>
      <c r="E26" s="29" t="s">
        <v>33</v>
      </c>
      <c r="F26" s="28" t="s">
        <v>43</v>
      </c>
      <c r="G26" s="30">
        <v>0.5</v>
      </c>
      <c r="H26" s="28" t="s">
        <v>30</v>
      </c>
      <c r="I26" s="28" t="s">
        <v>200</v>
      </c>
      <c r="J26" s="37"/>
    </row>
    <row r="27" spans="1:10" s="21" customFormat="1" ht="30">
      <c r="A27" s="36"/>
      <c r="B27" s="29" t="s">
        <v>178</v>
      </c>
      <c r="C27" s="28" t="s">
        <v>63</v>
      </c>
      <c r="D27" s="29" t="s">
        <v>72</v>
      </c>
      <c r="E27" s="29" t="s">
        <v>25</v>
      </c>
      <c r="F27" s="28" t="s">
        <v>56</v>
      </c>
      <c r="G27" s="30">
        <v>0.9</v>
      </c>
      <c r="H27" s="28" t="s">
        <v>30</v>
      </c>
      <c r="I27" s="28" t="s">
        <v>196</v>
      </c>
    </row>
    <row r="28" spans="1:10" s="21" customFormat="1" ht="30">
      <c r="A28" s="36"/>
      <c r="B28" s="29" t="s">
        <v>178</v>
      </c>
      <c r="C28" s="28" t="s">
        <v>63</v>
      </c>
      <c r="D28" s="29" t="s">
        <v>72</v>
      </c>
      <c r="E28" s="29" t="s">
        <v>33</v>
      </c>
      <c r="F28" s="28" t="s">
        <v>43</v>
      </c>
      <c r="G28" s="30">
        <v>1.2</v>
      </c>
      <c r="H28" s="28" t="s">
        <v>30</v>
      </c>
      <c r="I28" s="28" t="s">
        <v>197</v>
      </c>
    </row>
    <row r="29" spans="1:10" s="21" customFormat="1" ht="30">
      <c r="A29" s="36"/>
      <c r="B29" s="29" t="s">
        <v>178</v>
      </c>
      <c r="C29" s="28" t="s">
        <v>63</v>
      </c>
      <c r="D29" s="29" t="s">
        <v>72</v>
      </c>
      <c r="E29" s="29" t="s">
        <v>33</v>
      </c>
      <c r="F29" s="28" t="s">
        <v>43</v>
      </c>
      <c r="G29" s="30">
        <v>1.5</v>
      </c>
      <c r="H29" s="28" t="s">
        <v>26</v>
      </c>
      <c r="I29" s="28" t="s">
        <v>198</v>
      </c>
    </row>
    <row r="30" spans="1:10" s="21" customFormat="1" ht="30">
      <c r="B30" s="29" t="s">
        <v>178</v>
      </c>
      <c r="C30" s="28" t="s">
        <v>63</v>
      </c>
      <c r="D30" s="67" t="s">
        <v>70</v>
      </c>
      <c r="E30" s="67" t="s">
        <v>25</v>
      </c>
      <c r="F30" s="68" t="s">
        <v>56</v>
      </c>
      <c r="G30" s="30">
        <v>1</v>
      </c>
      <c r="H30" s="28" t="s">
        <v>30</v>
      </c>
      <c r="I30" s="28" t="s">
        <v>201</v>
      </c>
    </row>
    <row r="31" spans="1:10" s="21" customFormat="1" ht="30">
      <c r="B31" s="29" t="s">
        <v>178</v>
      </c>
      <c r="C31" s="28" t="s">
        <v>63</v>
      </c>
      <c r="D31" s="29" t="s">
        <v>72</v>
      </c>
      <c r="E31" s="29" t="s">
        <v>33</v>
      </c>
      <c r="F31" s="28" t="s">
        <v>43</v>
      </c>
      <c r="G31" s="30">
        <v>1.3</v>
      </c>
      <c r="H31" s="28" t="s">
        <v>30</v>
      </c>
      <c r="I31" s="28" t="s">
        <v>203</v>
      </c>
    </row>
    <row r="32" spans="1:10" s="21" customFormat="1" ht="30">
      <c r="A32" s="36"/>
      <c r="B32" s="29" t="s">
        <v>178</v>
      </c>
      <c r="C32" s="28" t="s">
        <v>31</v>
      </c>
      <c r="D32" s="29" t="s">
        <v>35</v>
      </c>
      <c r="E32" s="29" t="s">
        <v>37</v>
      </c>
      <c r="F32" s="28" t="s">
        <v>49</v>
      </c>
      <c r="G32" s="30">
        <v>1</v>
      </c>
      <c r="H32" s="28" t="s">
        <v>35</v>
      </c>
      <c r="I32" s="28"/>
    </row>
    <row r="33" spans="2:9" s="21" customFormat="1" ht="14">
      <c r="B33" s="27"/>
      <c r="C33" s="28"/>
      <c r="D33" s="29"/>
      <c r="E33" s="29"/>
      <c r="F33" s="28"/>
      <c r="G33" s="30"/>
      <c r="H33" s="28"/>
      <c r="I33" s="35"/>
    </row>
    <row r="34" spans="2:9" s="21" customFormat="1" ht="14.5" customHeight="1" thickBot="1">
      <c r="B34" s="43" t="s">
        <v>36</v>
      </c>
      <c r="C34" s="44"/>
      <c r="D34" s="45"/>
      <c r="E34" s="31"/>
      <c r="F34" s="31"/>
      <c r="G34" s="46">
        <f>SUM(G5:G32)</f>
        <v>37.9</v>
      </c>
      <c r="H34" s="47"/>
      <c r="I34" s="48"/>
    </row>
  </sheetData>
  <mergeCells count="4">
    <mergeCell ref="B1:I1"/>
    <mergeCell ref="B2:H2"/>
    <mergeCell ref="B34:D34"/>
    <mergeCell ref="G34:I34"/>
  </mergeCells>
  <dataValidations count="3">
    <dataValidation type="list" errorStyle="warning" allowBlank="1" sqref="C5:C13 C17:C22 C25:C33" xr:uid="{00000000-0002-0000-0000-000005000000}">
      <formula1>项目事项分类项目名称</formula1>
    </dataValidation>
    <dataValidation type="list" allowBlank="1" showInputMessage="1" showErrorMessage="1" sqref="F23 F17 F19:F21 F5:F12 F31:F33 F26:F29" xr:uid="{00000000-0002-0000-0000-000002000000}">
      <formula1>INDIRECT($E5)</formula1>
    </dataValidation>
    <dataValidation type="list" allowBlank="1" showInputMessage="1" showErrorMessage="1" sqref="H5:H33" xr:uid="{00000000-0002-0000-0000-000006000000}">
      <formula1>事项分类指定内容</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D19:D21 D26 D33</xm:sqref>
        </x14:dataValidation>
        <x14:dataValidation type="list" allowBlank="1" showInputMessage="1" showErrorMessage="1" xr:uid="{00000000-0002-0000-0000-000007000000}">
          <x14:formula1>
            <xm:f>Tag!$B$2:$F$2</xm:f>
          </x14:formula1>
          <xm:sqref>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10" workbookViewId="0">
      <selection activeCell="P8" sqref="P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65">
      <c r="A7" s="59"/>
      <c r="B7" s="64"/>
      <c r="C7" s="9" t="s">
        <v>133</v>
      </c>
      <c r="D7" s="5" t="s">
        <v>134</v>
      </c>
      <c r="E7" s="66"/>
      <c r="F7" s="4" t="s">
        <v>135</v>
      </c>
      <c r="G7" s="4" t="s">
        <v>136</v>
      </c>
      <c r="H7" s="4" t="s">
        <v>137</v>
      </c>
      <c r="I7" s="4" t="s">
        <v>137</v>
      </c>
      <c r="J7" s="4" t="s">
        <v>138</v>
      </c>
      <c r="K7" s="13">
        <v>4</v>
      </c>
      <c r="L7" s="4" t="s">
        <v>139</v>
      </c>
      <c r="M7" s="14"/>
      <c r="N7" s="14"/>
      <c r="O7" s="14"/>
      <c r="P7" s="14"/>
    </row>
    <row r="8" spans="1:16" ht="409.6">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7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2025-01-25T14:37:13Z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