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CD4D01D7-9884-5844-B886-E53329531485}" xr6:coauthVersionLast="47" xr6:coauthVersionMax="47" xr10:uidLastSave="{00000000-0000-0000-0000-000000000000}"/>
  <bookViews>
    <workbookView xWindow="16540" yWindow="4420" windowWidth="29400" windowHeight="169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<sst xmlns="http://schemas.openxmlformats.org/spreadsheetml/2006/main" count="504" uniqueCount="352">
  <si>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</si>
  <si>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</si>
  <si>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</si>
  <si>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</si>
  <si>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</si>
  <si>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</si>
  <si>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</si>
  <si>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</si>
  <si>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</si>
  <si>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</si>
  <si>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</si>
  <si>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</si>
  <si>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</si>
  <si>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</si>
  <si>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</si>
  <si>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</si>
  <si>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</si>
  <si>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</si>
  <si>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</si>
  <si>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</si>
  <si>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</si>
  <si>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</si>
  <si>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</si>
  <si>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</si>
  <si>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</si>
  <si>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</si>
  <si>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</si>
  <si>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</si>
  <si>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</si>
  <si>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</si>
  <si>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</si>
  <si>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</si>
  <si>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</si>
  <si>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</si>
  <si>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</si>
  <si>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</si>
  <si>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</si>
  <si>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</si>
  <si>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</si>
  <si>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</si>
  <si>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</si>
  <si>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</si>
  <si>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</si>
  <si>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</si>
  <si>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</si>
  <si>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</si>
  <si>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</si>
  <si>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</si>
  <si>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</si>
  <si>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</si>
  <si>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</si>
  <si>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</si>
  <si>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</si>
  <si>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</si>
  <si>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</si>
  <si>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</si>
  <si>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</si>
  <si>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</si>
  <si>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</si>
  <si>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</si>
  <si>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</si>
  <si>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</si>
  <si>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</si>
  <si>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</si>
  <si>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</si>
  <si>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</si>
  <si>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</si>
  <si>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</si>
  <si>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</si>
  <si>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</si>
  <si>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</si>
  <si>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</si>
  <si>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</si>
  <si>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</si>
  <si>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</si>
  <si>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</si>
  <si>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</si>
  <si>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</si>
  <si>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</si>
  <si>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</si>
  <si>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</si>
  <si>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</si>
  <si>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</si>
  <si>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</si>
  <si>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</si>
  <si>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</si>
  <si>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</si>
  <si>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</si>
  <si>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</si>
  <si>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</si>
  <si>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</si>
  <si>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</si>
  <si>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</si>
  <si>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</si>
  <si>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</si>
  <si>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</si>
  <si>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</si>
  <si>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</si>
  <si>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</si>
  <si>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</si>
  <si>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</si>
  <si>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</si>
  <si>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</si>
  <si>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</si>
  <si>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</si>
  <si>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</si>
  <si>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</si>
  <si>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</si>
  <si>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</si>
  <si>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</si>
  <si>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</si>
  <si>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</si>
  <si>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</si>
  <si>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</si>
  <si>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</si>
  <si>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</si>
  <si>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</si>
  <si>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</si>
  <si>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</si>
  <si>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</si>
  <si>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</si>
  <si>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</si>
  <si>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</si>
  <si>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</si>
  <si>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</si>
  <si>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</si>
  <si>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</si>
  <si>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</si>
  <si>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</si>
  <si>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</si>
  <si>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</si>
  <si>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</si>
  <si>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</si>
  <si>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</si>
  <si>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</si>
  <si>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</si>
  <si>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</si>
  <si>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</si>
  <si>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</si>
  <si>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</si>
  <si>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</si>
  <si>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</si>
  <si>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</si>
  <si>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</si>
  <si>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</si>
  <si>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</si>
  <si>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</si>
  <si>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</si>
  <si>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</si>
  <si>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</si>
  <si>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</si>
  <si>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</si>
  <si>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</si>
  <si>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</si>
  <si>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</si>
  <si>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</si>
  <si>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</si>
  <si>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</si>
  <si>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</si>
  <si>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</si>
  <si>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</si>
  <si>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</si>
  <si>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</si>
  <si>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</si>
  <si>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</si>
  <si>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</si>
  <si>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</si>
  <si>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</si>
  <si>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</si>
  <si>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</si>
  <si>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</si>
  <si>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</si>
  <si>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</si>
  <si>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</si>
  <si>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</si>
  <si>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</si>
  <si>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</si>
  <si>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</si>
  <si>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</si>
  <si>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</si>
  <si>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</si>
  <si>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</si>
  <si>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</si>
  <si>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</si>
  <si>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</si>
  <si>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</si>
  <si>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</si>
  <si>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</si>
  <si>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</si>
  <si>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</si>
  <si>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</si>
  <si>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</si>
  <si>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</si>
  <si>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</si>
  <si>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</si>
  <si>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</si>
  <si>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</si>
  <si>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</si>
  <si>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</si>
  <si>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</si>
  <si>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</si>
  <si>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</si>
  <si>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</si>
  <si>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</si>
  <si>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</si>
  <si>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</si>
  <si>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</si>
  <si>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</si>
  <si>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</si>
  <si>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</si>
  <si>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</si>
  <si>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</si>
  <si>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</si>
  <si>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</si>
  <si>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</si>
  <si>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</si>
  <si>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</si>
  <si>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</si>
  <si>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</si>
  <si>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</si>
  <si>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</si>
  <si>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</si>
  <si>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</si>
  <si>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</si>
  <si>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</si>
  <si>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</si>
  <si>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</si>
  <si>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</si>
  <si>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</si>
  <si>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</si>
  <si>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</si>
  <si>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</si>
  <si>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</si>
  <si>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</si>
  <si>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</si>
  <si>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</si>
  <si>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</si>
  <si>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</si>
  <si>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</si>
  <si>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</si>
  <si>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</si>
  <si>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</si>
  <si>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</si>
  <si>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</si>
  <si>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</si>
  <si>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</si>
  <si>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</si>
  <si>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</si>
  <si>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</si>
  <si>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</si>
  <si>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</si>
  <si>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</si>
  <si>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</si>
  <si>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</si>
  <si>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</si>
  <si>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</si>
  <si>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</si>
  <si>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</si>
  <si>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</si>
  <si>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</si>
  <si>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</si>
  <si>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</si>
  <si>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</si>
  <si>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</si>
  <si>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</si>
  <si>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</si>
  <si>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</si>
  <si>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</si>
  <si>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</si>
  <si>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</si>
  <si>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</si>
  <si>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</si>
  <si>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</si>
  <si>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</si>
  <si>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</si>
  <si>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</si>
  <si>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</si>
  <si>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</si>
  <si>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</si>
  <si>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</si>
  <si>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</si>
  <si>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</si>
  <si>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</si>
  <si>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</si>
  <si>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</si>
  <si>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</si>
  <si>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</si>
  <si>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</si>
  <si>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</si>
  <si>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</si>
  <si>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</si>
  <si>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</si>
  <si>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</si>
  <si>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</si>
  <si>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</si>
  <si>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</si>
  <si>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</si>
  <si>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</si>
  <si>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</si>
  <si>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</si>
  <si>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</si>
  <si>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</si>
  <si>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</si>
  <si>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</si>
  <si>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</si>
  <si>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</si>
  <si>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</si>
  <si>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</si>
  <si>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</si>
  <si>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</si>
  <si>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</si>
  <si>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</si>
  <si>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</si>
  <si>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</si>
  <si>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</si>
  <si>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</si>
  <si>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</si>
  <si>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</si>
  <si>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</si>
  <si>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</si>
  <si>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</si>
  <si>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</si>
  <si>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</si>
  <si>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</si>
  <si>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</si>
  <si>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</si>
  <si>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</si>
  <si>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</si>
  <si>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</si>
  <si>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</si>
  <si>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</si>
  <si>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</si>
  <si>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</si>
  <si>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</si>
  <si>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</si>
  <si>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</si>
  <si>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</si>
  <si>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</si>
  <si>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</si>
  <si>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</si>
  <si>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</si>
  <si>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PUBGM Russia</t>
  </si>
  <si>
    <t>KBR matter</t>
  </si>
  <si>
    <t>vivienneyao</t>
  </si>
  <si>
    <t>PUBGM LE requests</t>
  </si>
  <si>
    <t>Signatory ad-hoc questions</t>
  </si>
  <si>
    <t>Bahrain liquidation</t>
  </si>
  <si>
    <t>华润股份有限公司 —— 华润集团分布式MySQL数据库软件集中采购-投标</t>
  </si>
  <si>
    <t>KBR loan offset</t>
  </si>
  <si>
    <t>CDN- Romania Hungary</t>
  </si>
  <si>
    <t>April 15-18</t>
  </si>
  <si>
    <t xml:space="preserve"> total working day: 1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</si>
</sst>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16" fontId="30" fillId="0" borderId="0" xfId="0" applyNumberFormat="1" applyFont="1" applyAlignment="1">
      <alignment horizontal="righ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3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zoomScaleNormal="95" workbookViewId="0">
      <selection activeCell="F26" sqref="F26"/>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7" t="s">
        <v>0</v>
      </c>
      <c r="C1" s="78"/>
      <c r="D1" s="78"/>
      <c r="E1" s="78"/>
      <c r="F1" s="78"/>
      <c r="G1" s="78"/>
      <c r="H1" s="78"/>
      <c r="I1" s="78"/>
    </row>
    <row r="2" spans="1:9" ht="16">
      <c r="B2" s="79"/>
      <c r="C2" s="80"/>
      <c r="D2" s="80"/>
      <c r="E2" s="80"/>
      <c r="F2" s="80"/>
      <c r="G2" s="80"/>
      <c r="H2" s="80"/>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343</v>
      </c>
      <c r="C6" s="9" t="s">
        <v>45</v>
      </c>
      <c r="D6" s="10" t="s">
        <v>53</v>
      </c>
      <c r="E6" s="10" t="s">
        <v>30</v>
      </c>
      <c r="F6" s="9" t="s">
        <v>340</v>
      </c>
      <c r="G6" s="11">
        <v>0.6</v>
      </c>
      <c r="H6" s="9" t="s">
        <v>27</v>
      </c>
      <c r="I6" s="16" t="s">
        <v>341</v>
      </c>
    </row>
    <row r="7" spans="1:9" s="2" customFormat="1" ht="30">
      <c r="B7" s="8" t="s">
        <v>343</v>
      </c>
      <c r="C7" s="9" t="s">
        <v>45</v>
      </c>
      <c r="D7" s="10" t="s">
        <v>48</v>
      </c>
      <c r="E7" s="10" t="s">
        <v>30</v>
      </c>
      <c r="F7" s="9" t="s">
        <v>340</v>
      </c>
      <c r="G7" s="11">
        <v>3.5</v>
      </c>
      <c r="H7" s="9" t="s">
        <v>27</v>
      </c>
      <c r="I7" s="16" t="s">
        <v>342</v>
      </c>
    </row>
    <row r="8" spans="1:9" s="2" customFormat="1" ht="30">
      <c r="B8" s="8" t="s">
        <v>343</v>
      </c>
      <c r="C8" s="9" t="s">
        <v>45</v>
      </c>
      <c r="D8" s="10" t="s">
        <v>53</v>
      </c>
      <c r="E8" s="10" t="s">
        <v>30</v>
      </c>
      <c r="F8" s="9" t="s">
        <v>340</v>
      </c>
      <c r="G8" s="11">
        <v>1.5</v>
      </c>
      <c r="H8" s="9" t="s">
        <v>79</v>
      </c>
      <c r="I8" s="16" t="s">
        <v>344</v>
      </c>
    </row>
    <row r="9" spans="1:9" s="2" customFormat="1" ht="45">
      <c r="B9" s="8" t="s">
        <v>343</v>
      </c>
      <c r="C9" s="9" t="s">
        <v>43</v>
      </c>
      <c r="D9" s="10" t="s">
        <v>52</v>
      </c>
      <c r="E9" s="10" t="s">
        <v>30</v>
      </c>
      <c r="F9" s="9" t="s">
        <v>334</v>
      </c>
      <c r="G9" s="11">
        <v>0.2</v>
      </c>
      <c r="H9" s="9" t="s">
        <v>27</v>
      </c>
      <c r="I9" s="16" t="s">
        <v>345</v>
      </c>
    </row>
    <row r="10" spans="1:9" s="2" customFormat="1" ht="45">
      <c r="B10" s="8" t="s">
        <v>343</v>
      </c>
      <c r="C10" s="9" t="s">
        <v>43</v>
      </c>
      <c r="D10" s="10" t="s">
        <v>52</v>
      </c>
      <c r="E10" s="10" t="s">
        <v>30</v>
      </c>
      <c r="F10" s="9" t="s">
        <v>334</v>
      </c>
      <c r="G10" s="11">
        <v>0.2</v>
      </c>
      <c r="H10" s="9" t="s">
        <v>27</v>
      </c>
      <c r="I10" s="16" t="s">
        <v>346</v>
      </c>
    </row>
    <row r="11" spans="1:9" s="2" customFormat="1" ht="30">
      <c r="B11" s="8" t="s">
        <v>343</v>
      </c>
      <c r="C11" s="9" t="s">
        <v>45</v>
      </c>
      <c r="D11" s="10" t="s">
        <v>52</v>
      </c>
      <c r="E11" s="10" t="s">
        <v>30</v>
      </c>
      <c r="F11" s="9" t="s">
        <v>336</v>
      </c>
      <c r="G11" s="11">
        <v>0.7</v>
      </c>
      <c r="H11" s="9" t="s">
        <v>27</v>
      </c>
      <c r="I11" s="16" t="s">
        <v>347</v>
      </c>
    </row>
    <row r="12" spans="1:9" s="2" customFormat="1" ht="30">
      <c r="B12" s="8" t="s">
        <v>343</v>
      </c>
      <c r="C12" s="9" t="s">
        <v>45</v>
      </c>
      <c r="D12" s="10" t="s">
        <v>48</v>
      </c>
      <c r="E12" s="10" t="s">
        <v>30</v>
      </c>
      <c r="F12" s="9" t="s">
        <v>340</v>
      </c>
      <c r="G12" s="11">
        <v>1</v>
      </c>
      <c r="H12" s="9" t="s">
        <v>27</v>
      </c>
      <c r="I12" s="16" t="s">
        <v>348</v>
      </c>
    </row>
    <row r="13" spans="1:9" s="2" customFormat="1" ht="30">
      <c r="B13" s="8" t="s">
        <v>343</v>
      </c>
      <c r="C13" s="9" t="s">
        <v>45</v>
      </c>
      <c r="D13" s="10" t="s">
        <v>53</v>
      </c>
      <c r="E13" s="10" t="s">
        <v>30</v>
      </c>
      <c r="F13" s="9" t="s">
        <v>325</v>
      </c>
      <c r="G13" s="11">
        <v>0.2</v>
      </c>
      <c r="H13" s="9" t="s">
        <v>27</v>
      </c>
      <c r="I13" s="16" t="s">
        <v>349</v>
      </c>
    </row>
    <row r="14" spans="1:9" s="2" customFormat="1" ht="30">
      <c r="B14" s="8" t="s">
        <v>343</v>
      </c>
      <c r="C14" s="9" t="s">
        <v>45</v>
      </c>
      <c r="D14" s="10" t="s">
        <v>31</v>
      </c>
      <c r="E14" s="10" t="s">
        <v>33</v>
      </c>
      <c r="F14" s="9" t="s">
        <v>39</v>
      </c>
      <c r="G14" s="11">
        <v>0.1</v>
      </c>
      <c r="H14" s="9" t="s">
        <v>31</v>
      </c>
      <c r="I14" s="16"/>
    </row>
    <row r="15" spans="1:9" s="2" customFormat="1" ht="14">
      <c r="B15" s="8"/>
      <c r="C15" s="9"/>
      <c r="D15" s="10"/>
      <c r="E15" s="10"/>
      <c r="F15" s="9"/>
      <c r="G15" s="11"/>
      <c r="H15" s="9"/>
      <c r="I15" s="16"/>
    </row>
    <row r="16" spans="1:9" s="2" customFormat="1" ht="14.5" customHeight="1">
      <c r="B16" s="81" t="s">
        <v>32</v>
      </c>
      <c r="C16" s="82"/>
      <c r="D16" s="83"/>
      <c r="E16" s="12"/>
      <c r="F16" s="12"/>
      <c r="G16" s="84">
        <f>SUM(G6:G15)</f>
        <v>8</v>
      </c>
      <c r="H16" s="85"/>
      <c r="I16" s="86"/>
    </row>
    <row r="19" spans="2:5" ht="16">
      <c r="B19" s="17" t="s">
        <v>81</v>
      </c>
      <c r="C19" s="18" t="s">
        <v>331</v>
      </c>
      <c r="D19" s="76" t="s">
        <v>350</v>
      </c>
      <c r="E19" s="131" t="s">
        <v>351</v>
      </c>
    </row>
    <row r="20" spans="2:5" ht="16">
      <c r="C20" s="18" t="s">
        <v>332</v>
      </c>
      <c r="D20" s="75"/>
    </row>
  </sheetData>
  <mergeCells count="4">
    <mergeCell ref="B1:I1"/>
    <mergeCell ref="B2:H2"/>
    <mergeCell ref="B16:D16"/>
    <mergeCell ref="G16:I16"/>
  </mergeCells>
  <phoneticPr fontId="10" type="noConversion"/>
  <dataValidations count="3">
    <dataValidation type="list" allowBlank="1" showInputMessage="1" showErrorMessage="1" sqref="F6:F15" xr:uid="{047FE464-B43A-E64B-BF71-6DB56F0DB518}">
      <formula1>INDIRECT($E6)</formula1>
    </dataValidation>
    <dataValidation type="list" errorStyle="warning" allowBlank="1" sqref="C6:C15" xr:uid="{6148E015-EB5D-394F-A421-550F2B7F57F7}">
      <formula1>项目事项分类项目名称</formula1>
    </dataValidation>
    <dataValidation type="list" allowBlank="1" showInputMessage="1" showErrorMessage="1" sqref="H6:H15" xr:uid="{8E737068-2A8D-CF4E-A7B4-B4DE5121B01B}">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DE43E79-E069-684C-8D4D-DE1952CBA432}">
          <x14:formula1>
            <xm:f>'Exhibit II - Internal Client'!$A$1:$A$20</xm:f>
          </x14:formula1>
          <xm:sqref>D6:D7 D9:D12 D14</xm:sqref>
        </x14:dataValidation>
        <x14:dataValidation type="list" allowBlank="1" showInputMessage="1" showErrorMessage="1" xr:uid="{D330FF36-D7F0-704F-BEFB-83104435E9F6}">
          <x14:formula1>
            <xm:f>Tag!$B$2:$E$2</xm:f>
          </x14:formula1>
          <xm:sqref>E6:E7 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ht="17">
      <c r="C4" s="125"/>
      <c r="D4" s="106"/>
      <c r="E4" s="118"/>
      <c r="F4" s="125"/>
      <c r="G4" s="125"/>
      <c r="H4" s="125"/>
      <c r="I4" s="125"/>
      <c r="J4" s="125"/>
      <c r="K4" s="20" t="s">
        <v>64</v>
      </c>
      <c r="L4" s="20" t="s">
        <v>65</v>
      </c>
      <c r="M4" s="20" t="s">
        <v>66</v>
      </c>
      <c r="N4" s="20" t="s">
        <v>67</v>
      </c>
    </row>
    <row r="5" spans="2:14" ht="102" outlineLevel="1">
      <c r="C5" s="21" t="s">
        <v>100</v>
      </c>
      <c r="D5" s="109" t="s">
        <v>101</v>
      </c>
      <c r="E5" s="102"/>
      <c r="F5" s="22" t="s">
        <v>102</v>
      </c>
      <c r="G5" s="21" t="s">
        <v>103</v>
      </c>
      <c r="H5" s="21" t="s">
        <v>104</v>
      </c>
      <c r="I5" s="21" t="s">
        <v>105</v>
      </c>
      <c r="J5" s="21" t="s">
        <v>106</v>
      </c>
      <c r="K5" s="110" t="s">
        <v>107</v>
      </c>
      <c r="L5" s="110"/>
      <c r="M5" s="110"/>
      <c r="N5" s="110"/>
    </row>
    <row r="6" spans="2:14" s="23" customFormat="1" ht="187"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72"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8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06"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6"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70"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2"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8">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72"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6"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3"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2025-04-25T08:15:16Z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