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5A80870B-4844-8D42-85AF-BA5408A0A967}" xr6:coauthVersionLast="47" xr6:coauthVersionMax="47" xr10:uidLastSave="{00000000-0000-0000-0000-000000000000}"/>
  <bookViews>
    <workbookView xWindow="15740" yWindow="5120" windowWidth="29400" windowHeight="169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<sst xmlns="http://schemas.openxmlformats.org/spreadsheetml/2006/main" count="637" uniqueCount="371">
  <si>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</si>
  <si>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</si>
  <si>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</si>
  <si>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</si>
  <si>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</si>
  <si>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</si>
  <si>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</si>
  <si>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</si>
  <si>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</si>
  <si>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</si>
  <si>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</si>
  <si>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</si>
  <si>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</si>
  <si>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</si>
  <si>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</si>
  <si>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</si>
  <si>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</si>
  <si>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</si>
  <si>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</si>
  <si>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</si>
  <si>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</si>
  <si>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</si>
  <si>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</si>
  <si>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</si>
  <si>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</si>
  <si>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</si>
  <si>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</si>
  <si>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</si>
  <si>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</si>
  <si>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</si>
  <si>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</si>
  <si>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</si>
  <si>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</si>
  <si>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</si>
  <si>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</si>
  <si>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</si>
  <si>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</si>
  <si>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</si>
  <si>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</si>
  <si>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</si>
  <si>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</si>
  <si>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</si>
  <si>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</si>
  <si>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</si>
  <si>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</si>
  <si>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</si>
  <si>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</si>
  <si>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</si>
  <si>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</si>
  <si>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</si>
  <si>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</si>
  <si>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</si>
  <si>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</si>
  <si>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</si>
  <si>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</si>
  <si>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</si>
  <si>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</si>
  <si>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</si>
  <si>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</si>
  <si>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</si>
  <si>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</si>
  <si>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</si>
  <si>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</si>
  <si>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</si>
  <si>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</si>
  <si>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</si>
  <si>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</si>
  <si>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</si>
  <si>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</si>
  <si>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</si>
  <si>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</si>
  <si>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</si>
  <si>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</si>
  <si>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</si>
  <si>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</si>
  <si>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</si>
  <si>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</si>
  <si>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</si>
  <si>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</si>
  <si>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</si>
  <si>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</si>
  <si>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</si>
  <si>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</si>
  <si>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</si>
  <si>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</si>
  <si>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</si>
  <si>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</si>
  <si>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</si>
  <si>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</si>
  <si>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</si>
  <si>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</si>
  <si>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</si>
  <si>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</si>
  <si>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</si>
  <si>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</si>
  <si>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</si>
  <si>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</si>
  <si>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</si>
  <si>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</si>
  <si>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</si>
  <si>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</si>
  <si>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</si>
  <si>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</si>
  <si>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</si>
  <si>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</si>
  <si>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</si>
  <si>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</si>
  <si>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</si>
  <si>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</si>
  <si>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</si>
  <si>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</si>
  <si>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</si>
  <si>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</si>
  <si>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</si>
  <si>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</si>
  <si>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</si>
  <si>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</si>
  <si>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</si>
  <si>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</si>
  <si>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</si>
  <si>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</si>
  <si>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</si>
  <si>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</si>
  <si>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</si>
  <si>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</si>
  <si>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</si>
  <si>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</si>
  <si>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</si>
  <si>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</si>
  <si>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</si>
  <si>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</si>
  <si>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</si>
  <si>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</si>
  <si>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</si>
  <si>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</si>
  <si>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</si>
  <si>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</si>
  <si>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</si>
  <si>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</si>
  <si>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</si>
  <si>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</si>
  <si>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</si>
  <si>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</si>
  <si>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</si>
  <si>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</si>
  <si>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</si>
  <si>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</si>
  <si>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</si>
  <si>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</si>
  <si>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</si>
  <si>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</si>
  <si>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</si>
  <si>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</si>
  <si>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</si>
  <si>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</si>
  <si>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</si>
  <si>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</si>
  <si>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</si>
  <si>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</si>
  <si>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</si>
  <si>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</si>
  <si>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</si>
  <si>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</si>
  <si>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</si>
  <si>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</si>
  <si>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</si>
  <si>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</si>
  <si>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</si>
  <si>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</si>
  <si>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</si>
  <si>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</si>
  <si>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</si>
  <si>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</si>
  <si>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</si>
  <si>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</si>
  <si>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</si>
  <si>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</si>
  <si>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</si>
  <si>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</si>
  <si>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</si>
  <si>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</si>
  <si>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</si>
  <si>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</si>
  <si>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</si>
  <si>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</si>
  <si>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</si>
  <si>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</si>
  <si>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</si>
  <si>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</si>
  <si>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</si>
  <si>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</si>
  <si>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</si>
  <si>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</si>
  <si>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</si>
  <si>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</si>
  <si>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</si>
  <si>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</si>
  <si>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</si>
  <si>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</si>
  <si>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</si>
  <si>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</si>
  <si>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</si>
  <si>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</si>
  <si>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</si>
  <si>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</si>
  <si>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</si>
  <si>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</si>
  <si>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</si>
  <si>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</si>
  <si>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</si>
  <si>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</si>
  <si>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</si>
  <si>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</si>
  <si>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</si>
  <si>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</si>
  <si>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</si>
  <si>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</si>
  <si>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</si>
  <si>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</si>
  <si>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</si>
  <si>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</si>
  <si>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</si>
  <si>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</si>
  <si>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</si>
  <si>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</si>
  <si>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</si>
  <si>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</si>
  <si>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</si>
  <si>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</si>
  <si>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</si>
  <si>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</si>
  <si>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</si>
  <si>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</si>
  <si>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</si>
  <si>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</si>
  <si>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</si>
  <si>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</si>
  <si>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</si>
  <si>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</si>
  <si>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</si>
  <si>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</si>
  <si>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</si>
  <si>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</si>
  <si>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</si>
  <si>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</si>
  <si>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</si>
  <si>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</si>
  <si>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</si>
  <si>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</si>
  <si>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</si>
  <si>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</si>
  <si>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</si>
  <si>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</si>
  <si>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</si>
  <si>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</si>
  <si>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</si>
  <si>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</si>
  <si>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</si>
  <si>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</si>
  <si>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</si>
  <si>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</si>
  <si>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</si>
  <si>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</si>
  <si>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</si>
  <si>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</si>
  <si>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</si>
  <si>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</si>
  <si>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</si>
  <si>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</si>
  <si>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</si>
  <si>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</si>
  <si>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</si>
  <si>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</si>
  <si>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</si>
  <si>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</si>
  <si>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</si>
  <si>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</si>
  <si>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</si>
  <si>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</si>
  <si>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</si>
  <si>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</si>
  <si>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</si>
  <si>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</si>
  <si>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</si>
  <si>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</si>
  <si>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</si>
  <si>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</si>
  <si>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</si>
  <si>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</si>
  <si>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</si>
  <si>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</si>
  <si>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</si>
  <si>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</si>
  <si>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</si>
  <si>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</si>
  <si>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</si>
  <si>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</si>
  <si>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</si>
  <si>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</si>
  <si>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</si>
  <si>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</si>
  <si>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</si>
  <si>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</si>
  <si>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</si>
  <si>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</si>
  <si>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</si>
  <si>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</si>
  <si>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</si>
  <si>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</si>
  <si>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</si>
  <si>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</si>
  <si>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</si>
  <si>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</si>
  <si>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</si>
  <si>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</si>
  <si>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</si>
  <si>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</si>
  <si>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</si>
  <si>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</si>
  <si>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</si>
  <si>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</si>
  <si>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</si>
  <si>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</si>
  <si>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</si>
  <si>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</si>
  <si>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</si>
  <si>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</si>
  <si>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</si>
  <si>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</si>
  <si>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</si>
  <si>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</si>
  <si>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</si>
  <si>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</si>
  <si>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</si>
  <si>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</si>
  <si>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</si>
  <si>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</si>
  <si>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</si>
  <si>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</si>
  <si>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</si>
  <si>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</si>
  <si>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PUBGM Russia</t>
  </si>
  <si>
    <t>KBR matter</t>
  </si>
  <si>
    <t>vivienneyao</t>
  </si>
  <si>
    <t>invoice</t>
  </si>
  <si>
    <t>CSIGPA- cloud projects discussion</t>
  </si>
  <si>
    <t>sanctions- CDN- 上海中通吉</t>
  </si>
  <si>
    <t>PUBGM RO</t>
  </si>
  <si>
    <t>Election Table-Top Exercise- Canada/SG/AU</t>
  </si>
  <si>
    <t>sanctions服务器核心部件GPU销售补充协议华三和超聚变</t>
  </si>
  <si>
    <t>CDZ- Vietnam</t>
  </si>
  <si>
    <t>Call with Global Affairs Canada</t>
  </si>
  <si>
    <t>Yeguan-培训沟通群</t>
  </si>
  <si>
    <t>IDC- Japan</t>
  </si>
  <si>
    <t>Thai entity KYC queries</t>
  </si>
  <si>
    <t>WeCHat Bi-weekly call</t>
  </si>
  <si>
    <t>KBR提供服务对象-回复银行说辞- call</t>
  </si>
  <si>
    <t>Global Affairs Canada request</t>
  </si>
  <si>
    <t>Indonesia ITSK/Sandbox</t>
  </si>
  <si>
    <t>Delta Force- Germany LE Requests</t>
  </si>
  <si>
    <t>Canadian Gov Engagements</t>
  </si>
  <si>
    <t>EEL SRs</t>
  </si>
  <si>
    <t>iOA Compliance</t>
  </si>
  <si>
    <t>GCTSM call with Jess regarding IPC and entities</t>
  </si>
  <si>
    <t>ESO- WeCom/Chat</t>
  </si>
  <si>
    <t>Russia new data law</t>
  </si>
  <si>
    <t>o.6</t>
  </si>
  <si>
    <t>Aceville TCI arrangement</t>
  </si>
  <si>
    <t>Int Reg mandate</t>
  </si>
  <si>
    <t>Finance PA- Lisi discussion</t>
  </si>
  <si>
    <t>total: 4 working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</si>
</sst>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6" fontId="30" fillId="0" borderId="0" xfId="0" applyNumberFormat="1" applyFont="1" applyAlignment="1">
      <alignment horizontal="righ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Normal="95" workbookViewId="0">
      <selection activeCell="I38" sqref="I3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8" t="s">
        <v>0</v>
      </c>
      <c r="C1" s="79"/>
      <c r="D1" s="79"/>
      <c r="E1" s="79"/>
      <c r="F1" s="79"/>
      <c r="G1" s="79"/>
      <c r="H1" s="79"/>
      <c r="I1" s="79"/>
    </row>
    <row r="2" spans="1:9" ht="16">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343</v>
      </c>
      <c r="C6" s="9" t="s">
        <v>45</v>
      </c>
      <c r="D6" s="10" t="s">
        <v>53</v>
      </c>
      <c r="E6" s="10" t="s">
        <v>30</v>
      </c>
      <c r="F6" s="9" t="s">
        <v>340</v>
      </c>
      <c r="G6" s="11">
        <v>1.7</v>
      </c>
      <c r="H6" s="9" t="s">
        <v>27</v>
      </c>
      <c r="I6" s="16" t="s">
        <v>341</v>
      </c>
    </row>
    <row r="7" spans="1:9" s="2" customFormat="1" ht="30">
      <c r="B7" s="8" t="s">
        <v>343</v>
      </c>
      <c r="C7" s="9" t="s">
        <v>45</v>
      </c>
      <c r="D7" s="10" t="s">
        <v>48</v>
      </c>
      <c r="E7" s="10" t="s">
        <v>30</v>
      </c>
      <c r="F7" s="9" t="s">
        <v>340</v>
      </c>
      <c r="G7" s="11">
        <v>9</v>
      </c>
      <c r="H7" s="9" t="s">
        <v>27</v>
      </c>
      <c r="I7" s="16" t="s">
        <v>342</v>
      </c>
    </row>
    <row r="8" spans="1:9" s="2" customFormat="1" ht="30">
      <c r="B8" s="8" t="s">
        <v>343</v>
      </c>
      <c r="C8" s="9" t="s">
        <v>45</v>
      </c>
      <c r="D8" s="10" t="s">
        <v>52</v>
      </c>
      <c r="E8" s="10" t="s">
        <v>30</v>
      </c>
      <c r="F8" s="9" t="s">
        <v>326</v>
      </c>
      <c r="G8" s="11">
        <v>0.8</v>
      </c>
      <c r="H8" s="9" t="s">
        <v>27</v>
      </c>
      <c r="I8" s="16" t="s">
        <v>345</v>
      </c>
    </row>
    <row r="9" spans="1:9" s="2" customFormat="1" ht="30">
      <c r="B9" s="8" t="s">
        <v>343</v>
      </c>
      <c r="C9" s="9" t="s">
        <v>45</v>
      </c>
      <c r="D9" s="10" t="s">
        <v>52</v>
      </c>
      <c r="E9" s="10" t="s">
        <v>30</v>
      </c>
      <c r="F9" s="9" t="s">
        <v>336</v>
      </c>
      <c r="G9" s="11">
        <v>1.6</v>
      </c>
      <c r="H9" s="9" t="s">
        <v>27</v>
      </c>
      <c r="I9" s="16" t="s">
        <v>346</v>
      </c>
    </row>
    <row r="10" spans="1:9" s="2" customFormat="1" ht="45">
      <c r="B10" s="8" t="s">
        <v>343</v>
      </c>
      <c r="C10" s="9" t="s">
        <v>43</v>
      </c>
      <c r="D10" s="10" t="s">
        <v>53</v>
      </c>
      <c r="E10" s="10" t="s">
        <v>30</v>
      </c>
      <c r="F10" s="9" t="s">
        <v>334</v>
      </c>
      <c r="G10" s="11">
        <v>0.5</v>
      </c>
      <c r="H10" s="9" t="s">
        <v>27</v>
      </c>
      <c r="I10" s="16" t="s">
        <v>347</v>
      </c>
    </row>
    <row r="11" spans="1:9" s="2" customFormat="1" ht="30">
      <c r="B11" s="8" t="s">
        <v>343</v>
      </c>
      <c r="C11" s="9" t="s">
        <v>45</v>
      </c>
      <c r="D11" s="10" t="s">
        <v>54</v>
      </c>
      <c r="E11" s="10" t="s">
        <v>30</v>
      </c>
      <c r="F11" s="9" t="s">
        <v>340</v>
      </c>
      <c r="G11" s="11">
        <v>2</v>
      </c>
      <c r="H11" s="9" t="s">
        <v>27</v>
      </c>
      <c r="I11" s="16" t="s">
        <v>348</v>
      </c>
    </row>
    <row r="12" spans="1:9" s="2" customFormat="1" ht="30">
      <c r="B12" s="8" t="s">
        <v>343</v>
      </c>
      <c r="C12" s="9" t="s">
        <v>45</v>
      </c>
      <c r="D12" s="10" t="s">
        <v>52</v>
      </c>
      <c r="E12" s="10" t="s">
        <v>30</v>
      </c>
      <c r="F12" s="9" t="s">
        <v>336</v>
      </c>
      <c r="G12" s="11">
        <v>0.5</v>
      </c>
      <c r="H12" s="9" t="s">
        <v>73</v>
      </c>
      <c r="I12" s="16" t="s">
        <v>349</v>
      </c>
    </row>
    <row r="13" spans="1:9" s="2" customFormat="1" ht="30">
      <c r="B13" s="8" t="s">
        <v>343</v>
      </c>
      <c r="C13" s="9" t="s">
        <v>45</v>
      </c>
      <c r="D13" s="10" t="s">
        <v>52</v>
      </c>
      <c r="E13" s="10" t="s">
        <v>30</v>
      </c>
      <c r="F13" s="9" t="s">
        <v>326</v>
      </c>
      <c r="G13" s="11">
        <v>2.5</v>
      </c>
      <c r="H13" s="9" t="s">
        <v>24</v>
      </c>
      <c r="I13" s="16" t="s">
        <v>350</v>
      </c>
    </row>
    <row r="14" spans="1:9" s="2" customFormat="1" ht="30">
      <c r="B14" s="8" t="s">
        <v>343</v>
      </c>
      <c r="C14" s="9" t="s">
        <v>45</v>
      </c>
      <c r="D14" s="10" t="s">
        <v>53</v>
      </c>
      <c r="E14" s="10" t="s">
        <v>30</v>
      </c>
      <c r="F14" s="9" t="s">
        <v>340</v>
      </c>
      <c r="G14" s="11">
        <v>0.9</v>
      </c>
      <c r="H14" s="9" t="s">
        <v>79</v>
      </c>
      <c r="I14" s="16" t="s">
        <v>359</v>
      </c>
    </row>
    <row r="15" spans="1:9" s="2" customFormat="1" ht="30">
      <c r="B15" s="8" t="s">
        <v>343</v>
      </c>
      <c r="C15" s="9" t="s">
        <v>45</v>
      </c>
      <c r="D15" s="10" t="s">
        <v>54</v>
      </c>
      <c r="E15" s="10" t="s">
        <v>30</v>
      </c>
      <c r="F15" s="9" t="s">
        <v>340</v>
      </c>
      <c r="G15" s="11">
        <v>0.7</v>
      </c>
      <c r="H15" s="9" t="s">
        <v>79</v>
      </c>
      <c r="I15" s="16" t="s">
        <v>351</v>
      </c>
    </row>
    <row r="16" spans="1:9" s="2" customFormat="1">
      <c r="B16" s="8" t="s">
        <v>343</v>
      </c>
      <c r="C16" s="9" t="s">
        <v>28</v>
      </c>
      <c r="D16" s="10" t="s">
        <v>31</v>
      </c>
      <c r="E16" s="10" t="s">
        <v>34</v>
      </c>
      <c r="F16" s="9" t="s">
        <v>42</v>
      </c>
      <c r="G16" s="11">
        <v>0.1</v>
      </c>
      <c r="H16" s="9" t="s">
        <v>31</v>
      </c>
      <c r="I16" s="16" t="s">
        <v>352</v>
      </c>
    </row>
    <row r="17" spans="2:9" s="2" customFormat="1" ht="30">
      <c r="B17" s="8" t="s">
        <v>343</v>
      </c>
      <c r="C17" s="9" t="s">
        <v>45</v>
      </c>
      <c r="D17" s="10" t="s">
        <v>52</v>
      </c>
      <c r="E17" s="10" t="s">
        <v>30</v>
      </c>
      <c r="F17" s="9" t="s">
        <v>326</v>
      </c>
      <c r="G17" s="11">
        <v>1.7</v>
      </c>
      <c r="H17" s="9" t="s">
        <v>24</v>
      </c>
      <c r="I17" s="16" t="s">
        <v>353</v>
      </c>
    </row>
    <row r="18" spans="2:9" s="2" customFormat="1" ht="30">
      <c r="B18" s="8" t="s">
        <v>343</v>
      </c>
      <c r="C18" s="9" t="s">
        <v>45</v>
      </c>
      <c r="D18" s="10" t="s">
        <v>18</v>
      </c>
      <c r="E18" s="10" t="s">
        <v>30</v>
      </c>
      <c r="F18" s="9" t="s">
        <v>326</v>
      </c>
      <c r="G18" s="11">
        <v>0.4</v>
      </c>
      <c r="H18" s="9" t="s">
        <v>27</v>
      </c>
      <c r="I18" s="16" t="s">
        <v>354</v>
      </c>
    </row>
    <row r="19" spans="2:9" s="2" customFormat="1" ht="45">
      <c r="B19" s="8" t="s">
        <v>343</v>
      </c>
      <c r="C19" s="9" t="s">
        <v>43</v>
      </c>
      <c r="D19" s="10" t="s">
        <v>48</v>
      </c>
      <c r="E19" s="10" t="s">
        <v>30</v>
      </c>
      <c r="F19" s="9" t="s">
        <v>334</v>
      </c>
      <c r="G19" s="11">
        <v>1.6</v>
      </c>
      <c r="H19" s="9" t="s">
        <v>73</v>
      </c>
      <c r="I19" s="16" t="s">
        <v>361</v>
      </c>
    </row>
    <row r="20" spans="2:9" s="2" customFormat="1" ht="30">
      <c r="B20" s="8" t="s">
        <v>343</v>
      </c>
      <c r="C20" s="9" t="s">
        <v>45</v>
      </c>
      <c r="D20" s="10" t="s">
        <v>54</v>
      </c>
      <c r="E20" s="10" t="s">
        <v>30</v>
      </c>
      <c r="F20" s="9" t="s">
        <v>326</v>
      </c>
      <c r="G20" s="11">
        <v>0.5</v>
      </c>
      <c r="H20" s="9" t="s">
        <v>27</v>
      </c>
      <c r="I20" s="16" t="s">
        <v>355</v>
      </c>
    </row>
    <row r="21" spans="2:9" s="2" customFormat="1" ht="30">
      <c r="B21" s="8" t="s">
        <v>343</v>
      </c>
      <c r="C21" s="9" t="s">
        <v>43</v>
      </c>
      <c r="D21" s="10" t="s">
        <v>57</v>
      </c>
      <c r="E21" s="10" t="s">
        <v>30</v>
      </c>
      <c r="F21" s="9" t="s">
        <v>340</v>
      </c>
      <c r="G21" s="11">
        <v>0.4</v>
      </c>
      <c r="H21" s="9" t="s">
        <v>27</v>
      </c>
      <c r="I21" s="16" t="s">
        <v>356</v>
      </c>
    </row>
    <row r="22" spans="2:9" s="2" customFormat="1" ht="30">
      <c r="B22" s="8" t="s">
        <v>343</v>
      </c>
      <c r="C22" s="9" t="s">
        <v>45</v>
      </c>
      <c r="D22" s="10" t="s">
        <v>54</v>
      </c>
      <c r="E22" s="10" t="s">
        <v>30</v>
      </c>
      <c r="F22" s="9" t="s">
        <v>340</v>
      </c>
      <c r="G22" s="11">
        <v>1.7</v>
      </c>
      <c r="H22" s="9" t="s">
        <v>79</v>
      </c>
      <c r="I22" s="16" t="s">
        <v>357</v>
      </c>
    </row>
    <row r="23" spans="2:9" s="2" customFormat="1" ht="30">
      <c r="B23" s="8" t="s">
        <v>343</v>
      </c>
      <c r="C23" s="9" t="s">
        <v>45</v>
      </c>
      <c r="D23" s="10" t="s">
        <v>52</v>
      </c>
      <c r="E23" s="10" t="s">
        <v>30</v>
      </c>
      <c r="F23" s="9" t="s">
        <v>326</v>
      </c>
      <c r="G23" s="11">
        <v>0.7</v>
      </c>
      <c r="H23" s="9" t="s">
        <v>27</v>
      </c>
      <c r="I23" s="16" t="s">
        <v>358</v>
      </c>
    </row>
    <row r="24" spans="2:9" s="2" customFormat="1" ht="30">
      <c r="B24" s="8" t="s">
        <v>343</v>
      </c>
      <c r="C24" s="9" t="s">
        <v>45</v>
      </c>
      <c r="D24" s="10" t="s">
        <v>54</v>
      </c>
      <c r="E24" s="10" t="s">
        <v>30</v>
      </c>
      <c r="F24" s="9" t="s">
        <v>326</v>
      </c>
      <c r="G24" s="11">
        <v>1.5</v>
      </c>
      <c r="H24" s="9" t="s">
        <v>76</v>
      </c>
      <c r="I24" s="16" t="s">
        <v>360</v>
      </c>
    </row>
    <row r="25" spans="2:9" s="2" customFormat="1" ht="30">
      <c r="B25" s="8" t="s">
        <v>343</v>
      </c>
      <c r="C25" s="9" t="s">
        <v>45</v>
      </c>
      <c r="D25" s="10" t="s">
        <v>52</v>
      </c>
      <c r="E25" s="10" t="s">
        <v>30</v>
      </c>
      <c r="F25" s="9" t="s">
        <v>326</v>
      </c>
      <c r="G25" s="11">
        <v>2.2999999999999998</v>
      </c>
      <c r="H25" s="9" t="s">
        <v>24</v>
      </c>
      <c r="I25" s="16" t="s">
        <v>362</v>
      </c>
    </row>
    <row r="26" spans="2:9" s="2" customFormat="1" ht="45">
      <c r="B26" s="8" t="s">
        <v>343</v>
      </c>
      <c r="C26" s="9" t="s">
        <v>43</v>
      </c>
      <c r="D26" s="10" t="s">
        <v>50</v>
      </c>
      <c r="E26" s="10" t="s">
        <v>30</v>
      </c>
      <c r="F26" s="9" t="s">
        <v>334</v>
      </c>
      <c r="G26" s="11">
        <v>0.5</v>
      </c>
      <c r="H26" s="9" t="s">
        <v>27</v>
      </c>
      <c r="I26" s="16" t="s">
        <v>363</v>
      </c>
    </row>
    <row r="27" spans="2:9" s="2" customFormat="1" ht="30">
      <c r="B27" s="8" t="s">
        <v>343</v>
      </c>
      <c r="C27" s="9" t="s">
        <v>45</v>
      </c>
      <c r="D27" s="10" t="s">
        <v>54</v>
      </c>
      <c r="E27" s="10" t="s">
        <v>30</v>
      </c>
      <c r="F27" s="9" t="s">
        <v>340</v>
      </c>
      <c r="G27" s="11">
        <v>0.5</v>
      </c>
      <c r="H27" s="9" t="s">
        <v>73</v>
      </c>
      <c r="I27" s="16" t="s">
        <v>364</v>
      </c>
    </row>
    <row r="28" spans="2:9" s="2" customFormat="1" ht="30">
      <c r="B28" s="8" t="s">
        <v>343</v>
      </c>
      <c r="C28" s="9" t="s">
        <v>45</v>
      </c>
      <c r="D28" s="10" t="s">
        <v>52</v>
      </c>
      <c r="E28" s="10" t="s">
        <v>30</v>
      </c>
      <c r="F28" s="9" t="s">
        <v>340</v>
      </c>
      <c r="G28" s="11" t="s">
        <v>366</v>
      </c>
      <c r="H28" s="9" t="s">
        <v>24</v>
      </c>
      <c r="I28" s="16" t="s">
        <v>365</v>
      </c>
    </row>
    <row r="29" spans="2:9" s="2" customFormat="1" ht="30">
      <c r="B29" s="8" t="s">
        <v>343</v>
      </c>
      <c r="C29" s="9" t="s">
        <v>45</v>
      </c>
      <c r="D29" s="10" t="s">
        <v>54</v>
      </c>
      <c r="E29" s="10" t="s">
        <v>30</v>
      </c>
      <c r="F29" s="9" t="s">
        <v>340</v>
      </c>
      <c r="G29" s="11">
        <v>0.4</v>
      </c>
      <c r="H29" s="9" t="s">
        <v>27</v>
      </c>
      <c r="I29" s="16" t="s">
        <v>369</v>
      </c>
    </row>
    <row r="30" spans="2:9" s="2" customFormat="1" ht="30">
      <c r="B30" s="8" t="s">
        <v>343</v>
      </c>
      <c r="C30" s="9" t="s">
        <v>45</v>
      </c>
      <c r="D30" s="10" t="s">
        <v>52</v>
      </c>
      <c r="E30" s="10" t="s">
        <v>30</v>
      </c>
      <c r="F30" s="9" t="s">
        <v>326</v>
      </c>
      <c r="G30" s="11">
        <v>0.7</v>
      </c>
      <c r="H30" s="9" t="s">
        <v>27</v>
      </c>
      <c r="I30" s="16" t="s">
        <v>367</v>
      </c>
    </row>
    <row r="31" spans="2:9" s="2" customFormat="1" ht="30">
      <c r="B31" s="8" t="s">
        <v>343</v>
      </c>
      <c r="C31" s="9" t="s">
        <v>45</v>
      </c>
      <c r="D31" s="10" t="s">
        <v>31</v>
      </c>
      <c r="E31" s="10" t="s">
        <v>30</v>
      </c>
      <c r="F31" s="9" t="s">
        <v>326</v>
      </c>
      <c r="G31" s="11">
        <v>0.2</v>
      </c>
      <c r="H31" s="9" t="s">
        <v>27</v>
      </c>
      <c r="I31" s="16" t="s">
        <v>368</v>
      </c>
    </row>
    <row r="32" spans="2:9" s="2" customFormat="1" ht="30">
      <c r="B32" s="8" t="s">
        <v>343</v>
      </c>
      <c r="C32" s="9" t="s">
        <v>45</v>
      </c>
      <c r="D32" s="10" t="s">
        <v>31</v>
      </c>
      <c r="E32" s="10" t="s">
        <v>33</v>
      </c>
      <c r="F32" s="9" t="s">
        <v>39</v>
      </c>
      <c r="G32" s="11">
        <v>0.7</v>
      </c>
      <c r="H32" s="9" t="s">
        <v>31</v>
      </c>
      <c r="I32" s="16"/>
    </row>
    <row r="33" spans="2:9" s="2" customFormat="1">
      <c r="B33" s="8" t="s">
        <v>343</v>
      </c>
      <c r="C33" s="9" t="s">
        <v>28</v>
      </c>
      <c r="D33" s="10" t="s">
        <v>31</v>
      </c>
      <c r="E33" s="10" t="s">
        <v>33</v>
      </c>
      <c r="F33" s="9" t="s">
        <v>36</v>
      </c>
      <c r="G33" s="11">
        <v>0.2</v>
      </c>
      <c r="H33" s="9" t="s">
        <v>31</v>
      </c>
      <c r="I33" s="16" t="s">
        <v>344</v>
      </c>
    </row>
    <row r="34" spans="2:9" s="2" customFormat="1" ht="14.5" customHeight="1">
      <c r="B34" s="82" t="s">
        <v>32</v>
      </c>
      <c r="C34" s="83"/>
      <c r="D34" s="84"/>
      <c r="E34" s="12"/>
      <c r="F34" s="12"/>
      <c r="G34" s="85">
        <f>SUM(G6:G33)</f>
        <v>34.300000000000004</v>
      </c>
      <c r="H34" s="86"/>
      <c r="I34" s="87"/>
    </row>
    <row r="37" spans="2:9" ht="16">
      <c r="B37" s="17" t="s">
        <v>81</v>
      </c>
      <c r="C37" s="18" t="s">
        <v>331</v>
      </c>
      <c r="D37" s="76">
        <v>45754</v>
      </c>
      <c r="F37" s="77" t="s">
        <v>370</v>
      </c>
    </row>
    <row r="38" spans="2:9" ht="16">
      <c r="C38" s="18" t="s">
        <v>332</v>
      </c>
      <c r="D38" s="75"/>
    </row>
  </sheetData>
  <mergeCells count="4">
    <mergeCell ref="B1:I1"/>
    <mergeCell ref="B2:H2"/>
    <mergeCell ref="B34:D34"/>
    <mergeCell ref="G34:I34"/>
  </mergeCells>
  <phoneticPr fontId="10" type="noConversion"/>
  <dataValidations count="3">
    <dataValidation type="list" allowBlank="1" showInputMessage="1" showErrorMessage="1" sqref="F6:F33" xr:uid="{047FE464-B43A-E64B-BF71-6DB56F0DB518}">
      <formula1>INDIRECT($E6)</formula1>
    </dataValidation>
    <dataValidation type="list" errorStyle="warning" allowBlank="1" sqref="C6:C33" xr:uid="{6148E015-EB5D-394F-A421-550F2B7F57F7}">
      <formula1>项目事项分类项目名称</formula1>
    </dataValidation>
    <dataValidation type="list" allowBlank="1" showInputMessage="1" showErrorMessage="1" sqref="H6:H33" xr:uid="{8E737068-2A8D-CF4E-A7B4-B4DE5121B01B}">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DE43E79-E069-684C-8D4D-DE1952CBA432}">
          <x14:formula1>
            <xm:f>'Exhibit II - Internal Client'!$A$1:$A$20</xm:f>
          </x14:formula1>
          <xm:sqref>D6:D32</xm:sqref>
        </x14:dataValidation>
        <x14:dataValidation type="list" allowBlank="1" showInputMessage="1" showErrorMessage="1" xr:uid="{D330FF36-D7F0-704F-BEFB-83104435E9F6}">
          <x14:formula1>
            <xm:f>Tag!$B$2:$E$2</xm:f>
          </x14:formula1>
          <xm:sqref>E6:E7 E16 E19 E32 E26:E28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ht="17">
      <c r="C4" s="126"/>
      <c r="D4" s="107"/>
      <c r="E4" s="119"/>
      <c r="F4" s="126"/>
      <c r="G4" s="126"/>
      <c r="H4" s="126"/>
      <c r="I4" s="126"/>
      <c r="J4" s="126"/>
      <c r="K4" s="20" t="s">
        <v>64</v>
      </c>
      <c r="L4" s="20" t="s">
        <v>65</v>
      </c>
      <c r="M4" s="20" t="s">
        <v>66</v>
      </c>
      <c r="N4" s="20" t="s">
        <v>67</v>
      </c>
    </row>
    <row r="5" spans="2:14" ht="102" outlineLevel="1">
      <c r="C5" s="21" t="s">
        <v>100</v>
      </c>
      <c r="D5" s="110" t="s">
        <v>101</v>
      </c>
      <c r="E5" s="103"/>
      <c r="F5" s="22" t="s">
        <v>102</v>
      </c>
      <c r="G5" s="21" t="s">
        <v>103</v>
      </c>
      <c r="H5" s="21" t="s">
        <v>104</v>
      </c>
      <c r="I5" s="21" t="s">
        <v>105</v>
      </c>
      <c r="J5" s="21" t="s">
        <v>106</v>
      </c>
      <c r="K5" s="111" t="s">
        <v>107</v>
      </c>
      <c r="L5" s="111"/>
      <c r="M5" s="111"/>
      <c r="N5" s="111"/>
    </row>
    <row r="6" spans="2:14" s="23" customFormat="1" ht="187"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72"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8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306"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6"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70"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102"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238">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72"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6"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53"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2025-04-29T06:36:34Z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