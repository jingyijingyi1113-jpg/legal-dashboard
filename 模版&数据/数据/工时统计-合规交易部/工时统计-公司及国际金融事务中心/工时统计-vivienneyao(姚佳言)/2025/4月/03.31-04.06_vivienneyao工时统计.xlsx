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089F831E-05C4-BF46-8275-FDC2D2E1DDFC}" xr6:coauthVersionLast="47" xr6:coauthVersionMax="47" xr10:uidLastSave="{00000000-0000-0000-0000-000000000000}"/>
  <bookViews>
    <workbookView xWindow="3700" yWindow="7180" windowWidth="29400" windowHeight="17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<sst xmlns="http://schemas.openxmlformats.org/spreadsheetml/2006/main" count="629" uniqueCount="369">
  <si>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</si>
  <si>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</si>
  <si>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</si>
  <si>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</si>
  <si>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</si>
  <si>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</si>
  <si>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</si>
  <si>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</si>
  <si>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</si>
  <si>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</si>
  <si>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</si>
  <si>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</si>
  <si>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</si>
  <si>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</si>
  <si>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</si>
  <si>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</si>
  <si>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</si>
  <si>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</si>
  <si>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</si>
  <si>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</si>
  <si>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</si>
  <si>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</si>
  <si>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</si>
  <si>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</si>
  <si>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</si>
  <si>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</si>
  <si>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</si>
  <si>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</si>
  <si>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</si>
  <si>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</si>
  <si>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</si>
  <si>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</si>
  <si>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</si>
  <si>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</si>
  <si>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</si>
  <si>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</si>
  <si>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</si>
  <si>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</si>
  <si>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</si>
  <si>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</si>
  <si>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</si>
  <si>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</si>
  <si>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</si>
  <si>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</si>
  <si>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</si>
  <si>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</si>
  <si>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</si>
  <si>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</si>
  <si>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</si>
  <si>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</si>
  <si>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</si>
  <si>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</si>
  <si>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</si>
  <si>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</si>
  <si>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</si>
  <si>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</si>
  <si>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</si>
  <si>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</si>
  <si>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</si>
  <si>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</si>
  <si>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</si>
  <si>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</si>
  <si>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</si>
  <si>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</si>
  <si>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</si>
  <si>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</si>
  <si>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</si>
  <si>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</si>
  <si>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</si>
  <si>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</si>
  <si>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</si>
  <si>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</si>
  <si>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</si>
  <si>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</si>
  <si>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</si>
  <si>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</si>
  <si>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</si>
  <si>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</si>
  <si>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</si>
  <si>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</si>
  <si>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</si>
  <si>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</si>
  <si>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</si>
  <si>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</si>
  <si>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</si>
  <si>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</si>
  <si>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</si>
  <si>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</si>
  <si>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</si>
  <si>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</si>
  <si>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</si>
  <si>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</si>
  <si>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</si>
  <si>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</si>
  <si>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</si>
  <si>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</si>
  <si>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</si>
  <si>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</si>
  <si>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</si>
  <si>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</si>
  <si>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</si>
  <si>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</si>
  <si>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</si>
  <si>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</si>
  <si>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</si>
  <si>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</si>
  <si>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</si>
  <si>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</si>
  <si>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</si>
  <si>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</si>
  <si>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</si>
  <si>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</si>
  <si>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</si>
  <si>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</si>
  <si>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</si>
  <si>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</si>
  <si>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</si>
  <si>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</si>
  <si>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</si>
  <si>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</si>
  <si>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</si>
  <si>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</si>
  <si>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</si>
  <si>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</si>
  <si>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</si>
  <si>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</si>
  <si>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</si>
  <si>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</si>
  <si>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</si>
  <si>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</si>
  <si>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</si>
  <si>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</si>
  <si>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</si>
  <si>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</si>
  <si>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</si>
  <si>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</si>
  <si>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</si>
  <si>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</si>
  <si>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</si>
  <si>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</si>
  <si>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</si>
  <si>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</si>
  <si>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</si>
  <si>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</si>
  <si>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</si>
  <si>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</si>
  <si>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</si>
  <si>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</si>
  <si>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</si>
  <si>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</si>
  <si>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</si>
  <si>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</si>
  <si>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</si>
  <si>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</si>
  <si>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</si>
  <si>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</si>
  <si>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</si>
  <si>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</si>
  <si>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</si>
  <si>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</si>
  <si>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</si>
  <si>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</si>
  <si>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</si>
  <si>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</si>
  <si>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</si>
  <si>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</si>
  <si>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</si>
  <si>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</si>
  <si>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</si>
  <si>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</si>
  <si>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</si>
  <si>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</si>
  <si>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</si>
  <si>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</si>
  <si>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</si>
  <si>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</si>
  <si>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</si>
  <si>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</si>
  <si>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</si>
  <si>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</si>
  <si>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</si>
  <si>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</si>
  <si>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</si>
  <si>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</si>
  <si>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</si>
  <si>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</si>
  <si>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</si>
  <si>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</si>
  <si>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</si>
  <si>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</si>
  <si>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</si>
  <si>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</si>
  <si>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</si>
  <si>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</si>
  <si>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</si>
  <si>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</si>
  <si>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</si>
  <si>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</si>
  <si>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</si>
  <si>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</si>
  <si>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</si>
  <si>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</si>
  <si>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</si>
  <si>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</si>
  <si>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</si>
  <si>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</si>
  <si>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</si>
  <si>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</si>
  <si>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</si>
  <si>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</si>
  <si>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</si>
  <si>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</si>
  <si>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</si>
  <si>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</si>
  <si>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</si>
  <si>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</si>
  <si>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</si>
  <si>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</si>
  <si>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</si>
  <si>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</si>
  <si>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</si>
  <si>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</si>
  <si>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</si>
  <si>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</si>
  <si>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</si>
  <si>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</si>
  <si>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</si>
  <si>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</si>
  <si>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</si>
  <si>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</si>
  <si>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</si>
  <si>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</si>
  <si>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</si>
  <si>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</si>
  <si>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</si>
  <si>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</si>
  <si>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</si>
  <si>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</si>
  <si>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</si>
  <si>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</si>
  <si>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</si>
  <si>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</si>
  <si>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</si>
  <si>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</si>
  <si>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</si>
  <si>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</si>
  <si>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</si>
  <si>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</si>
  <si>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</si>
  <si>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</si>
  <si>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</si>
  <si>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</si>
  <si>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</si>
  <si>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</si>
  <si>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</si>
  <si>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</si>
  <si>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</si>
  <si>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</si>
  <si>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</si>
  <si>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</si>
  <si>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</si>
  <si>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</si>
  <si>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</si>
  <si>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</si>
  <si>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</si>
  <si>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</si>
  <si>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</si>
  <si>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</si>
  <si>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</si>
  <si>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</si>
  <si>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</si>
  <si>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</si>
  <si>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</si>
  <si>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</si>
  <si>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</si>
  <si>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</si>
  <si>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</si>
  <si>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</si>
  <si>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</si>
  <si>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</si>
  <si>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</si>
  <si>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</si>
  <si>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</si>
  <si>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</si>
  <si>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</si>
  <si>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</si>
  <si>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</si>
  <si>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</si>
  <si>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</si>
  <si>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</si>
  <si>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</si>
  <si>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</si>
  <si>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</si>
  <si>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</si>
  <si>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</si>
  <si>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</si>
  <si>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</si>
  <si>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</si>
  <si>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</si>
  <si>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</si>
  <si>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</si>
  <si>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</si>
  <si>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</si>
  <si>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</si>
  <si>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</si>
  <si>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</si>
  <si>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</si>
  <si>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</si>
  <si>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</si>
  <si>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</si>
  <si>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</si>
  <si>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</si>
  <si>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</si>
  <si>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</si>
  <si>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</si>
  <si>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</si>
  <si>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</si>
  <si>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</si>
  <si>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</si>
  <si>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</si>
  <si>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</si>
  <si>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</si>
  <si>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</si>
  <si>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</si>
  <si>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</si>
  <si>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</si>
  <si>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</si>
  <si>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</si>
  <si>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</si>
  <si>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</si>
  <si>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</si>
  <si>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</si>
  <si>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</si>
  <si>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</si>
  <si>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</si>
  <si>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</si>
  <si>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</si>
  <si>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</si>
  <si>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</si>
  <si>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</si>
  <si>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</si>
  <si>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PUBGM Russia</t>
  </si>
  <si>
    <t>KBR matter</t>
  </si>
  <si>
    <t>vivienneyao</t>
  </si>
  <si>
    <t>sanctions- Ralph lauren call</t>
  </si>
  <si>
    <t>sanctions- 2025年荣耀终端国内PCDN采购框架合同</t>
  </si>
  <si>
    <t>WeChat Harmony call</t>
  </si>
  <si>
    <t>Sanctions- Ralph Lauren</t>
  </si>
  <si>
    <t>WeChat Harmony</t>
  </si>
  <si>
    <t>sanctions- Freedom</t>
  </si>
  <si>
    <t>ESO registration-IM</t>
  </si>
  <si>
    <t>GCTSM- CDZ- Kazakhstan</t>
  </si>
  <si>
    <t>GCTSM-ad-hoc questions</t>
  </si>
  <si>
    <t>ESO registration-Wecom</t>
  </si>
  <si>
    <t>IDC Malaysia</t>
  </si>
  <si>
    <t>CDZ-Vietnam</t>
  </si>
  <si>
    <t>WeChat HOK Ads</t>
  </si>
  <si>
    <t>sanctions-华三、超聚变 GPU协议</t>
  </si>
  <si>
    <t xml:space="preserve">ITSK license </t>
  </si>
  <si>
    <t>PUBGM Russia data vendor provider discussion</t>
  </si>
  <si>
    <t>元宝——元方 upgrade discussion</t>
  </si>
  <si>
    <t>WeTV Korea</t>
  </si>
  <si>
    <t>IPC-IMA</t>
  </si>
  <si>
    <t>invoice</t>
  </si>
  <si>
    <t>Sanctions- CDZ-Turkey</t>
  </si>
  <si>
    <t>31-Mar PM</t>
  </si>
  <si>
    <t>WeChat Out FCC filings</t>
  </si>
  <si>
    <t>Cloud ad-hoc questions- CDN/TW</t>
  </si>
  <si>
    <t>PUBGM 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</si>
</sst>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16" fontId="0" fillId="0" borderId="0" xfId="0" applyNumberFormat="1">
      <alignment vertical="center"/>
    </xf>
    <xf numFmtId="0" fontId="30"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23" zoomScaleNormal="95" workbookViewId="0">
      <selection activeCell="I32" sqref="B31:I3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343</v>
      </c>
      <c r="C6" s="9" t="s">
        <v>45</v>
      </c>
      <c r="D6" s="10" t="s">
        <v>53</v>
      </c>
      <c r="E6" s="10" t="s">
        <v>30</v>
      </c>
      <c r="F6" s="9" t="s">
        <v>340</v>
      </c>
      <c r="G6" s="11">
        <v>1</v>
      </c>
      <c r="H6" s="9" t="s">
        <v>27</v>
      </c>
      <c r="I6" s="16" t="s">
        <v>341</v>
      </c>
    </row>
    <row r="7" spans="1:9" s="2" customFormat="1" ht="30">
      <c r="B7" s="8" t="s">
        <v>343</v>
      </c>
      <c r="C7" s="9" t="s">
        <v>45</v>
      </c>
      <c r="D7" s="10" t="s">
        <v>48</v>
      </c>
      <c r="E7" s="10" t="s">
        <v>30</v>
      </c>
      <c r="F7" s="9" t="s">
        <v>340</v>
      </c>
      <c r="G7" s="11">
        <v>3</v>
      </c>
      <c r="H7" s="9" t="s">
        <v>27</v>
      </c>
      <c r="I7" s="16" t="s">
        <v>342</v>
      </c>
    </row>
    <row r="8" spans="1:9" s="2" customFormat="1" ht="30">
      <c r="B8" s="8" t="s">
        <v>343</v>
      </c>
      <c r="C8" s="9" t="s">
        <v>45</v>
      </c>
      <c r="D8" s="10" t="s">
        <v>31</v>
      </c>
      <c r="E8" s="10" t="s">
        <v>30</v>
      </c>
      <c r="F8" s="9" t="s">
        <v>340</v>
      </c>
      <c r="G8" s="11">
        <v>0.6</v>
      </c>
      <c r="H8" s="9" t="s">
        <v>79</v>
      </c>
      <c r="I8" s="16" t="s">
        <v>361</v>
      </c>
    </row>
    <row r="9" spans="1:9" s="2" customFormat="1" ht="30">
      <c r="B9" s="8" t="s">
        <v>343</v>
      </c>
      <c r="C9" s="9" t="s">
        <v>45</v>
      </c>
      <c r="D9" s="10" t="s">
        <v>52</v>
      </c>
      <c r="E9" s="10" t="s">
        <v>30</v>
      </c>
      <c r="F9" s="9" t="s">
        <v>336</v>
      </c>
      <c r="G9" s="11">
        <v>0.5</v>
      </c>
      <c r="H9" s="9" t="s">
        <v>27</v>
      </c>
      <c r="I9" s="16" t="s">
        <v>344</v>
      </c>
    </row>
    <row r="10" spans="1:9" s="2" customFormat="1" ht="30">
      <c r="B10" s="8" t="s">
        <v>343</v>
      </c>
      <c r="C10" s="9" t="s">
        <v>45</v>
      </c>
      <c r="D10" s="10" t="s">
        <v>52</v>
      </c>
      <c r="E10" s="10" t="s">
        <v>30</v>
      </c>
      <c r="F10" s="9" t="s">
        <v>336</v>
      </c>
      <c r="G10" s="11">
        <v>0.5</v>
      </c>
      <c r="H10" s="9" t="s">
        <v>24</v>
      </c>
      <c r="I10" s="16" t="s">
        <v>347</v>
      </c>
    </row>
    <row r="11" spans="1:9" s="2" customFormat="1" ht="30">
      <c r="B11" s="8" t="s">
        <v>343</v>
      </c>
      <c r="C11" s="9" t="s">
        <v>45</v>
      </c>
      <c r="D11" s="10" t="s">
        <v>52</v>
      </c>
      <c r="E11" s="10" t="s">
        <v>30</v>
      </c>
      <c r="F11" s="9" t="s">
        <v>336</v>
      </c>
      <c r="G11" s="11">
        <v>0.7</v>
      </c>
      <c r="H11" s="9" t="s">
        <v>73</v>
      </c>
      <c r="I11" s="16" t="s">
        <v>345</v>
      </c>
    </row>
    <row r="12" spans="1:9" s="2" customFormat="1" ht="30">
      <c r="B12" s="8" t="s">
        <v>343</v>
      </c>
      <c r="C12" s="9" t="s">
        <v>45</v>
      </c>
      <c r="D12" s="10" t="s">
        <v>54</v>
      </c>
      <c r="E12" s="10" t="s">
        <v>30</v>
      </c>
      <c r="F12" s="9" t="s">
        <v>326</v>
      </c>
      <c r="G12" s="11">
        <v>0.9</v>
      </c>
      <c r="H12" s="9" t="s">
        <v>27</v>
      </c>
      <c r="I12" s="16" t="s">
        <v>346</v>
      </c>
    </row>
    <row r="13" spans="1:9" s="2" customFormat="1" ht="30">
      <c r="B13" s="8" t="s">
        <v>343</v>
      </c>
      <c r="C13" s="9" t="s">
        <v>45</v>
      </c>
      <c r="D13" s="10" t="s">
        <v>54</v>
      </c>
      <c r="E13" s="10" t="s">
        <v>30</v>
      </c>
      <c r="F13" s="9" t="s">
        <v>326</v>
      </c>
      <c r="G13" s="11">
        <v>1.5</v>
      </c>
      <c r="H13" s="9" t="s">
        <v>27</v>
      </c>
      <c r="I13" s="16" t="s">
        <v>348</v>
      </c>
    </row>
    <row r="14" spans="1:9" s="2" customFormat="1" ht="45">
      <c r="B14" s="8" t="s">
        <v>343</v>
      </c>
      <c r="C14" s="9" t="s">
        <v>43</v>
      </c>
      <c r="D14" s="10" t="s">
        <v>50</v>
      </c>
      <c r="E14" s="10" t="s">
        <v>30</v>
      </c>
      <c r="F14" s="9" t="s">
        <v>334</v>
      </c>
      <c r="G14" s="11">
        <v>1.7</v>
      </c>
      <c r="H14" s="9" t="s">
        <v>24</v>
      </c>
      <c r="I14" s="16" t="s">
        <v>351</v>
      </c>
    </row>
    <row r="15" spans="1:9" s="2" customFormat="1" ht="30">
      <c r="B15" s="8" t="s">
        <v>343</v>
      </c>
      <c r="C15" s="9" t="s">
        <v>45</v>
      </c>
      <c r="D15" s="10" t="s">
        <v>52</v>
      </c>
      <c r="E15" s="10" t="s">
        <v>30</v>
      </c>
      <c r="F15" s="9" t="s">
        <v>336</v>
      </c>
      <c r="G15" s="11">
        <v>2.6</v>
      </c>
      <c r="H15" s="9" t="s">
        <v>73</v>
      </c>
      <c r="I15" s="16" t="s">
        <v>349</v>
      </c>
    </row>
    <row r="16" spans="1:9" s="2" customFormat="1" ht="30">
      <c r="B16" s="8" t="s">
        <v>343</v>
      </c>
      <c r="C16" s="9" t="s">
        <v>45</v>
      </c>
      <c r="D16" s="10" t="s">
        <v>52</v>
      </c>
      <c r="E16" s="10" t="s">
        <v>30</v>
      </c>
      <c r="F16" s="9" t="s">
        <v>340</v>
      </c>
      <c r="G16" s="11">
        <v>1.2</v>
      </c>
      <c r="H16" s="9" t="s">
        <v>79</v>
      </c>
      <c r="I16" s="16" t="s">
        <v>350</v>
      </c>
    </row>
    <row r="17" spans="2:9" s="2" customFormat="1" ht="30">
      <c r="B17" s="8" t="s">
        <v>343</v>
      </c>
      <c r="C17" s="9" t="s">
        <v>45</v>
      </c>
      <c r="D17" s="10" t="s">
        <v>52</v>
      </c>
      <c r="E17" s="10" t="s">
        <v>30</v>
      </c>
      <c r="F17" s="9" t="s">
        <v>326</v>
      </c>
      <c r="G17" s="11">
        <v>0.7</v>
      </c>
      <c r="H17" s="9" t="s">
        <v>73</v>
      </c>
      <c r="I17" s="16" t="s">
        <v>367</v>
      </c>
    </row>
    <row r="18" spans="2:9" s="2" customFormat="1" ht="45">
      <c r="B18" s="8" t="s">
        <v>343</v>
      </c>
      <c r="C18" s="9" t="s">
        <v>43</v>
      </c>
      <c r="D18" s="10" t="s">
        <v>52</v>
      </c>
      <c r="E18" s="10" t="s">
        <v>30</v>
      </c>
      <c r="F18" s="9" t="s">
        <v>334</v>
      </c>
      <c r="G18" s="11">
        <v>0.5</v>
      </c>
      <c r="H18" s="9" t="s">
        <v>27</v>
      </c>
      <c r="I18" s="16" t="s">
        <v>352</v>
      </c>
    </row>
    <row r="19" spans="2:9" s="2" customFormat="1" ht="30">
      <c r="B19" s="8" t="s">
        <v>343</v>
      </c>
      <c r="C19" s="9" t="s">
        <v>45</v>
      </c>
      <c r="D19" s="10" t="s">
        <v>54</v>
      </c>
      <c r="E19" s="10" t="s">
        <v>30</v>
      </c>
      <c r="F19" s="9" t="s">
        <v>340</v>
      </c>
      <c r="G19" s="11">
        <v>1.5</v>
      </c>
      <c r="H19" s="9" t="s">
        <v>79</v>
      </c>
      <c r="I19" s="16" t="s">
        <v>353</v>
      </c>
    </row>
    <row r="20" spans="2:9" s="2" customFormat="1" ht="30">
      <c r="B20" s="8" t="s">
        <v>343</v>
      </c>
      <c r="C20" s="9" t="s">
        <v>45</v>
      </c>
      <c r="D20" s="10" t="s">
        <v>52</v>
      </c>
      <c r="E20" s="10" t="s">
        <v>30</v>
      </c>
      <c r="F20" s="9" t="s">
        <v>326</v>
      </c>
      <c r="G20" s="11">
        <v>1</v>
      </c>
      <c r="H20" s="9" t="s">
        <v>27</v>
      </c>
      <c r="I20" s="16" t="s">
        <v>354</v>
      </c>
    </row>
    <row r="21" spans="2:9" s="2" customFormat="1" ht="30">
      <c r="B21" s="8" t="s">
        <v>343</v>
      </c>
      <c r="C21" s="9" t="s">
        <v>45</v>
      </c>
      <c r="D21" s="10" t="s">
        <v>52</v>
      </c>
      <c r="E21" s="10" t="s">
        <v>30</v>
      </c>
      <c r="F21" s="9" t="s">
        <v>326</v>
      </c>
      <c r="G21" s="11">
        <v>0.7</v>
      </c>
      <c r="H21" s="9" t="s">
        <v>24</v>
      </c>
      <c r="I21" s="16" t="s">
        <v>355</v>
      </c>
    </row>
    <row r="22" spans="2:9" s="2" customFormat="1" ht="30">
      <c r="B22" s="8" t="s">
        <v>343</v>
      </c>
      <c r="C22" s="9" t="s">
        <v>45</v>
      </c>
      <c r="D22" s="10" t="s">
        <v>54</v>
      </c>
      <c r="E22" s="10" t="s">
        <v>30</v>
      </c>
      <c r="F22" s="9" t="s">
        <v>326</v>
      </c>
      <c r="G22" s="11">
        <v>0.9</v>
      </c>
      <c r="H22" s="9" t="s">
        <v>27</v>
      </c>
      <c r="I22" s="16" t="s">
        <v>356</v>
      </c>
    </row>
    <row r="23" spans="2:9" s="2" customFormat="1" ht="30">
      <c r="B23" s="8" t="s">
        <v>343</v>
      </c>
      <c r="C23" s="9" t="s">
        <v>45</v>
      </c>
      <c r="D23" s="10" t="s">
        <v>52</v>
      </c>
      <c r="E23" s="10" t="s">
        <v>30</v>
      </c>
      <c r="F23" s="9" t="s">
        <v>336</v>
      </c>
      <c r="G23" s="11">
        <v>0.9</v>
      </c>
      <c r="H23" s="9" t="s">
        <v>73</v>
      </c>
      <c r="I23" s="16" t="s">
        <v>357</v>
      </c>
    </row>
    <row r="24" spans="2:9" s="2" customFormat="1" ht="30">
      <c r="B24" s="8" t="s">
        <v>343</v>
      </c>
      <c r="C24" s="9" t="s">
        <v>45</v>
      </c>
      <c r="D24" s="10" t="s">
        <v>52</v>
      </c>
      <c r="E24" s="10" t="s">
        <v>30</v>
      </c>
      <c r="F24" s="9" t="s">
        <v>340</v>
      </c>
      <c r="G24" s="11">
        <v>1.6</v>
      </c>
      <c r="H24" s="9" t="s">
        <v>79</v>
      </c>
      <c r="I24" s="16" t="s">
        <v>358</v>
      </c>
    </row>
    <row r="25" spans="2:9" s="2" customFormat="1" ht="30">
      <c r="B25" s="8" t="s">
        <v>343</v>
      </c>
      <c r="C25" s="9" t="s">
        <v>45</v>
      </c>
      <c r="D25" s="10" t="s">
        <v>53</v>
      </c>
      <c r="E25" s="10" t="s">
        <v>30</v>
      </c>
      <c r="F25" s="9" t="s">
        <v>326</v>
      </c>
      <c r="G25" s="11">
        <v>0.7</v>
      </c>
      <c r="H25" s="9" t="s">
        <v>27</v>
      </c>
      <c r="I25" s="16" t="s">
        <v>359</v>
      </c>
    </row>
    <row r="26" spans="2:9" s="2" customFormat="1" ht="30">
      <c r="B26" s="8" t="s">
        <v>343</v>
      </c>
      <c r="C26" s="9" t="s">
        <v>45</v>
      </c>
      <c r="D26" s="10" t="s">
        <v>54</v>
      </c>
      <c r="E26" s="10" t="s">
        <v>30</v>
      </c>
      <c r="F26" s="9" t="s">
        <v>326</v>
      </c>
      <c r="G26" s="11">
        <v>0.4</v>
      </c>
      <c r="H26" s="9" t="s">
        <v>27</v>
      </c>
      <c r="I26" s="16" t="s">
        <v>360</v>
      </c>
    </row>
    <row r="27" spans="2:9" s="2" customFormat="1" ht="30">
      <c r="B27" s="8" t="s">
        <v>343</v>
      </c>
      <c r="C27" s="9" t="s">
        <v>45</v>
      </c>
      <c r="D27" s="10" t="s">
        <v>52</v>
      </c>
      <c r="E27" s="10" t="s">
        <v>30</v>
      </c>
      <c r="F27" s="9" t="s">
        <v>326</v>
      </c>
      <c r="G27" s="11">
        <v>0.7</v>
      </c>
      <c r="H27" s="9" t="s">
        <v>24</v>
      </c>
      <c r="I27" s="16" t="s">
        <v>362</v>
      </c>
    </row>
    <row r="28" spans="2:9" s="2" customFormat="1" ht="30">
      <c r="B28" s="8" t="s">
        <v>343</v>
      </c>
      <c r="C28" s="9" t="s">
        <v>45</v>
      </c>
      <c r="D28" s="10" t="s">
        <v>52</v>
      </c>
      <c r="E28" s="10" t="s">
        <v>30</v>
      </c>
      <c r="F28" s="9" t="s">
        <v>336</v>
      </c>
      <c r="G28" s="11">
        <v>0.5</v>
      </c>
      <c r="H28" s="9" t="s">
        <v>27</v>
      </c>
      <c r="I28" s="16" t="s">
        <v>364</v>
      </c>
    </row>
    <row r="29" spans="2:9" s="2" customFormat="1" ht="30">
      <c r="B29" s="8" t="s">
        <v>343</v>
      </c>
      <c r="C29" s="9" t="s">
        <v>45</v>
      </c>
      <c r="D29" s="10" t="s">
        <v>52</v>
      </c>
      <c r="E29" s="10" t="s">
        <v>30</v>
      </c>
      <c r="F29" s="9" t="s">
        <v>326</v>
      </c>
      <c r="G29" s="11">
        <v>0.6</v>
      </c>
      <c r="H29" s="9" t="s">
        <v>79</v>
      </c>
      <c r="I29" s="16" t="s">
        <v>366</v>
      </c>
    </row>
    <row r="30" spans="2:9" s="2" customFormat="1" ht="30">
      <c r="B30" s="8" t="s">
        <v>343</v>
      </c>
      <c r="C30" s="9" t="s">
        <v>45</v>
      </c>
      <c r="D30" s="10" t="s">
        <v>52</v>
      </c>
      <c r="E30" s="10" t="s">
        <v>30</v>
      </c>
      <c r="F30" s="9" t="s">
        <v>326</v>
      </c>
      <c r="G30" s="11">
        <v>0.9</v>
      </c>
      <c r="H30" s="9" t="s">
        <v>79</v>
      </c>
      <c r="I30" s="16" t="s">
        <v>368</v>
      </c>
    </row>
    <row r="31" spans="2:9" s="2" customFormat="1" ht="30">
      <c r="B31" s="8" t="s">
        <v>343</v>
      </c>
      <c r="C31" s="9" t="s">
        <v>45</v>
      </c>
      <c r="D31" s="10" t="s">
        <v>31</v>
      </c>
      <c r="E31" s="10" t="s">
        <v>33</v>
      </c>
      <c r="F31" s="9" t="s">
        <v>39</v>
      </c>
      <c r="G31" s="11">
        <v>0.9</v>
      </c>
      <c r="H31" s="9" t="s">
        <v>31</v>
      </c>
      <c r="I31" s="16"/>
    </row>
    <row r="32" spans="2:9" s="2" customFormat="1">
      <c r="B32" s="8" t="s">
        <v>343</v>
      </c>
      <c r="C32" s="9" t="s">
        <v>28</v>
      </c>
      <c r="D32" s="10" t="s">
        <v>31</v>
      </c>
      <c r="E32" s="10" t="s">
        <v>33</v>
      </c>
      <c r="F32" s="9" t="s">
        <v>36</v>
      </c>
      <c r="G32" s="11">
        <v>0.5</v>
      </c>
      <c r="H32" s="9" t="s">
        <v>31</v>
      </c>
      <c r="I32" s="16" t="s">
        <v>363</v>
      </c>
    </row>
    <row r="33" spans="2:9" s="2" customFormat="1" ht="14.5" customHeight="1">
      <c r="B33" s="79" t="s">
        <v>32</v>
      </c>
      <c r="C33" s="80"/>
      <c r="D33" s="81"/>
      <c r="E33" s="12"/>
      <c r="F33" s="12"/>
      <c r="G33" s="82">
        <f>SUM(G6:G32)</f>
        <v>27.199999999999992</v>
      </c>
      <c r="H33" s="83"/>
      <c r="I33" s="84"/>
    </row>
    <row r="36" spans="2:9" ht="16">
      <c r="B36" s="17" t="s">
        <v>81</v>
      </c>
      <c r="C36" s="18" t="s">
        <v>331</v>
      </c>
      <c r="D36" s="130" t="s">
        <v>365</v>
      </c>
    </row>
    <row r="37" spans="2:9" ht="16">
      <c r="C37" s="18" t="s">
        <v>332</v>
      </c>
      <c r="D37" s="129">
        <v>45751</v>
      </c>
    </row>
  </sheetData>
  <mergeCells count="4">
    <mergeCell ref="B1:I1"/>
    <mergeCell ref="B2:H2"/>
    <mergeCell ref="B33:D33"/>
    <mergeCell ref="G33:I33"/>
  </mergeCells>
  <phoneticPr fontId="10" type="noConversion"/>
  <dataValidations count="5">
    <dataValidation type="list" allowBlank="1" showInputMessage="1" showErrorMessage="1" sqref="F6:F25 F28 F31:F32" xr:uid="{047FE464-B43A-E64B-BF71-6DB56F0DB518}">
      <formula1>INDIRECT($E6)</formula1>
    </dataValidation>
    <dataValidation type="list" allowBlank="1" showInputMessage="1" showErrorMessage="1" sqref="F26:F27" xr:uid="{BE1232FD-053A-014A-AF3F-C3387AB9850E}">
      <formula1>INDIRECT($E27)</formula1>
    </dataValidation>
    <dataValidation type="list" allowBlank="1" showInputMessage="1" showErrorMessage="1" sqref="F29:F30" xr:uid="{E62E1448-3626-5B46-BCBC-C22F4AE8B7FE}">
      <formula1>INDIRECT(#REF!)</formula1>
    </dataValidation>
    <dataValidation type="list" errorStyle="warning" allowBlank="1" sqref="C6:C32" xr:uid="{6148E015-EB5D-394F-A421-550F2B7F57F7}">
      <formula1>项目事项分类项目名称</formula1>
    </dataValidation>
    <dataValidation type="list" allowBlank="1" showInputMessage="1" showErrorMessage="1" sqref="H6:H32" xr:uid="{8E737068-2A8D-CF4E-A7B4-B4DE5121B01B}">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DE43E79-E069-684C-8D4D-DE1952CBA432}">
          <x14:formula1>
            <xm:f>'Exhibit II - Internal Client'!$A$1:$A$20</xm:f>
          </x14:formula1>
          <xm:sqref>D6:D31</xm:sqref>
        </x14:dataValidation>
        <x14:dataValidation type="list" allowBlank="1" showInputMessage="1" showErrorMessage="1" xr:uid="{D330FF36-D7F0-704F-BEFB-83104435E9F6}">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2025-04-04T16:09:38Z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