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456AEAF9-68BC-4B59-98BE-6A1D759A6C2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<sst xmlns="http://schemas.openxmlformats.org/spreadsheetml/2006/main" count="241" uniqueCount="190">
  <si>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</si>
  <si>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</si>
  <si>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</si>
  <si>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</si>
  <si>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</si>
  <si>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</si>
  <si>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</si>
  <si>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</si>
  <si>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</si>
  <si>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</si>
  <si>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</si>
  <si>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</si>
  <si>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</si>
  <si>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</si>
  <si>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</si>
  <si>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</si>
  <si>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</si>
  <si>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</si>
  <si>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</si>
  <si>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</si>
  <si>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</si>
  <si>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</si>
  <si>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</si>
  <si>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</si>
  <si>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</si>
  <si>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</si>
  <si>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</si>
  <si>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</si>
  <si>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</si>
  <si>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</si>
  <si>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</si>
  <si>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</si>
  <si>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</si>
  <si>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</si>
  <si>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</si>
  <si>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</si>
  <si>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</si>
  <si>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</si>
  <si>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</si>
  <si>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</si>
  <si>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</si>
  <si>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</si>
  <si>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</si>
  <si>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</si>
  <si>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</si>
  <si>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</si>
  <si>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</si>
  <si>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</si>
  <si>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</si>
  <si>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</si>
  <si>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</si>
  <si>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</si>
  <si>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</si>
  <si>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</si>
  <si>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</si>
  <si>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</si>
  <si>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</si>
  <si>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</si>
  <si>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</si>
  <si>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</si>
  <si>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</si>
  <si>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</si>
  <si>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</si>
  <si>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</si>
  <si>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</si>
  <si>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</si>
  <si>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</si>
  <si>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</si>
  <si>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</si>
  <si>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</si>
  <si>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</si>
  <si>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</si>
  <si>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</si>
  <si>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</si>
  <si>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</si>
  <si>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</si>
  <si>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</si>
  <si>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</si>
  <si>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</si>
  <si>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</si>
  <si>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</si>
  <si>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</si>
  <si>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</si>
  <si>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</si>
  <si>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</si>
  <si>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</si>
  <si>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</si>
  <si>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</si>
  <si>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</si>
  <si>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</si>
  <si>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</si>
  <si>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</si>
  <si>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</si>
  <si>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</si>
  <si>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</si>
  <si>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</si>
  <si>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</si>
  <si>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</si>
  <si>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</si>
  <si>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</si>
  <si>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</si>
  <si>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</si>
  <si>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</si>
  <si>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</si>
  <si>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</si>
  <si>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</si>
  <si>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</si>
  <si>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</si>
  <si>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</si>
  <si>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</si>
  <si>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</si>
  <si>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</si>
  <si>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</si>
  <si>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</si>
  <si>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</si>
  <si>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</si>
  <si>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</si>
  <si>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</si>
  <si>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</si>
  <si>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</si>
  <si>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</si>
  <si>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</si>
  <si>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</si>
  <si>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</si>
  <si>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</si>
  <si>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</si>
  <si>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</si>
  <si>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</si>
  <si>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</si>
  <si>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</si>
  <si>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</si>
  <si>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</si>
  <si>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</si>
  <si>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</si>
  <si>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</si>
  <si>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</si>
  <si>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</si>
  <si>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</si>
  <si>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</si>
  <si>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</si>
  <si>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</si>
  <si>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</si>
  <si>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</si>
  <si>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</si>
  <si>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</si>
  <si>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</si>
  <si>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</si>
  <si>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</si>
  <si>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</si>
  <si>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</si>
  <si>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</si>
  <si>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</si>
  <si>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</si>
  <si>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</si>
  <si>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</si>
  <si>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</si>
  <si>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</si>
  <si>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</si>
  <si>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</si>
  <si>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</si>
  <si>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</si>
  <si>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</si>
  <si>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</si>
  <si>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</si>
  <si>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</si>
  <si>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</si>
  <si>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</si>
  <si>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</si>
  <si>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</si>
  <si>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</si>
  <si>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</si>
  <si>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</si>
  <si>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</si>
  <si>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</si>
  <si>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</si>
  <si>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</si>
  <si>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</si>
  <si>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</si>
  <si>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</si>
  <si>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</si>
  <si>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amoriggi</t>
  </si>
  <si>
    <t>General admin work (invoices processing, office correspondence handling, etc.)</t>
  </si>
  <si>
    <t>Timesheet, Midas matters reporting and similar activities</t>
  </si>
  <si>
    <t>Merchant/channel contracts for Midaspay Europe (intra group discussions, comments on contract etc.)</t>
  </si>
  <si>
    <t>DNB regulatory filings (including preparatory work), direct interactions with the Dutch Central Bank, other authorities, or Law Enforcement</t>
  </si>
  <si>
    <t>Corporate governance work for EU-based entities, including compliance committees, management board meetings and related work (convening notices, minutes, etc.), iManage/WeDrive</t>
  </si>
  <si>
    <t>National holiday on Jan 1</t>
  </si>
  <si>
    <t>Internal discussions re. regulatory compliance projects (Midas EMEA), day-to-day alignments with business and risk</t>
  </si>
  <si>
    <t>Analysis related to the regulatory compliance projects mentioned above</t>
  </si>
  <si>
    <t>Policy related work, including yearly review, and training preparation/recording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</si>
</sst>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9">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8" borderId="0" xfId="0" applyFont="1" applyFill="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zoomScale="67" zoomScaleNormal="70" workbookViewId="0">
      <selection activeCell="D35" sqref="D35"/>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 min="10" max="10" width="55.69921875" customWidth="1"/>
  </cols>
  <sheetData>
    <row r="1" spans="1:9" ht="17">
      <c r="B1" s="39" t="s">
        <v>0</v>
      </c>
      <c r="C1" s="40"/>
      <c r="D1" s="40"/>
      <c r="E1" s="40"/>
      <c r="F1" s="40"/>
      <c r="G1" s="40"/>
      <c r="H1" s="40"/>
      <c r="I1" s="40"/>
    </row>
    <row r="2" spans="1:9" ht="17">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180</v>
      </c>
      <c r="C6" s="28" t="s">
        <v>23</v>
      </c>
      <c r="D6" s="29" t="s">
        <v>24</v>
      </c>
      <c r="E6" s="29" t="s">
        <v>25</v>
      </c>
      <c r="F6" s="28" t="s">
        <v>51</v>
      </c>
      <c r="G6" s="30">
        <v>8</v>
      </c>
      <c r="H6" s="28" t="s">
        <v>169</v>
      </c>
      <c r="I6" s="35" t="s">
        <v>183</v>
      </c>
    </row>
    <row r="7" spans="1:9" s="21" customFormat="1" ht="40.5">
      <c r="B7" s="27" t="s">
        <v>180</v>
      </c>
      <c r="C7" s="28" t="s">
        <v>23</v>
      </c>
      <c r="D7" s="29" t="s">
        <v>24</v>
      </c>
      <c r="E7" s="29" t="s">
        <v>25</v>
      </c>
      <c r="F7" s="28" t="s">
        <v>51</v>
      </c>
      <c r="G7" s="30">
        <v>5</v>
      </c>
      <c r="H7" s="28" t="s">
        <v>30</v>
      </c>
      <c r="I7" s="35" t="s">
        <v>187</v>
      </c>
    </row>
    <row r="8" spans="1:9" s="21" customFormat="1" ht="40.5">
      <c r="B8" s="27" t="s">
        <v>180</v>
      </c>
      <c r="C8" s="28" t="s">
        <v>23</v>
      </c>
      <c r="D8" s="29" t="s">
        <v>24</v>
      </c>
      <c r="E8" s="29" t="s">
        <v>25</v>
      </c>
      <c r="F8" s="28" t="s">
        <v>51</v>
      </c>
      <c r="G8" s="30">
        <v>3</v>
      </c>
      <c r="H8" s="28" t="s">
        <v>26</v>
      </c>
      <c r="I8" s="35" t="s">
        <v>188</v>
      </c>
    </row>
    <row r="9" spans="1:9" s="21" customFormat="1" ht="59" customHeight="1">
      <c r="B9" s="27" t="s">
        <v>180</v>
      </c>
      <c r="C9" s="28" t="s">
        <v>23</v>
      </c>
      <c r="D9" s="29" t="s">
        <v>24</v>
      </c>
      <c r="E9" s="29" t="s">
        <v>25</v>
      </c>
      <c r="F9" s="28" t="s">
        <v>51</v>
      </c>
      <c r="G9" s="30">
        <v>3</v>
      </c>
      <c r="H9" s="28" t="s">
        <v>171</v>
      </c>
      <c r="I9" s="35" t="s">
        <v>185</v>
      </c>
    </row>
    <row r="10" spans="1:9" s="21" customFormat="1" ht="40.5">
      <c r="B10" s="27" t="s">
        <v>180</v>
      </c>
      <c r="C10" s="28" t="s">
        <v>23</v>
      </c>
      <c r="D10" s="29" t="s">
        <v>24</v>
      </c>
      <c r="E10" s="29" t="s">
        <v>25</v>
      </c>
      <c r="F10" s="28" t="s">
        <v>51</v>
      </c>
      <c r="G10" s="30">
        <v>5</v>
      </c>
      <c r="H10" s="28" t="s">
        <v>172</v>
      </c>
      <c r="I10" s="35" t="s">
        <v>189</v>
      </c>
    </row>
    <row r="11" spans="1:9" s="21" customFormat="1" ht="40.5">
      <c r="B11" s="27" t="s">
        <v>180</v>
      </c>
      <c r="C11" s="28" t="s">
        <v>23</v>
      </c>
      <c r="D11" s="29" t="s">
        <v>24</v>
      </c>
      <c r="E11" s="29" t="s">
        <v>25</v>
      </c>
      <c r="F11" s="28" t="s">
        <v>51</v>
      </c>
      <c r="G11" s="30">
        <v>2.5</v>
      </c>
      <c r="H11" s="28" t="s">
        <v>176</v>
      </c>
      <c r="I11" s="35" t="s">
        <v>184</v>
      </c>
    </row>
    <row r="12" spans="1:9" s="21" customFormat="1" ht="27">
      <c r="B12" s="27" t="s">
        <v>180</v>
      </c>
      <c r="C12" s="28" t="s">
        <v>31</v>
      </c>
      <c r="D12" s="29" t="s">
        <v>35</v>
      </c>
      <c r="E12" s="29" t="s">
        <v>37</v>
      </c>
      <c r="F12" s="28" t="s">
        <v>49</v>
      </c>
      <c r="G12" s="30">
        <v>0.8</v>
      </c>
      <c r="H12" s="28" t="s">
        <v>35</v>
      </c>
      <c r="I12" s="35" t="s">
        <v>182</v>
      </c>
    </row>
    <row r="13" spans="1:9" s="21" customFormat="1" ht="40.5">
      <c r="B13" s="27" t="s">
        <v>180</v>
      </c>
      <c r="C13" s="28" t="s">
        <v>23</v>
      </c>
      <c r="D13" s="29" t="s">
        <v>35</v>
      </c>
      <c r="E13" s="29" t="s">
        <v>25</v>
      </c>
      <c r="F13" s="28" t="s">
        <v>51</v>
      </c>
      <c r="G13" s="30">
        <v>3</v>
      </c>
      <c r="H13" s="28" t="s">
        <v>35</v>
      </c>
      <c r="I13" s="35" t="s">
        <v>181</v>
      </c>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36"/>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4.5" customHeight="1">
      <c r="B28" s="43" t="s">
        <v>36</v>
      </c>
      <c r="C28" s="44"/>
      <c r="D28" s="45"/>
      <c r="E28" s="31"/>
      <c r="F28" s="31"/>
      <c r="G28" s="46">
        <f>SUM(G6:G27)</f>
        <v>30.3</v>
      </c>
      <c r="H28" s="47"/>
      <c r="I28" s="48"/>
    </row>
    <row r="31" spans="2:9">
      <c r="B31" s="37" t="s">
        <v>178</v>
      </c>
      <c r="C31" s="38" t="s">
        <v>186</v>
      </c>
    </row>
    <row r="32" spans="2:9">
      <c r="C32" s="38"/>
    </row>
  </sheetData>
  <mergeCells count="4">
    <mergeCell ref="B1:I1"/>
    <mergeCell ref="B2:H2"/>
    <mergeCell ref="B28:D28"/>
    <mergeCell ref="G28:I28"/>
  </mergeCells>
  <phoneticPr fontId="18" type="noConversion"/>
  <dataValidations count="3">
    <dataValidation type="list" errorStyle="warning" allowBlank="1" sqref="C12:C27" xr:uid="{00000000-0002-0000-0000-000005000000}">
      <formula1>项目事项分类项目名称</formula1>
    </dataValidation>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D19:D27 D6:D17</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8.5">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02.5">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84"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2025-06-03T07:21:00Z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