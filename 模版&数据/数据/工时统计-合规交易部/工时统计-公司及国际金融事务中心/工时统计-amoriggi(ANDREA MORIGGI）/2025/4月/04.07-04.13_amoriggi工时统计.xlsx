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21A3DB0D-7AAE-4F54-A4D3-D5721AA4F08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<sst xmlns="http://schemas.openxmlformats.org/spreadsheetml/2006/main" count="504" uniqueCount="352">
  <si>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</si>
  <si>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</si>
  <si>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</si>
  <si>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</si>
  <si>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</si>
  <si>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</si>
  <si>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</si>
  <si>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</si>
  <si>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</si>
  <si>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</si>
  <si>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</si>
  <si>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</si>
  <si>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</si>
  <si>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</si>
  <si>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</si>
  <si>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</si>
  <si>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</si>
  <si>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</si>
  <si>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</si>
  <si>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</si>
  <si>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</si>
  <si>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</si>
  <si>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</si>
  <si>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</si>
  <si>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</si>
  <si>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</si>
  <si>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</si>
  <si>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</si>
  <si>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</si>
  <si>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</si>
  <si>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</si>
  <si>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</si>
  <si>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</si>
  <si>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</si>
  <si>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</si>
  <si>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</si>
  <si>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</si>
  <si>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</si>
  <si>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</si>
  <si>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</si>
  <si>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</si>
  <si>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</si>
  <si>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</si>
  <si>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</si>
  <si>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</si>
  <si>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</si>
  <si>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</si>
  <si>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</si>
  <si>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</si>
  <si>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</si>
  <si>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</si>
  <si>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</si>
  <si>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</si>
  <si>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</si>
  <si>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</si>
  <si>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</si>
  <si>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</si>
  <si>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</si>
  <si>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</si>
  <si>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</si>
  <si>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</si>
  <si>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</si>
  <si>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</si>
  <si>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</si>
  <si>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</si>
  <si>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</si>
  <si>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</si>
  <si>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</si>
  <si>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</si>
  <si>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</si>
  <si>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</si>
  <si>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</si>
  <si>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</si>
  <si>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</si>
  <si>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</si>
  <si>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</si>
  <si>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</si>
  <si>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</si>
  <si>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</si>
  <si>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</si>
  <si>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</si>
  <si>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</si>
  <si>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</si>
  <si>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</si>
  <si>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</si>
  <si>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</si>
  <si>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</si>
  <si>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</si>
  <si>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</si>
  <si>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</si>
  <si>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</si>
  <si>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</si>
  <si>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</si>
  <si>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</si>
  <si>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</si>
  <si>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</si>
  <si>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</si>
  <si>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</si>
  <si>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</si>
  <si>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</si>
  <si>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</si>
  <si>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</si>
  <si>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</si>
  <si>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</si>
  <si>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</si>
  <si>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</si>
  <si>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</si>
  <si>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</si>
  <si>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</si>
  <si>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</si>
  <si>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</si>
  <si>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</si>
  <si>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</si>
  <si>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</si>
  <si>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</si>
  <si>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</si>
  <si>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</si>
  <si>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</si>
  <si>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</si>
  <si>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</si>
  <si>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</si>
  <si>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</si>
  <si>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</si>
  <si>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</si>
  <si>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</si>
  <si>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</si>
  <si>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</si>
  <si>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</si>
  <si>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</si>
  <si>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</si>
  <si>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</si>
  <si>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</si>
  <si>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</si>
  <si>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</si>
  <si>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</si>
  <si>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</si>
  <si>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</si>
  <si>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</si>
  <si>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</si>
  <si>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</si>
  <si>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</si>
  <si>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</si>
  <si>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</si>
  <si>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</si>
  <si>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</si>
  <si>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</si>
  <si>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</si>
  <si>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</si>
  <si>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</si>
  <si>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</si>
  <si>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</si>
  <si>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</si>
  <si>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</si>
  <si>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</si>
  <si>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</si>
  <si>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</si>
  <si>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</si>
  <si>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</si>
  <si>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</si>
  <si>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</si>
  <si>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</si>
  <si>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</si>
  <si>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</si>
  <si>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</si>
  <si>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</si>
  <si>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</si>
  <si>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</si>
  <si>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</si>
  <si>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</si>
  <si>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</si>
  <si>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</si>
  <si>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</si>
  <si>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</si>
  <si>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</si>
  <si>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</si>
  <si>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</si>
  <si>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</si>
  <si>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</si>
  <si>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</si>
  <si>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</si>
  <si>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</si>
  <si>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</si>
  <si>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</si>
  <si>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</si>
  <si>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</si>
  <si>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</si>
  <si>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</si>
  <si>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</si>
  <si>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</si>
  <si>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</si>
  <si>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</si>
  <si>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</si>
  <si>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</si>
  <si>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</si>
  <si>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</si>
  <si>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</si>
  <si>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</si>
  <si>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</si>
  <si>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</si>
  <si>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</si>
  <si>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</si>
  <si>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</si>
  <si>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</si>
  <si>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</si>
  <si>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</si>
  <si>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</si>
  <si>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</si>
  <si>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</si>
  <si>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</si>
  <si>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</si>
  <si>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</si>
  <si>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</si>
  <si>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</si>
  <si>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</si>
  <si>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</si>
  <si>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</si>
  <si>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</si>
  <si>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</si>
  <si>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</si>
  <si>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</si>
  <si>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</si>
  <si>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</si>
  <si>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</si>
  <si>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</si>
  <si>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</si>
  <si>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</si>
  <si>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</si>
  <si>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</si>
  <si>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</si>
  <si>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</si>
  <si>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</si>
  <si>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</si>
  <si>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</si>
  <si>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</si>
  <si>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</si>
  <si>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</si>
  <si>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</si>
  <si>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</si>
  <si>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</si>
  <si>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</si>
  <si>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</si>
  <si>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</si>
  <si>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</si>
  <si>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</si>
  <si>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</si>
  <si>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</si>
  <si>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</si>
  <si>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</si>
  <si>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</si>
  <si>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</si>
  <si>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</si>
  <si>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</si>
  <si>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</si>
  <si>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</si>
  <si>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</si>
  <si>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</si>
  <si>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</si>
  <si>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</si>
  <si>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</si>
  <si>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</si>
  <si>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</si>
  <si>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</si>
  <si>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</si>
  <si>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</si>
  <si>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</si>
  <si>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</si>
  <si>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</si>
  <si>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</si>
  <si>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</si>
  <si>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</si>
  <si>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</si>
  <si>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</si>
  <si>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</si>
  <si>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</si>
  <si>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</si>
  <si>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</si>
  <si>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</si>
  <si>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</si>
  <si>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</si>
  <si>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</si>
  <si>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</si>
  <si>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</si>
  <si>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</si>
  <si>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</si>
  <si>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</si>
  <si>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</si>
  <si>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</si>
  <si>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</si>
  <si>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</si>
  <si>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</si>
  <si>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</si>
  <si>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</si>
  <si>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</si>
  <si>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</si>
  <si>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</si>
  <si>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</si>
  <si>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</si>
  <si>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</si>
  <si>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</si>
  <si>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</si>
  <si>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</si>
  <si>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</si>
  <si>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</si>
  <si>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</si>
  <si>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</si>
  <si>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</si>
  <si>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</si>
  <si>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</si>
  <si>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</si>
  <si>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</si>
  <si>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</si>
  <si>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</si>
  <si>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</si>
  <si>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</si>
  <si>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</si>
  <si>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</si>
  <si>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</si>
  <si>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</si>
  <si>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</si>
  <si>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</si>
  <si>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</si>
  <si>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</si>
  <si>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</si>
  <si>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</si>
  <si>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</si>
  <si>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</si>
  <si>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</si>
  <si>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</si>
  <si>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</si>
  <si>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</si>
  <si>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</si>
  <si>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</si>
  <si>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</si>
  <si>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</si>
  <si>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</si>
  <si>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</si>
  <si>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</si>
  <si>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</si>
  <si>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</si>
  <si>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</si>
  <si>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</si>
  <si>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</si>
  <si>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</si>
  <si>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</si>
  <si>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</si>
  <si>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</si>
  <si>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</si>
  <si>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Timesheet, Midas matters reporting and similar activities</t>
  </si>
  <si>
    <t>General admin work (invoices processing, office correspondence handling, etc.)</t>
  </si>
  <si>
    <t>Date:</t>
  </si>
  <si>
    <t xml:space="preserve">AL/SL/Other Leave </t>
  </si>
  <si>
    <t>7-11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</si>
</sst>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0" fillId="10" borderId="0" xfId="0" applyFill="1">
      <alignment vertical="center"/>
    </xf>
    <xf numFmtId="0" fontId="28"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zoomScaleNormal="95" workbookViewId="0">
      <selection activeCell="O22" sqref="O22"/>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7" t="s">
        <v>0</v>
      </c>
      <c r="C1" s="78"/>
      <c r="D1" s="78"/>
      <c r="E1" s="78"/>
      <c r="F1" s="78"/>
      <c r="G1" s="78"/>
      <c r="H1" s="78"/>
      <c r="I1" s="78"/>
    </row>
    <row r="2" spans="1:10" ht="17">
      <c r="B2" s="79"/>
      <c r="C2" s="80"/>
      <c r="D2" s="80"/>
      <c r="E2" s="80"/>
      <c r="F2" s="80"/>
      <c r="G2" s="80"/>
      <c r="H2" s="80"/>
      <c r="I2" s="13" t="s">
        <v>349</v>
      </c>
      <c r="J2" s="76" t="s">
        <v>351</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4</v>
      </c>
      <c r="H6" s="9" t="s">
        <v>73</v>
      </c>
      <c r="I6" s="16" t="s">
        <v>340</v>
      </c>
    </row>
    <row r="7" spans="1:10" s="2" customFormat="1" ht="40.5">
      <c r="B7" s="8" t="s">
        <v>339</v>
      </c>
      <c r="C7" s="9" t="s">
        <v>22</v>
      </c>
      <c r="D7" s="10" t="s">
        <v>23</v>
      </c>
      <c r="E7" s="10" t="s">
        <v>30</v>
      </c>
      <c r="F7" s="9" t="s">
        <v>336</v>
      </c>
      <c r="G7" s="11">
        <v>13</v>
      </c>
      <c r="H7" s="9" t="s">
        <v>74</v>
      </c>
      <c r="I7" s="16" t="s">
        <v>341</v>
      </c>
    </row>
    <row r="8" spans="1:10" s="2" customFormat="1" ht="40.5">
      <c r="B8" s="8" t="s">
        <v>339</v>
      </c>
      <c r="C8" s="9" t="s">
        <v>22</v>
      </c>
      <c r="D8" s="10" t="s">
        <v>23</v>
      </c>
      <c r="E8" s="10" t="s">
        <v>30</v>
      </c>
      <c r="F8" s="9" t="s">
        <v>336</v>
      </c>
      <c r="G8" s="11">
        <v>7</v>
      </c>
      <c r="H8" s="9" t="s">
        <v>27</v>
      </c>
      <c r="I8" s="16" t="s">
        <v>342</v>
      </c>
    </row>
    <row r="9" spans="1:10" s="2" customFormat="1" ht="40.5">
      <c r="B9" s="8" t="s">
        <v>339</v>
      </c>
      <c r="C9" s="9" t="s">
        <v>22</v>
      </c>
      <c r="D9" s="10" t="s">
        <v>23</v>
      </c>
      <c r="E9" s="10" t="s">
        <v>30</v>
      </c>
      <c r="F9" s="9" t="s">
        <v>336</v>
      </c>
      <c r="G9" s="11">
        <v>5</v>
      </c>
      <c r="H9" s="9" t="s">
        <v>24</v>
      </c>
      <c r="I9" s="16" t="s">
        <v>343</v>
      </c>
    </row>
    <row r="10" spans="1:10" s="2" customFormat="1" ht="54">
      <c r="B10" s="8" t="s">
        <v>339</v>
      </c>
      <c r="C10" s="9" t="s">
        <v>22</v>
      </c>
      <c r="D10" s="10" t="s">
        <v>23</v>
      </c>
      <c r="E10" s="10" t="s">
        <v>30</v>
      </c>
      <c r="F10" s="9" t="s">
        <v>336</v>
      </c>
      <c r="G10" s="11">
        <v>2</v>
      </c>
      <c r="H10" s="9" t="s">
        <v>75</v>
      </c>
      <c r="I10" s="16" t="s">
        <v>344</v>
      </c>
    </row>
    <row r="11" spans="1:10" s="2" customFormat="1" ht="40.5">
      <c r="B11" s="8" t="s">
        <v>339</v>
      </c>
      <c r="C11" s="9" t="s">
        <v>22</v>
      </c>
      <c r="D11" s="10" t="s">
        <v>23</v>
      </c>
      <c r="E11" s="10" t="s">
        <v>30</v>
      </c>
      <c r="F11" s="9" t="s">
        <v>336</v>
      </c>
      <c r="G11" s="11">
        <v>3</v>
      </c>
      <c r="H11" s="9" t="s">
        <v>76</v>
      </c>
      <c r="I11" s="16" t="s">
        <v>345</v>
      </c>
    </row>
    <row r="12" spans="1:10" s="2" customFormat="1" ht="40.5">
      <c r="B12" s="8" t="s">
        <v>339</v>
      </c>
      <c r="C12" s="9" t="s">
        <v>22</v>
      </c>
      <c r="D12" s="10" t="s">
        <v>23</v>
      </c>
      <c r="E12" s="10" t="s">
        <v>30</v>
      </c>
      <c r="F12" s="9" t="s">
        <v>336</v>
      </c>
      <c r="G12" s="11">
        <v>6</v>
      </c>
      <c r="H12" s="9" t="s">
        <v>79</v>
      </c>
      <c r="I12" s="16" t="s">
        <v>346</v>
      </c>
    </row>
    <row r="13" spans="1:10" s="2" customFormat="1" ht="27">
      <c r="B13" s="8" t="s">
        <v>339</v>
      </c>
      <c r="C13" s="9" t="s">
        <v>28</v>
      </c>
      <c r="D13" s="10" t="s">
        <v>31</v>
      </c>
      <c r="E13" s="10" t="s">
        <v>33</v>
      </c>
      <c r="F13" s="9" t="s">
        <v>39</v>
      </c>
      <c r="G13" s="11">
        <v>1</v>
      </c>
      <c r="H13" s="9" t="s">
        <v>31</v>
      </c>
      <c r="I13" s="16" t="s">
        <v>347</v>
      </c>
    </row>
    <row r="14" spans="1:10" s="2" customFormat="1" ht="40.5">
      <c r="B14" s="8" t="s">
        <v>339</v>
      </c>
      <c r="C14" s="9" t="s">
        <v>22</v>
      </c>
      <c r="D14" s="10" t="s">
        <v>31</v>
      </c>
      <c r="E14" s="10" t="s">
        <v>30</v>
      </c>
      <c r="F14" s="9" t="s">
        <v>336</v>
      </c>
      <c r="G14" s="11">
        <v>1</v>
      </c>
      <c r="H14" s="9" t="s">
        <v>31</v>
      </c>
      <c r="I14" s="16" t="s">
        <v>348</v>
      </c>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1" t="s">
        <v>32</v>
      </c>
      <c r="C32" s="82"/>
      <c r="D32" s="83"/>
      <c r="E32" s="12"/>
      <c r="F32" s="12"/>
      <c r="G32" s="84">
        <f>SUM(G6:G31)</f>
        <v>42</v>
      </c>
      <c r="H32" s="85"/>
      <c r="I32" s="86"/>
    </row>
    <row r="35" spans="2:4">
      <c r="B35" s="17" t="s">
        <v>81</v>
      </c>
      <c r="C35" s="18" t="s">
        <v>350</v>
      </c>
      <c r="D35" s="75"/>
    </row>
    <row r="36" spans="2:4">
      <c r="C36" s="18" t="s">
        <v>331</v>
      </c>
    </row>
  </sheetData>
  <mergeCells count="4">
    <mergeCell ref="B1:I1"/>
    <mergeCell ref="B2:H2"/>
    <mergeCell ref="B32:D32"/>
    <mergeCell ref="G32:I32"/>
  </mergeCells>
  <phoneticPr fontId="9" type="noConversion"/>
  <dataValidations count="3">
    <dataValidation type="list" errorStyle="warning" allowBlank="1" sqref="C13: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D15:D31</xm:sqref>
        </x14:dataValidation>
        <x14:dataValidation type="list" allowBlank="1" showInputMessage="1" showErrorMessage="1" xr:uid="{00000000-0002-0000-0000-000007000000}">
          <x14:formula1>
            <xm:f>Tag!$B$2:$E$2</xm:f>
          </x14:formula1>
          <xm:sqref>E15:E31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2025-05-06T09:37:00Z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