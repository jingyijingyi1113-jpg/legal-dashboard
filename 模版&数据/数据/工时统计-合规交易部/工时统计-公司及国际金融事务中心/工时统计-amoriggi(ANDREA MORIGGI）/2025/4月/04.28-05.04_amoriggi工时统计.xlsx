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288E121A-1B42-479B-BB2C-77BB6A8301F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<sst xmlns="http://schemas.openxmlformats.org/spreadsheetml/2006/main" count="504" uniqueCount="352">
  <si>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</si>
  <si>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</si>
  <si>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</si>
  <si>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</si>
  <si>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</si>
  <si>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</si>
  <si>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</si>
  <si>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</si>
  <si>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</si>
  <si>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</si>
  <si>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</si>
  <si>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</si>
  <si>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</si>
  <si>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</si>
  <si>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</si>
  <si>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</si>
  <si>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</si>
  <si>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</si>
  <si>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</si>
  <si>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</si>
  <si>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</si>
  <si>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</si>
  <si>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</si>
  <si>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</si>
  <si>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</si>
  <si>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</si>
  <si>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</si>
  <si>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</si>
  <si>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</si>
  <si>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</si>
  <si>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</si>
  <si>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</si>
  <si>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</si>
  <si>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</si>
  <si>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</si>
  <si>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</si>
  <si>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</si>
  <si>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</si>
  <si>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</si>
  <si>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</si>
  <si>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</si>
  <si>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</si>
  <si>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</si>
  <si>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</si>
  <si>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</si>
  <si>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</si>
  <si>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</si>
  <si>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</si>
  <si>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</si>
  <si>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</si>
  <si>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</si>
  <si>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</si>
  <si>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</si>
  <si>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</si>
  <si>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</si>
  <si>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</si>
  <si>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</si>
  <si>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</si>
  <si>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</si>
  <si>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</si>
  <si>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</si>
  <si>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</si>
  <si>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</si>
  <si>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</si>
  <si>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</si>
  <si>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</si>
  <si>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</si>
  <si>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</si>
  <si>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</si>
  <si>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</si>
  <si>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</si>
  <si>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</si>
  <si>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</si>
  <si>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</si>
  <si>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</si>
  <si>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</si>
  <si>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</si>
  <si>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</si>
  <si>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</si>
  <si>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</si>
  <si>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</si>
  <si>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</si>
  <si>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</si>
  <si>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</si>
  <si>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</si>
  <si>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</si>
  <si>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</si>
  <si>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</si>
  <si>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</si>
  <si>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</si>
  <si>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</si>
  <si>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</si>
  <si>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</si>
  <si>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</si>
  <si>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</si>
  <si>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</si>
  <si>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</si>
  <si>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</si>
  <si>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</si>
  <si>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</si>
  <si>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</si>
  <si>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</si>
  <si>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</si>
  <si>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</si>
  <si>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</si>
  <si>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</si>
  <si>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</si>
  <si>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</si>
  <si>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</si>
  <si>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</si>
  <si>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</si>
  <si>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</si>
  <si>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</si>
  <si>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</si>
  <si>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</si>
  <si>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</si>
  <si>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</si>
  <si>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</si>
  <si>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</si>
  <si>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</si>
  <si>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</si>
  <si>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</si>
  <si>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</si>
  <si>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</si>
  <si>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</si>
  <si>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</si>
  <si>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</si>
  <si>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</si>
  <si>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</si>
  <si>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</si>
  <si>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</si>
  <si>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</si>
  <si>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</si>
  <si>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</si>
  <si>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</si>
  <si>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</si>
  <si>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</si>
  <si>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</si>
  <si>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</si>
  <si>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</si>
  <si>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</si>
  <si>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</si>
  <si>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</si>
  <si>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</si>
  <si>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</si>
  <si>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</si>
  <si>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</si>
  <si>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</si>
  <si>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</si>
  <si>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</si>
  <si>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</si>
  <si>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</si>
  <si>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</si>
  <si>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</si>
  <si>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</si>
  <si>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</si>
  <si>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</si>
  <si>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</si>
  <si>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</si>
  <si>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</si>
  <si>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</si>
  <si>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</si>
  <si>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</si>
  <si>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</si>
  <si>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</si>
  <si>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</si>
  <si>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</si>
  <si>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</si>
  <si>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</si>
  <si>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</si>
  <si>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</si>
  <si>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</si>
  <si>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</si>
  <si>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</si>
  <si>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</si>
  <si>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</si>
  <si>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</si>
  <si>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</si>
  <si>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</si>
  <si>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</si>
  <si>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</si>
  <si>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</si>
  <si>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</si>
  <si>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</si>
  <si>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</si>
  <si>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</si>
  <si>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</si>
  <si>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</si>
  <si>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</si>
  <si>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</si>
  <si>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</si>
  <si>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</si>
  <si>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</si>
  <si>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</si>
  <si>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</si>
  <si>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</si>
  <si>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</si>
  <si>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</si>
  <si>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</si>
  <si>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</si>
  <si>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</si>
  <si>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</si>
  <si>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</si>
  <si>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</si>
  <si>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</si>
  <si>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</si>
  <si>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</si>
  <si>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</si>
  <si>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</si>
  <si>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</si>
  <si>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</si>
  <si>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</si>
  <si>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</si>
  <si>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</si>
  <si>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</si>
  <si>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</si>
  <si>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</si>
  <si>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</si>
  <si>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</si>
  <si>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</si>
  <si>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</si>
  <si>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</si>
  <si>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</si>
  <si>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</si>
  <si>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</si>
  <si>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</si>
  <si>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</si>
  <si>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</si>
  <si>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</si>
  <si>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</si>
  <si>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</si>
  <si>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</si>
  <si>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</si>
  <si>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</si>
  <si>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</si>
  <si>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</si>
  <si>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</si>
  <si>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</si>
  <si>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</si>
  <si>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</si>
  <si>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</si>
  <si>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</si>
  <si>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</si>
  <si>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</si>
  <si>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</si>
  <si>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</si>
  <si>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</si>
  <si>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</si>
  <si>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</si>
  <si>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</si>
  <si>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</si>
  <si>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</si>
  <si>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</si>
  <si>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</si>
  <si>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</si>
  <si>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</si>
  <si>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</si>
  <si>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</si>
  <si>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</si>
  <si>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</si>
  <si>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</si>
  <si>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</si>
  <si>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</si>
  <si>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</si>
  <si>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</si>
  <si>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</si>
  <si>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</si>
  <si>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</si>
  <si>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</si>
  <si>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</si>
  <si>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</si>
  <si>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</si>
  <si>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</si>
  <si>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</si>
  <si>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</si>
  <si>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</si>
  <si>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</si>
  <si>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</si>
  <si>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</si>
  <si>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</si>
  <si>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</si>
  <si>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</si>
  <si>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</si>
  <si>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</si>
  <si>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</si>
  <si>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</si>
  <si>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</si>
  <si>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</si>
  <si>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</si>
  <si>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</si>
  <si>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</si>
  <si>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</si>
  <si>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</si>
  <si>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</si>
  <si>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</si>
  <si>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</si>
  <si>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</si>
  <si>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</si>
  <si>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</si>
  <si>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</si>
  <si>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</si>
  <si>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</si>
  <si>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</si>
  <si>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</si>
  <si>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</si>
  <si>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</si>
  <si>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</si>
  <si>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</si>
  <si>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</si>
  <si>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</si>
  <si>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</si>
  <si>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</si>
  <si>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</si>
  <si>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</si>
  <si>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</si>
  <si>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</si>
  <si>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</si>
  <si>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</si>
  <si>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</si>
  <si>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</si>
  <si>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</si>
  <si>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</si>
  <si>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</si>
  <si>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</si>
  <si>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</si>
  <si>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</si>
  <si>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</si>
  <si>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</si>
  <si>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</si>
  <si>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</si>
  <si>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</si>
  <si>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</si>
  <si>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</si>
  <si>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</si>
  <si>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</si>
  <si>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</si>
  <si>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</si>
  <si>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</si>
  <si>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</si>
  <si>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</si>
  <si>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</si>
  <si>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</si>
  <si>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</si>
  <si>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</si>
  <si>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</si>
  <si>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</si>
  <si>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</si>
  <si>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</si>
  <si>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</si>
  <si>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Date:</t>
  </si>
  <si>
    <t xml:space="preserve">AL/SL/Other Leave </t>
  </si>
  <si>
    <t>21-25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</si>
</sst>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topLeftCell="A5" zoomScaleNormal="95" workbookViewId="0">
      <selection activeCell="R14" sqref="R14"/>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349</v>
      </c>
      <c r="J2" s="75" t="s">
        <v>351</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4</v>
      </c>
      <c r="H6" s="9" t="s">
        <v>73</v>
      </c>
      <c r="I6" s="16" t="s">
        <v>340</v>
      </c>
    </row>
    <row r="7" spans="1:10" s="2" customFormat="1" ht="40.5">
      <c r="B7" s="8" t="s">
        <v>339</v>
      </c>
      <c r="C7" s="9" t="s">
        <v>22</v>
      </c>
      <c r="D7" s="10" t="s">
        <v>23</v>
      </c>
      <c r="E7" s="10" t="s">
        <v>30</v>
      </c>
      <c r="F7" s="9" t="s">
        <v>336</v>
      </c>
      <c r="G7" s="11">
        <v>3</v>
      </c>
      <c r="H7" s="9" t="s">
        <v>74</v>
      </c>
      <c r="I7" s="16" t="s">
        <v>341</v>
      </c>
    </row>
    <row r="8" spans="1:10" s="2" customFormat="1" ht="40.5">
      <c r="B8" s="8" t="s">
        <v>339</v>
      </c>
      <c r="C8" s="9" t="s">
        <v>22</v>
      </c>
      <c r="D8" s="10" t="s">
        <v>23</v>
      </c>
      <c r="E8" s="10" t="s">
        <v>30</v>
      </c>
      <c r="F8" s="9" t="s">
        <v>336</v>
      </c>
      <c r="G8" s="11">
        <v>1</v>
      </c>
      <c r="H8" s="9" t="s">
        <v>27</v>
      </c>
      <c r="I8" s="16" t="s">
        <v>342</v>
      </c>
    </row>
    <row r="9" spans="1:10" s="2" customFormat="1" ht="40.5">
      <c r="B9" s="8" t="s">
        <v>339</v>
      </c>
      <c r="C9" s="9" t="s">
        <v>22</v>
      </c>
      <c r="D9" s="10" t="s">
        <v>23</v>
      </c>
      <c r="E9" s="10" t="s">
        <v>30</v>
      </c>
      <c r="F9" s="9" t="s">
        <v>336</v>
      </c>
      <c r="G9" s="11">
        <v>5</v>
      </c>
      <c r="H9" s="9" t="s">
        <v>76</v>
      </c>
      <c r="I9" s="16" t="s">
        <v>343</v>
      </c>
    </row>
    <row r="10" spans="1:10" s="2" customFormat="1" ht="40.5">
      <c r="B10" s="8" t="s">
        <v>339</v>
      </c>
      <c r="C10" s="9" t="s">
        <v>22</v>
      </c>
      <c r="D10" s="10" t="s">
        <v>23</v>
      </c>
      <c r="E10" s="10" t="s">
        <v>30</v>
      </c>
      <c r="F10" s="9" t="s">
        <v>336</v>
      </c>
      <c r="G10" s="11">
        <v>27</v>
      </c>
      <c r="H10" s="9" t="s">
        <v>79</v>
      </c>
      <c r="I10" s="16" t="s">
        <v>344</v>
      </c>
    </row>
    <row r="11" spans="1:10" s="2" customFormat="1" ht="13.5">
      <c r="B11" s="8" t="s">
        <v>339</v>
      </c>
      <c r="C11" s="9" t="s">
        <v>28</v>
      </c>
      <c r="D11" s="10" t="s">
        <v>31</v>
      </c>
      <c r="E11" s="10" t="s">
        <v>33</v>
      </c>
      <c r="F11" s="9" t="s">
        <v>35</v>
      </c>
      <c r="G11" s="11">
        <v>2</v>
      </c>
      <c r="H11" s="9" t="s">
        <v>31</v>
      </c>
      <c r="I11" s="16" t="s">
        <v>345</v>
      </c>
    </row>
    <row r="12" spans="1:10" s="2" customFormat="1" ht="27">
      <c r="B12" s="8" t="s">
        <v>339</v>
      </c>
      <c r="C12" s="9" t="s">
        <v>28</v>
      </c>
      <c r="D12" s="10" t="s">
        <v>31</v>
      </c>
      <c r="E12" s="10" t="s">
        <v>33</v>
      </c>
      <c r="F12" s="9" t="s">
        <v>39</v>
      </c>
      <c r="G12" s="11">
        <v>0.5</v>
      </c>
      <c r="H12" s="9" t="s">
        <v>31</v>
      </c>
      <c r="I12" s="16" t="s">
        <v>346</v>
      </c>
    </row>
    <row r="13" spans="1:10" s="2" customFormat="1" ht="40.5">
      <c r="B13" s="8" t="s">
        <v>339</v>
      </c>
      <c r="C13" s="9" t="s">
        <v>22</v>
      </c>
      <c r="D13" s="10" t="s">
        <v>31</v>
      </c>
      <c r="E13" s="10" t="s">
        <v>30</v>
      </c>
      <c r="F13" s="9" t="s">
        <v>336</v>
      </c>
      <c r="G13" s="11">
        <v>1.5</v>
      </c>
      <c r="H13" s="9" t="s">
        <v>31</v>
      </c>
      <c r="I13" s="16" t="s">
        <v>347</v>
      </c>
    </row>
    <row r="14" spans="1:10" s="2" customFormat="1" ht="27">
      <c r="B14" s="8" t="s">
        <v>339</v>
      </c>
      <c r="C14" s="9" t="s">
        <v>45</v>
      </c>
      <c r="D14" s="10" t="s">
        <v>31</v>
      </c>
      <c r="E14" s="10" t="s">
        <v>33</v>
      </c>
      <c r="F14" s="9" t="s">
        <v>35</v>
      </c>
      <c r="G14" s="11">
        <v>1</v>
      </c>
      <c r="H14" s="9" t="s">
        <v>21</v>
      </c>
      <c r="I14" s="16" t="s">
        <v>348</v>
      </c>
    </row>
    <row r="15" spans="1:10" s="2" customFormat="1" ht="13.5">
      <c r="B15" s="8"/>
      <c r="C15" s="9"/>
      <c r="D15" s="10"/>
      <c r="E15" s="10"/>
      <c r="F15" s="9"/>
      <c r="G15" s="11"/>
      <c r="H15" s="9"/>
      <c r="I15" s="16"/>
    </row>
    <row r="16" spans="1:10"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2" t="s">
        <v>32</v>
      </c>
      <c r="C32" s="83"/>
      <c r="D32" s="84"/>
      <c r="E32" s="12"/>
      <c r="F32" s="12"/>
      <c r="G32" s="85">
        <f>SUM(G6:G31)</f>
        <v>45</v>
      </c>
      <c r="H32" s="86"/>
      <c r="I32" s="87"/>
    </row>
    <row r="35" spans="2:4">
      <c r="B35" s="17" t="s">
        <v>81</v>
      </c>
      <c r="C35" s="18" t="s">
        <v>350</v>
      </c>
    </row>
    <row r="36" spans="2:4">
      <c r="C36" s="77" t="s">
        <v>331</v>
      </c>
      <c r="D36" s="76"/>
    </row>
  </sheetData>
  <mergeCells count="4">
    <mergeCell ref="B1:I1"/>
    <mergeCell ref="B2:H2"/>
    <mergeCell ref="B32:D32"/>
    <mergeCell ref="G32:I32"/>
  </mergeCells>
  <phoneticPr fontId="9" type="noConversion"/>
  <dataValidations count="3">
    <dataValidation type="list" errorStyle="warning" allowBlank="1" sqref="C11: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D14:D31</xm:sqref>
        </x14:dataValidation>
        <x14:dataValidation type="list" allowBlank="1" showInputMessage="1" showErrorMessage="1" xr:uid="{00000000-0002-0000-0000-000007000000}">
          <x14:formula1>
            <xm:f>Tag!$B$2:$E$2</xm:f>
          </x14:formula1>
          <xm:sqref>E14:E31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0" t="s">
        <v>64</v>
      </c>
      <c r="L4" s="20" t="s">
        <v>65</v>
      </c>
      <c r="M4" s="20" t="s">
        <v>66</v>
      </c>
      <c r="N4" s="20" t="s">
        <v>67</v>
      </c>
    </row>
    <row r="5" spans="2:14" ht="108.5" outlineLevel="1">
      <c r="C5" s="21" t="s">
        <v>100</v>
      </c>
      <c r="D5" s="110" t="s">
        <v>101</v>
      </c>
      <c r="E5" s="103"/>
      <c r="F5" s="22" t="s">
        <v>102</v>
      </c>
      <c r="G5" s="21" t="s">
        <v>103</v>
      </c>
      <c r="H5" s="21" t="s">
        <v>104</v>
      </c>
      <c r="I5" s="21" t="s">
        <v>105</v>
      </c>
      <c r="J5" s="21" t="s">
        <v>106</v>
      </c>
      <c r="K5" s="111" t="s">
        <v>107</v>
      </c>
      <c r="L5" s="111"/>
      <c r="M5" s="111"/>
      <c r="N5" s="111"/>
    </row>
    <row r="6" spans="2:14" s="23" customFormat="1" ht="201.5"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17"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77.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263.5"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55"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170.5">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10"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5"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39.5"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2025-05-06T09:38:17Z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