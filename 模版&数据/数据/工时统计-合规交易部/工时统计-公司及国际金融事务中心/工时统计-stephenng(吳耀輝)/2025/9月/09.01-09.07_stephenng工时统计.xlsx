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D4F5A269-5428-4A7B-8777-4EB3520776E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<sst xmlns="http://schemas.openxmlformats.org/spreadsheetml/2006/main" count="572" uniqueCount="342">
  <si>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</si>
  <si>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</si>
  <si>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</si>
  <si>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</si>
  <si>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</si>
  <si>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</si>
  <si>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</si>
  <si>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</si>
  <si>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</si>
  <si>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</si>
  <si>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</si>
  <si>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</si>
  <si>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</si>
  <si>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</si>
  <si>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</si>
  <si>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</si>
  <si>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</si>
  <si>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</si>
  <si>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</si>
  <si>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</si>
  <si>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</si>
  <si>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</si>
  <si>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</si>
  <si>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</si>
  <si>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</si>
  <si>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</si>
  <si>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</si>
  <si>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</si>
  <si>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</si>
  <si>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</si>
  <si>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</si>
  <si>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</si>
  <si>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</si>
  <si>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</si>
  <si>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</si>
  <si>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</si>
  <si>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</si>
  <si>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</si>
  <si>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</si>
  <si>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</si>
  <si>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</si>
  <si>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</si>
  <si>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</si>
  <si>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</si>
  <si>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</si>
  <si>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</si>
  <si>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</si>
  <si>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</si>
  <si>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</si>
  <si>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</si>
  <si>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</si>
  <si>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</si>
  <si>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</si>
  <si>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</si>
  <si>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</si>
  <si>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</si>
  <si>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</si>
  <si>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</si>
  <si>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</si>
  <si>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</si>
  <si>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</si>
  <si>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</si>
  <si>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</si>
  <si>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</si>
  <si>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</si>
  <si>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</si>
  <si>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</si>
  <si>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</si>
  <si>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</si>
  <si>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</si>
  <si>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</si>
  <si>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</si>
  <si>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</si>
  <si>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</si>
  <si>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</si>
  <si>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</si>
  <si>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</si>
  <si>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</si>
  <si>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</si>
  <si>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</si>
  <si>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</si>
  <si>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</si>
  <si>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</si>
  <si>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</si>
  <si>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</si>
  <si>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</si>
  <si>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</si>
  <si>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</si>
  <si>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</si>
  <si>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</si>
  <si>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</si>
  <si>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</si>
  <si>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</si>
  <si>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</si>
  <si>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</si>
  <si>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</si>
  <si>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</si>
  <si>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</si>
  <si>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</si>
  <si>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</si>
  <si>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</si>
  <si>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</si>
  <si>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</si>
  <si>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</si>
  <si>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</si>
  <si>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</si>
  <si>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</si>
  <si>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</si>
  <si>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</si>
  <si>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</si>
  <si>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</si>
  <si>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</si>
  <si>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</si>
  <si>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</si>
  <si>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</si>
  <si>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</si>
  <si>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</si>
  <si>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</si>
  <si>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</si>
  <si>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</si>
  <si>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</si>
  <si>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</si>
  <si>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</si>
  <si>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</si>
  <si>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</si>
  <si>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</si>
  <si>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</si>
  <si>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</si>
  <si>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</si>
  <si>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</si>
  <si>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</si>
  <si>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</si>
  <si>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</si>
  <si>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</si>
  <si>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</si>
  <si>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</si>
  <si>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</si>
  <si>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</si>
  <si>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</si>
  <si>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</si>
  <si>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</si>
  <si>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</si>
  <si>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</si>
  <si>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</si>
  <si>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</si>
  <si>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</si>
  <si>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</si>
  <si>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</si>
  <si>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</si>
  <si>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</si>
  <si>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</si>
  <si>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</si>
  <si>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</si>
  <si>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</si>
  <si>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</si>
  <si>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</si>
  <si>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</si>
  <si>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</si>
  <si>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</si>
  <si>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</si>
  <si>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</si>
  <si>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</si>
  <si>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</si>
  <si>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</si>
  <si>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</si>
  <si>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</si>
  <si>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</si>
  <si>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</si>
  <si>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</si>
  <si>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</si>
  <si>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</si>
  <si>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</si>
  <si>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</si>
  <si>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</si>
  <si>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</si>
  <si>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</si>
  <si>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</si>
  <si>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</si>
  <si>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</si>
  <si>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</si>
  <si>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</si>
  <si>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</si>
  <si>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</si>
  <si>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</si>
  <si>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</si>
  <si>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</si>
  <si>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</si>
  <si>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</si>
  <si>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</si>
  <si>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</si>
  <si>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</si>
  <si>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</si>
  <si>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</si>
  <si>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</si>
  <si>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</si>
  <si>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</si>
  <si>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</si>
  <si>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</si>
  <si>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</si>
  <si>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</si>
  <si>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</si>
  <si>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</si>
  <si>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</si>
  <si>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</si>
  <si>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</si>
  <si>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</si>
  <si>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</si>
  <si>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</si>
  <si>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</si>
  <si>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</si>
  <si>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</si>
  <si>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</si>
  <si>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</si>
  <si>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</si>
  <si>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</si>
  <si>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</si>
  <si>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</si>
  <si>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</si>
  <si>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</si>
  <si>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</si>
  <si>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</si>
  <si>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</si>
  <si>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</si>
  <si>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</si>
  <si>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</si>
  <si>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</si>
  <si>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</si>
  <si>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</si>
  <si>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</si>
  <si>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</si>
  <si>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</si>
  <si>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</si>
  <si>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</si>
  <si>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</si>
  <si>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</si>
  <si>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</si>
  <si>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</si>
  <si>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</si>
  <si>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</si>
  <si>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</si>
  <si>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</si>
  <si>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</si>
  <si>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</si>
  <si>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</si>
  <si>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</si>
  <si>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</si>
  <si>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</si>
  <si>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</si>
  <si>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</si>
  <si>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</si>
  <si>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</si>
  <si>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</si>
  <si>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</si>
  <si>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</si>
  <si>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</si>
  <si>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</si>
  <si>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</si>
  <si>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</si>
  <si>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</si>
  <si>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</si>
  <si>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</si>
  <si>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</si>
  <si>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</si>
  <si>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</si>
  <si>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</si>
  <si>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</si>
  <si>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</si>
  <si>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</si>
  <si>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</si>
  <si>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</si>
  <si>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</si>
  <si>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</si>
  <si>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</si>
  <si>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</si>
  <si>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</si>
  <si>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</si>
  <si>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</si>
  <si>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</si>
  <si>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</si>
  <si>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</si>
  <si>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</si>
  <si>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</si>
  <si>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</si>
  <si>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</si>
  <si>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</si>
  <si>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</si>
  <si>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</si>
  <si>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</si>
  <si>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</si>
  <si>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</si>
  <si>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</si>
  <si>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</si>
  <si>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</si>
  <si>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</si>
  <si>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</si>
  <si>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</si>
  <si>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</si>
  <si>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</si>
  <si>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</si>
  <si>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</si>
  <si>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</si>
  <si>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</si>
  <si>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</si>
  <si>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</si>
  <si>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</si>
  <si>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</si>
  <si>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</si>
  <si>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</si>
  <si>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</si>
  <si>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</si>
  <si>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</si>
  <si>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</si>
  <si>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</si>
  <si>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</si>
  <si>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</si>
  <si>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</si>
  <si>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</si>
  <si>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</si>
  <si>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</si>
  <si>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</si>
  <si>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</si>
  <si>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</si>
  <si>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</si>
  <si>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</si>
  <si>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</si>
  <si>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</si>
  <si>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</si>
  <si>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</si>
  <si>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</si>
  <si>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</si>
  <si>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</si>
  <si>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</si>
  <si>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</si>
  <si>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</si>
  <si>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</si>
  <si>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</si>
  <si>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</si>
  <si>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</si>
  <si>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</si>
  <si>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</si>
  <si>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</si>
  <si>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-09-01 </t>
    </r>
    <r>
      <rPr>
        <b/>
        <sz val="10"/>
        <color theme="0"/>
        <rFont val="新細明體"/>
        <family val="1"/>
        <charset val="136"/>
      </rPr>
      <t xml:space="preserve">- </t>
    </r>
    <r>
      <rPr>
        <b/>
        <sz val="10"/>
        <color theme="0"/>
        <rFont val="新細明體"/>
        <family val="2"/>
        <scheme val="minor"/>
      </rPr>
      <t>2025-09-05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</si>
</sst>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21" zoomScale="160" zoomScaleNormal="160" workbookViewId="0">
      <selection activeCell="Q10" sqref="Q10"/>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51</v>
      </c>
      <c r="E7" s="10" t="s">
        <v>30</v>
      </c>
      <c r="F7" s="9" t="s">
        <v>323</v>
      </c>
      <c r="G7" s="11">
        <v>2.5</v>
      </c>
      <c r="H7" s="9" t="s">
        <v>73</v>
      </c>
      <c r="I7" s="16"/>
    </row>
    <row r="8" spans="1:9" s="2" customFormat="1" ht="54">
      <c r="B8" s="8" t="s">
        <v>340</v>
      </c>
      <c r="C8" s="81" t="s">
        <v>22</v>
      </c>
      <c r="D8" s="82" t="s">
        <v>59</v>
      </c>
      <c r="E8" s="82" t="s">
        <v>30</v>
      </c>
      <c r="F8" s="81" t="s">
        <v>337</v>
      </c>
      <c r="G8" s="83">
        <v>1.5</v>
      </c>
      <c r="H8" s="9" t="s">
        <v>73</v>
      </c>
      <c r="I8" s="16"/>
    </row>
    <row r="9" spans="1:9" s="2" customFormat="1" ht="27">
      <c r="B9" s="8" t="s">
        <v>340</v>
      </c>
      <c r="C9" s="9" t="s">
        <v>44</v>
      </c>
      <c r="D9" s="10" t="s">
        <v>51</v>
      </c>
      <c r="E9" s="10" t="s">
        <v>30</v>
      </c>
      <c r="F9" s="9" t="s">
        <v>323</v>
      </c>
      <c r="G9" s="11">
        <v>1</v>
      </c>
      <c r="H9" s="9" t="s">
        <v>27</v>
      </c>
      <c r="I9" s="16"/>
    </row>
    <row r="10" spans="1:9" s="2" customFormat="1" ht="54">
      <c r="B10" s="8" t="s">
        <v>340</v>
      </c>
      <c r="C10" s="9" t="s">
        <v>22</v>
      </c>
      <c r="D10" s="10" t="s">
        <v>59</v>
      </c>
      <c r="E10" s="10" t="s">
        <v>30</v>
      </c>
      <c r="F10" s="9" t="s">
        <v>337</v>
      </c>
      <c r="G10" s="11">
        <v>1</v>
      </c>
      <c r="H10" s="9" t="s">
        <v>27</v>
      </c>
      <c r="I10" s="16"/>
    </row>
    <row r="11" spans="1:9" s="2" customFormat="1" ht="54">
      <c r="B11" s="80" t="s">
        <v>340</v>
      </c>
      <c r="C11" s="81" t="s">
        <v>22</v>
      </c>
      <c r="D11" s="82" t="s">
        <v>23</v>
      </c>
      <c r="E11" s="82" t="s">
        <v>30</v>
      </c>
      <c r="F11" s="81" t="s">
        <v>337</v>
      </c>
      <c r="G11" s="83">
        <v>3</v>
      </c>
      <c r="H11" s="9" t="s">
        <v>24</v>
      </c>
      <c r="I11" s="16"/>
    </row>
    <row r="12" spans="1:9" s="2" customFormat="1" ht="27">
      <c r="B12" s="80" t="s">
        <v>340</v>
      </c>
      <c r="C12" s="9" t="s">
        <v>44</v>
      </c>
      <c r="D12" s="10" t="s">
        <v>51</v>
      </c>
      <c r="E12" s="10" t="s">
        <v>30</v>
      </c>
      <c r="F12" s="9" t="s">
        <v>323</v>
      </c>
      <c r="G12" s="11">
        <v>3.5</v>
      </c>
      <c r="H12" s="9" t="s">
        <v>73</v>
      </c>
      <c r="I12" s="16"/>
    </row>
    <row r="13" spans="1:9" s="2" customFormat="1" ht="54">
      <c r="B13" s="8" t="s">
        <v>340</v>
      </c>
      <c r="C13" s="81" t="s">
        <v>22</v>
      </c>
      <c r="D13" s="82" t="s">
        <v>23</v>
      </c>
      <c r="E13" s="82" t="s">
        <v>30</v>
      </c>
      <c r="F13" s="81" t="s">
        <v>337</v>
      </c>
      <c r="G13" s="83">
        <v>2.5</v>
      </c>
      <c r="H13" s="9" t="s">
        <v>27</v>
      </c>
      <c r="I13" s="16"/>
    </row>
    <row r="14" spans="1:9" s="2" customFormat="1" ht="54">
      <c r="B14" s="8" t="s">
        <v>340</v>
      </c>
      <c r="C14" s="81" t="s">
        <v>22</v>
      </c>
      <c r="D14" s="82" t="s">
        <v>23</v>
      </c>
      <c r="E14" s="82" t="s">
        <v>30</v>
      </c>
      <c r="F14" s="81" t="s">
        <v>337</v>
      </c>
      <c r="G14" s="83">
        <v>1</v>
      </c>
      <c r="H14" s="9" t="s">
        <v>24</v>
      </c>
      <c r="I14" s="16"/>
    </row>
    <row r="15" spans="1:9" s="2" customFormat="1" ht="54">
      <c r="B15" s="80" t="s">
        <v>340</v>
      </c>
      <c r="C15" s="9" t="s">
        <v>22</v>
      </c>
      <c r="D15" s="10" t="s">
        <v>58</v>
      </c>
      <c r="E15" s="10" t="s">
        <v>30</v>
      </c>
      <c r="F15" s="9" t="s">
        <v>337</v>
      </c>
      <c r="G15" s="11">
        <v>3.5</v>
      </c>
      <c r="H15" s="9" t="s">
        <v>76</v>
      </c>
      <c r="I15" s="16"/>
    </row>
    <row r="16" spans="1:9" s="2" customFormat="1" ht="40.5">
      <c r="B16" s="8" t="s">
        <v>340</v>
      </c>
      <c r="C16" s="9" t="s">
        <v>28</v>
      </c>
      <c r="D16" s="10" t="s">
        <v>31</v>
      </c>
      <c r="E16" s="10" t="s">
        <v>33</v>
      </c>
      <c r="F16" s="9" t="s">
        <v>39</v>
      </c>
      <c r="G16" s="11">
        <v>3</v>
      </c>
      <c r="H16" s="9" t="s">
        <v>77</v>
      </c>
      <c r="I16" s="16"/>
    </row>
    <row r="17" spans="2:9" s="2" customFormat="1" ht="54">
      <c r="B17" s="8" t="s">
        <v>340</v>
      </c>
      <c r="C17" s="9" t="s">
        <v>22</v>
      </c>
      <c r="D17" s="10" t="s">
        <v>59</v>
      </c>
      <c r="E17" s="10" t="s">
        <v>30</v>
      </c>
      <c r="F17" s="9" t="s">
        <v>337</v>
      </c>
      <c r="G17" s="11">
        <v>0.5</v>
      </c>
      <c r="H17" s="9" t="s">
        <v>27</v>
      </c>
      <c r="I17" s="16"/>
    </row>
    <row r="18" spans="2:9" s="2" customFormat="1" ht="27">
      <c r="B18" s="8" t="s">
        <v>340</v>
      </c>
      <c r="C18" s="9" t="s">
        <v>44</v>
      </c>
      <c r="D18" s="10" t="s">
        <v>51</v>
      </c>
      <c r="E18" s="10" t="s">
        <v>30</v>
      </c>
      <c r="F18" s="9" t="s">
        <v>323</v>
      </c>
      <c r="G18" s="11">
        <v>5</v>
      </c>
      <c r="H18" s="9" t="s">
        <v>73</v>
      </c>
      <c r="I18" s="16"/>
    </row>
    <row r="19" spans="2:9" s="2" customFormat="1" ht="54">
      <c r="B19" s="80" t="s">
        <v>340</v>
      </c>
      <c r="C19" s="81" t="s">
        <v>22</v>
      </c>
      <c r="D19" s="82" t="s">
        <v>23</v>
      </c>
      <c r="E19" s="82" t="s">
        <v>30</v>
      </c>
      <c r="F19" s="81" t="s">
        <v>337</v>
      </c>
      <c r="G19" s="83">
        <v>1</v>
      </c>
      <c r="H19" s="9" t="s">
        <v>27</v>
      </c>
      <c r="I19" s="16"/>
    </row>
    <row r="20" spans="2:9" s="2" customFormat="1" ht="54">
      <c r="B20" s="8" t="s">
        <v>340</v>
      </c>
      <c r="C20" s="9" t="s">
        <v>22</v>
      </c>
      <c r="D20" s="10" t="s">
        <v>59</v>
      </c>
      <c r="E20" s="10" t="s">
        <v>30</v>
      </c>
      <c r="F20" s="9" t="s">
        <v>337</v>
      </c>
      <c r="G20" s="11">
        <v>0.5</v>
      </c>
      <c r="H20" s="9" t="s">
        <v>27</v>
      </c>
      <c r="I20" s="16"/>
    </row>
    <row r="21" spans="2:9" s="2" customFormat="1" ht="54">
      <c r="B21" s="8" t="s">
        <v>340</v>
      </c>
      <c r="C21" s="9" t="s">
        <v>22</v>
      </c>
      <c r="D21" s="10" t="s">
        <v>58</v>
      </c>
      <c r="E21" s="10" t="s">
        <v>30</v>
      </c>
      <c r="F21" s="9" t="s">
        <v>337</v>
      </c>
      <c r="G21" s="11">
        <v>0.5</v>
      </c>
      <c r="H21" s="9" t="s">
        <v>73</v>
      </c>
      <c r="I21" s="16"/>
    </row>
    <row r="22" spans="2:9" s="2" customFormat="1" ht="27">
      <c r="B22" s="8" t="s">
        <v>340</v>
      </c>
      <c r="C22" s="9" t="s">
        <v>28</v>
      </c>
      <c r="D22" s="10" t="s">
        <v>31</v>
      </c>
      <c r="E22" s="10" t="s">
        <v>33</v>
      </c>
      <c r="F22" s="9" t="s">
        <v>35</v>
      </c>
      <c r="G22" s="11">
        <v>1.5</v>
      </c>
      <c r="H22" s="9" t="s">
        <v>75</v>
      </c>
      <c r="I22" s="16"/>
    </row>
    <row r="23" spans="2:9" s="2" customFormat="1" ht="54">
      <c r="B23" s="80" t="s">
        <v>340</v>
      </c>
      <c r="C23" s="81" t="s">
        <v>22</v>
      </c>
      <c r="D23" s="82" t="s">
        <v>23</v>
      </c>
      <c r="E23" s="82" t="s">
        <v>30</v>
      </c>
      <c r="F23" s="81" t="s">
        <v>337</v>
      </c>
      <c r="G23" s="83">
        <v>1</v>
      </c>
      <c r="H23" s="9" t="s">
        <v>27</v>
      </c>
      <c r="I23" s="16"/>
    </row>
    <row r="24" spans="2:9" s="2" customFormat="1" ht="54">
      <c r="B24" s="80" t="s">
        <v>340</v>
      </c>
      <c r="C24" s="81" t="s">
        <v>22</v>
      </c>
      <c r="D24" s="82" t="s">
        <v>23</v>
      </c>
      <c r="E24" s="82" t="s">
        <v>30</v>
      </c>
      <c r="F24" s="81" t="s">
        <v>337</v>
      </c>
      <c r="G24" s="83">
        <v>3</v>
      </c>
      <c r="H24" s="9" t="s">
        <v>73</v>
      </c>
      <c r="I24" s="16"/>
    </row>
    <row r="25" spans="2:9" s="2" customFormat="1" ht="54">
      <c r="B25" s="8" t="s">
        <v>340</v>
      </c>
      <c r="C25" s="9" t="s">
        <v>22</v>
      </c>
      <c r="D25" s="10" t="s">
        <v>59</v>
      </c>
      <c r="E25" s="10" t="s">
        <v>30</v>
      </c>
      <c r="F25" s="9" t="s">
        <v>337</v>
      </c>
      <c r="G25" s="11">
        <v>0.5</v>
      </c>
      <c r="H25" s="9" t="s">
        <v>27</v>
      </c>
      <c r="I25" s="16"/>
    </row>
    <row r="26" spans="2:9" s="2" customFormat="1" ht="54">
      <c r="B26" s="80" t="s">
        <v>340</v>
      </c>
      <c r="C26" s="81" t="s">
        <v>22</v>
      </c>
      <c r="D26" s="82" t="s">
        <v>23</v>
      </c>
      <c r="E26" s="82" t="s">
        <v>30</v>
      </c>
      <c r="F26" s="81" t="s">
        <v>337</v>
      </c>
      <c r="G26" s="83">
        <v>1.5</v>
      </c>
      <c r="H26" s="9" t="s">
        <v>73</v>
      </c>
      <c r="I26" s="16"/>
    </row>
    <row r="27" spans="2:9" s="2" customFormat="1" ht="27">
      <c r="B27" s="8" t="s">
        <v>340</v>
      </c>
      <c r="C27" s="9" t="s">
        <v>44</v>
      </c>
      <c r="D27" s="10" t="s">
        <v>51</v>
      </c>
      <c r="E27" s="10" t="s">
        <v>30</v>
      </c>
      <c r="F27" s="9" t="s">
        <v>323</v>
      </c>
      <c r="G27" s="11">
        <v>3</v>
      </c>
      <c r="H27" s="9" t="s">
        <v>73</v>
      </c>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4" thickBot="1">
      <c r="B31" s="88" t="s">
        <v>32</v>
      </c>
      <c r="C31" s="89"/>
      <c r="D31" s="90"/>
      <c r="E31" s="12"/>
      <c r="F31" s="12"/>
      <c r="G31" s="76">
        <f>SUM(G6:G30)</f>
        <v>41</v>
      </c>
      <c r="H31" s="77"/>
      <c r="I31" s="78"/>
    </row>
    <row r="32" spans="2:9" s="2" customFormat="1" ht="15" thickTop="1">
      <c r="B32"/>
      <c r="C32" s="1"/>
      <c r="D32"/>
      <c r="E32"/>
      <c r="F32"/>
      <c r="G32"/>
      <c r="H32"/>
      <c r="I32"/>
    </row>
    <row r="33" spans="2:9" s="2" customFormat="1">
      <c r="B33"/>
      <c r="C33" s="1"/>
      <c r="D33"/>
      <c r="E33"/>
      <c r="F33"/>
      <c r="G33"/>
      <c r="H33"/>
      <c r="I33"/>
    </row>
    <row r="34" spans="2:9" s="2" customFormat="1" ht="29">
      <c r="B34" s="17" t="s">
        <v>81</v>
      </c>
      <c r="C34" s="18" t="s">
        <v>331</v>
      </c>
      <c r="D34" s="75"/>
      <c r="E34"/>
      <c r="F34"/>
      <c r="G34"/>
      <c r="H34"/>
      <c r="I34"/>
    </row>
    <row r="35" spans="2:9" s="2" customFormat="1" ht="29">
      <c r="B35"/>
      <c r="C35" s="18" t="s">
        <v>332</v>
      </c>
      <c r="D35"/>
      <c r="E35" s="79"/>
      <c r="F35"/>
      <c r="G35"/>
      <c r="H35"/>
      <c r="I35"/>
    </row>
    <row r="36" spans="2:9" s="2" customFormat="1">
      <c r="B36"/>
      <c r="C36" s="1"/>
      <c r="D36"/>
      <c r="E36"/>
      <c r="F36"/>
      <c r="G36"/>
      <c r="H36"/>
      <c r="I36"/>
    </row>
    <row r="37" spans="2:9" s="2" customFormat="1" ht="14.5" customHeight="1">
      <c r="B37"/>
      <c r="C37" s="1"/>
      <c r="D37"/>
      <c r="E37"/>
      <c r="F37"/>
      <c r="G37"/>
      <c r="H37"/>
      <c r="I37"/>
    </row>
  </sheetData>
  <mergeCells count="3">
    <mergeCell ref="B1:I1"/>
    <mergeCell ref="B2:H2"/>
    <mergeCell ref="B31:D31"/>
  </mergeCells>
  <phoneticPr fontId="10" type="noConversion"/>
  <dataValidations count="3">
    <dataValidation type="list" errorStyle="warning" allowBlank="1" sqref="C9:C10 C20:C22 C6:C7 C12 C15:C18 C25 C27:C30" xr:uid="{00000000-0002-0000-0000-000005000000}">
      <formula1>项目事项分类项目名称</formula1>
    </dataValidation>
    <dataValidation type="list" allowBlank="1" showInputMessage="1" showErrorMessage="1" sqref="F9:F10 F20:F22 F12 F15:F18 F25 F27:F30 F6:F7"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D9:D10 D20:D22 D12 D15:D18 D25 D27:D30 D6:D7</xm:sqref>
        </x14:dataValidation>
        <x14:dataValidation type="list" allowBlank="1" showInputMessage="1" showErrorMessage="1" xr:uid="{00000000-0002-0000-0000-000007000000}">
          <x14:formula1>
            <xm:f>Tag!$B$2:$E$2</xm:f>
          </x14:formula1>
          <xm:sqref>E9:E10 E20:E22 E12 E15:E18 E25 E27:E30 E6:E7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2025-10-02T04:03:59Z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