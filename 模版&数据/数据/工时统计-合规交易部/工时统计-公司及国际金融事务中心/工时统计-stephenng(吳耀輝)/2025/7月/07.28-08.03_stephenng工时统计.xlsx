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8C0658E1-AB3B-4AF6-A448-8D04CC9250C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<sst xmlns="http://schemas.openxmlformats.org/spreadsheetml/2006/main" count="668" uniqueCount="342">
  <si>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</si>
  <si>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</si>
  <si>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</si>
  <si>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</si>
  <si>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</si>
  <si>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</si>
  <si>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</si>
  <si>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</si>
  <si>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</si>
  <si>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</si>
  <si>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</si>
  <si>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</si>
  <si>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</si>
  <si>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</si>
  <si>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</si>
  <si>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</si>
  <si>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</si>
  <si>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</si>
  <si>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</si>
  <si>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</si>
  <si>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</si>
  <si>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</si>
  <si>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</si>
  <si>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</si>
  <si>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</si>
  <si>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</si>
  <si>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</si>
  <si>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</si>
  <si>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</si>
  <si>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</si>
  <si>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</si>
  <si>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</si>
  <si>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</si>
  <si>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</si>
  <si>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</si>
  <si>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</si>
  <si>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</si>
  <si>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</si>
  <si>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</si>
  <si>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</si>
  <si>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</si>
  <si>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</si>
  <si>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</si>
  <si>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</si>
  <si>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</si>
  <si>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</si>
  <si>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</si>
  <si>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</si>
  <si>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</si>
  <si>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</si>
  <si>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</si>
  <si>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</si>
  <si>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</si>
  <si>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</si>
  <si>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</si>
  <si>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</si>
  <si>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</si>
  <si>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</si>
  <si>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</si>
  <si>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</si>
  <si>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</si>
  <si>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</si>
  <si>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</si>
  <si>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</si>
  <si>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</si>
  <si>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</si>
  <si>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</si>
  <si>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</si>
  <si>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</si>
  <si>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</si>
  <si>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</si>
  <si>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</si>
  <si>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</si>
  <si>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</si>
  <si>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</si>
  <si>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</si>
  <si>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</si>
  <si>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</si>
  <si>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</si>
  <si>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</si>
  <si>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</si>
  <si>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</si>
  <si>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</si>
  <si>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</si>
  <si>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</si>
  <si>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</si>
  <si>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</si>
  <si>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</si>
  <si>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</si>
  <si>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</si>
  <si>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</si>
  <si>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</si>
  <si>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</si>
  <si>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</si>
  <si>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</si>
  <si>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</si>
  <si>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</si>
  <si>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</si>
  <si>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</si>
  <si>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</si>
  <si>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</si>
  <si>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</si>
  <si>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</si>
  <si>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</si>
  <si>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</si>
  <si>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</si>
  <si>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</si>
  <si>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</si>
  <si>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</si>
  <si>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</si>
  <si>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</si>
  <si>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</si>
  <si>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</si>
  <si>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</si>
  <si>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</si>
  <si>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</si>
  <si>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</si>
  <si>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</si>
  <si>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</si>
  <si>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</si>
  <si>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</si>
  <si>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</si>
  <si>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</si>
  <si>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</si>
  <si>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</si>
  <si>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</si>
  <si>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</si>
  <si>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</si>
  <si>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</si>
  <si>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</si>
  <si>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</si>
  <si>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</si>
  <si>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</si>
  <si>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</si>
  <si>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</si>
  <si>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</si>
  <si>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</si>
  <si>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</si>
  <si>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</si>
  <si>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</si>
  <si>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</si>
  <si>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</si>
  <si>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</si>
  <si>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</si>
  <si>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</si>
  <si>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</si>
  <si>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</si>
  <si>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</si>
  <si>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</si>
  <si>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</si>
  <si>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</si>
  <si>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</si>
  <si>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</si>
  <si>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</si>
  <si>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</si>
  <si>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</si>
  <si>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</si>
  <si>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</si>
  <si>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</si>
  <si>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</si>
  <si>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</si>
  <si>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</si>
  <si>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</si>
  <si>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</si>
  <si>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</si>
  <si>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</si>
  <si>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</si>
  <si>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</si>
  <si>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</si>
  <si>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</si>
  <si>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</si>
  <si>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</si>
  <si>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</si>
  <si>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</si>
  <si>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</si>
  <si>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</si>
  <si>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</si>
  <si>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</si>
  <si>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</si>
  <si>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</si>
  <si>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</si>
  <si>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</si>
  <si>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</si>
  <si>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</si>
  <si>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</si>
  <si>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</si>
  <si>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</si>
  <si>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</si>
  <si>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</si>
  <si>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</si>
  <si>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</si>
  <si>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</si>
  <si>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</si>
  <si>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</si>
  <si>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</si>
  <si>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</si>
  <si>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</si>
  <si>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</si>
  <si>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</si>
  <si>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</si>
  <si>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</si>
  <si>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</si>
  <si>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</si>
  <si>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</si>
  <si>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</si>
  <si>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</si>
  <si>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</si>
  <si>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</si>
  <si>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</si>
  <si>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</si>
  <si>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</si>
  <si>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</si>
  <si>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</si>
  <si>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</si>
  <si>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</si>
  <si>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</si>
  <si>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</si>
  <si>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</si>
  <si>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</si>
  <si>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</si>
  <si>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</si>
  <si>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</si>
  <si>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</si>
  <si>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</si>
  <si>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</si>
  <si>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</si>
  <si>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</si>
  <si>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</si>
  <si>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</si>
  <si>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</si>
  <si>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</si>
  <si>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</si>
  <si>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</si>
  <si>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</si>
  <si>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</si>
  <si>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</si>
  <si>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</si>
  <si>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</si>
  <si>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</si>
  <si>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</si>
  <si>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</si>
  <si>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</si>
  <si>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</si>
  <si>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</si>
  <si>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</si>
  <si>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</si>
  <si>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</si>
  <si>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</si>
  <si>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</si>
  <si>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</si>
  <si>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</si>
  <si>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</si>
  <si>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</si>
  <si>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</si>
  <si>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</si>
  <si>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</si>
  <si>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</si>
  <si>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</si>
  <si>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</si>
  <si>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</si>
  <si>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</si>
  <si>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</si>
  <si>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</si>
  <si>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</si>
  <si>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</si>
  <si>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</si>
  <si>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</si>
  <si>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</si>
  <si>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</si>
  <si>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</si>
  <si>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</si>
  <si>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</si>
  <si>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</si>
  <si>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</si>
  <si>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</si>
  <si>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</si>
  <si>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</si>
  <si>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</si>
  <si>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</si>
  <si>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</si>
  <si>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</si>
  <si>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</si>
  <si>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</si>
  <si>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</si>
  <si>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</si>
  <si>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</si>
  <si>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</si>
  <si>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</si>
  <si>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</si>
  <si>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</si>
  <si>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</si>
  <si>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</si>
  <si>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</si>
  <si>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</si>
  <si>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</si>
  <si>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</si>
  <si>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</si>
  <si>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</si>
  <si>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</si>
  <si>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</si>
  <si>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</si>
  <si>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</si>
  <si>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</si>
  <si>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</si>
  <si>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</si>
  <si>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</si>
  <si>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</si>
  <si>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</si>
  <si>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</si>
  <si>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</si>
  <si>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</si>
  <si>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</si>
  <si>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</si>
  <si>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</si>
  <si>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</si>
  <si>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</si>
  <si>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</si>
  <si>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</si>
  <si>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</si>
  <si>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</si>
  <si>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</si>
  <si>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</si>
  <si>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</si>
  <si>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</si>
  <si>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</si>
  <si>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</si>
  <si>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</si>
  <si>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</si>
  <si>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</si>
  <si>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</si>
  <si>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</si>
  <si>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</si>
  <si>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</si>
  <si>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</si>
  <si>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</si>
  <si>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</si>
  <si>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</si>
  <si>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</si>
  <si>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</si>
  <si>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</si>
  <si>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</si>
  <si>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-07-28 </t>
    </r>
    <r>
      <rPr>
        <b/>
        <sz val="10"/>
        <color theme="0"/>
        <rFont val="新細明體"/>
        <family val="1"/>
        <charset val="136"/>
      </rPr>
      <t xml:space="preserve">- </t>
    </r>
    <r>
      <rPr>
        <b/>
        <sz val="10"/>
        <color theme="0"/>
        <rFont val="新細明體"/>
        <family val="2"/>
        <scheme val="minor"/>
      </rPr>
      <t>2025-08-01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</si>
</sst>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37" zoomScale="95" zoomScaleNormal="95" workbookViewId="0">
      <selection activeCell="R52" sqref="R52"/>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0" t="s">
        <v>340</v>
      </c>
      <c r="C7" s="81" t="s">
        <v>22</v>
      </c>
      <c r="D7" s="82" t="s">
        <v>23</v>
      </c>
      <c r="E7" s="82" t="s">
        <v>30</v>
      </c>
      <c r="F7" s="81" t="s">
        <v>337</v>
      </c>
      <c r="G7" s="83">
        <v>1</v>
      </c>
      <c r="H7" s="9" t="s">
        <v>27</v>
      </c>
      <c r="I7" s="16"/>
    </row>
    <row r="8" spans="1:9" s="2" customFormat="1" ht="54">
      <c r="B8" s="8" t="s">
        <v>340</v>
      </c>
      <c r="C8" s="9" t="s">
        <v>22</v>
      </c>
      <c r="D8" s="10" t="s">
        <v>58</v>
      </c>
      <c r="E8" s="10" t="s">
        <v>30</v>
      </c>
      <c r="F8" s="9" t="s">
        <v>337</v>
      </c>
      <c r="G8" s="11">
        <v>1.5</v>
      </c>
      <c r="H8" s="9" t="s">
        <v>73</v>
      </c>
      <c r="I8" s="16"/>
    </row>
    <row r="9" spans="1:9" s="2" customFormat="1" ht="54">
      <c r="B9" s="8" t="s">
        <v>340</v>
      </c>
      <c r="C9" s="9" t="s">
        <v>22</v>
      </c>
      <c r="D9" s="10" t="s">
        <v>58</v>
      </c>
      <c r="E9" s="10" t="s">
        <v>30</v>
      </c>
      <c r="F9" s="9" t="s">
        <v>337</v>
      </c>
      <c r="G9" s="11">
        <v>1</v>
      </c>
      <c r="H9" s="9" t="s">
        <v>27</v>
      </c>
      <c r="I9" s="16"/>
    </row>
    <row r="10" spans="1:9" s="2" customFormat="1" ht="54">
      <c r="B10" s="80" t="s">
        <v>340</v>
      </c>
      <c r="C10" s="81" t="s">
        <v>22</v>
      </c>
      <c r="D10" s="82" t="s">
        <v>23</v>
      </c>
      <c r="E10" s="82" t="s">
        <v>30</v>
      </c>
      <c r="F10" s="81" t="s">
        <v>337</v>
      </c>
      <c r="G10" s="83">
        <v>2.5</v>
      </c>
      <c r="H10" s="9" t="s">
        <v>27</v>
      </c>
      <c r="I10" s="16"/>
    </row>
    <row r="11" spans="1:9" s="2" customFormat="1" ht="54">
      <c r="B11" s="80" t="s">
        <v>340</v>
      </c>
      <c r="C11" s="81" t="s">
        <v>22</v>
      </c>
      <c r="D11" s="82" t="s">
        <v>23</v>
      </c>
      <c r="E11" s="82" t="s">
        <v>30</v>
      </c>
      <c r="F11" s="81" t="s">
        <v>337</v>
      </c>
      <c r="G11" s="83">
        <v>1</v>
      </c>
      <c r="H11" s="9" t="s">
        <v>27</v>
      </c>
      <c r="I11" s="16"/>
    </row>
    <row r="12" spans="1:9" s="2" customFormat="1" ht="13.5">
      <c r="B12" s="8" t="s">
        <v>340</v>
      </c>
      <c r="C12" s="9" t="s">
        <v>28</v>
      </c>
      <c r="D12" s="10" t="s">
        <v>31</v>
      </c>
      <c r="E12" s="10" t="s">
        <v>33</v>
      </c>
      <c r="F12" s="9" t="s">
        <v>35</v>
      </c>
      <c r="G12" s="11">
        <v>2.5</v>
      </c>
      <c r="H12" s="9" t="s">
        <v>21</v>
      </c>
      <c r="I12" s="16"/>
    </row>
    <row r="13" spans="1:9" s="2" customFormat="1" ht="27">
      <c r="B13" s="8" t="s">
        <v>340</v>
      </c>
      <c r="C13" s="9" t="s">
        <v>44</v>
      </c>
      <c r="D13" s="10" t="s">
        <v>51</v>
      </c>
      <c r="E13" s="10" t="s">
        <v>30</v>
      </c>
      <c r="F13" s="9" t="s">
        <v>323</v>
      </c>
      <c r="G13" s="11">
        <v>0.5</v>
      </c>
      <c r="H13" s="9" t="s">
        <v>73</v>
      </c>
      <c r="I13" s="16"/>
    </row>
    <row r="14" spans="1:9" s="2" customFormat="1" ht="54">
      <c r="B14" s="8" t="s">
        <v>340</v>
      </c>
      <c r="C14" s="9" t="s">
        <v>22</v>
      </c>
      <c r="D14" s="10" t="s">
        <v>23</v>
      </c>
      <c r="E14" s="10" t="s">
        <v>30</v>
      </c>
      <c r="F14" s="9" t="s">
        <v>337</v>
      </c>
      <c r="G14" s="11">
        <v>1</v>
      </c>
      <c r="H14" s="9" t="s">
        <v>27</v>
      </c>
      <c r="I14" s="16"/>
    </row>
    <row r="15" spans="1:9" s="2" customFormat="1" ht="54">
      <c r="B15" s="8" t="s">
        <v>340</v>
      </c>
      <c r="C15" s="9" t="s">
        <v>22</v>
      </c>
      <c r="D15" s="10" t="s">
        <v>23</v>
      </c>
      <c r="E15" s="10" t="s">
        <v>30</v>
      </c>
      <c r="F15" s="9" t="s">
        <v>337</v>
      </c>
      <c r="G15" s="11">
        <v>1.5</v>
      </c>
      <c r="H15" s="9" t="s">
        <v>73</v>
      </c>
      <c r="I15" s="16"/>
    </row>
    <row r="16" spans="1:9" s="2" customFormat="1" ht="54">
      <c r="B16" s="8" t="s">
        <v>340</v>
      </c>
      <c r="C16" s="9" t="s">
        <v>22</v>
      </c>
      <c r="D16" s="10" t="s">
        <v>59</v>
      </c>
      <c r="E16" s="10" t="s">
        <v>30</v>
      </c>
      <c r="F16" s="9" t="s">
        <v>337</v>
      </c>
      <c r="G16" s="11">
        <v>0.5</v>
      </c>
      <c r="H16" s="9" t="s">
        <v>27</v>
      </c>
      <c r="I16" s="16"/>
    </row>
    <row r="17" spans="2:9" s="2" customFormat="1" ht="54">
      <c r="B17" s="8" t="s">
        <v>340</v>
      </c>
      <c r="C17" s="9" t="s">
        <v>22</v>
      </c>
      <c r="D17" s="10" t="s">
        <v>23</v>
      </c>
      <c r="E17" s="10" t="s">
        <v>30</v>
      </c>
      <c r="F17" s="9" t="s">
        <v>337</v>
      </c>
      <c r="G17" s="11">
        <v>1.5</v>
      </c>
      <c r="H17" s="9" t="s">
        <v>27</v>
      </c>
      <c r="I17" s="16"/>
    </row>
    <row r="18" spans="2:9" s="2" customFormat="1" ht="54">
      <c r="B18" s="8" t="s">
        <v>340</v>
      </c>
      <c r="C18" s="9" t="s">
        <v>22</v>
      </c>
      <c r="D18" s="10" t="s">
        <v>23</v>
      </c>
      <c r="E18" s="10" t="s">
        <v>30</v>
      </c>
      <c r="F18" s="9" t="s">
        <v>337</v>
      </c>
      <c r="G18" s="11">
        <v>1</v>
      </c>
      <c r="H18" s="9" t="s">
        <v>79</v>
      </c>
      <c r="I18" s="16"/>
    </row>
    <row r="19" spans="2:9" s="2" customFormat="1" ht="54">
      <c r="B19" s="8" t="s">
        <v>340</v>
      </c>
      <c r="C19" s="9" t="s">
        <v>22</v>
      </c>
      <c r="D19" s="10" t="s">
        <v>23</v>
      </c>
      <c r="E19" s="10" t="s">
        <v>30</v>
      </c>
      <c r="F19" s="9" t="s">
        <v>337</v>
      </c>
      <c r="G19" s="11">
        <v>1</v>
      </c>
      <c r="H19" s="9" t="s">
        <v>27</v>
      </c>
      <c r="I19" s="16"/>
    </row>
    <row r="20" spans="2:9" s="2" customFormat="1" ht="54">
      <c r="B20" s="8" t="s">
        <v>340</v>
      </c>
      <c r="C20" s="9" t="s">
        <v>22</v>
      </c>
      <c r="D20" s="10" t="s">
        <v>23</v>
      </c>
      <c r="E20" s="10" t="s">
        <v>30</v>
      </c>
      <c r="F20" s="9" t="s">
        <v>337</v>
      </c>
      <c r="G20" s="11">
        <v>3</v>
      </c>
      <c r="H20" s="9" t="s">
        <v>73</v>
      </c>
      <c r="I20" s="16"/>
    </row>
    <row r="21" spans="2:9" s="2" customFormat="1" ht="54">
      <c r="B21" s="80" t="s">
        <v>340</v>
      </c>
      <c r="C21" s="81" t="s">
        <v>22</v>
      </c>
      <c r="D21" s="82" t="s">
        <v>23</v>
      </c>
      <c r="E21" s="82" t="s">
        <v>30</v>
      </c>
      <c r="F21" s="81" t="s">
        <v>337</v>
      </c>
      <c r="G21" s="83">
        <v>1</v>
      </c>
      <c r="H21" s="9" t="s">
        <v>27</v>
      </c>
      <c r="I21" s="16"/>
    </row>
    <row r="22" spans="2:9" s="2" customFormat="1" ht="27">
      <c r="B22" s="8" t="s">
        <v>340</v>
      </c>
      <c r="C22" s="9" t="s">
        <v>44</v>
      </c>
      <c r="D22" s="10" t="s">
        <v>51</v>
      </c>
      <c r="E22" s="10" t="s">
        <v>30</v>
      </c>
      <c r="F22" s="9" t="s">
        <v>323</v>
      </c>
      <c r="G22" s="11">
        <v>0.5</v>
      </c>
      <c r="H22" s="9" t="s">
        <v>27</v>
      </c>
      <c r="I22" s="16"/>
    </row>
    <row r="23" spans="2:9" s="2" customFormat="1" ht="54">
      <c r="B23" s="8" t="s">
        <v>340</v>
      </c>
      <c r="C23" s="9" t="s">
        <v>22</v>
      </c>
      <c r="D23" s="10" t="s">
        <v>58</v>
      </c>
      <c r="E23" s="10" t="s">
        <v>30</v>
      </c>
      <c r="F23" s="9" t="s">
        <v>337</v>
      </c>
      <c r="G23" s="11">
        <v>0.5</v>
      </c>
      <c r="H23" s="9" t="s">
        <v>73</v>
      </c>
      <c r="I23" s="16"/>
    </row>
    <row r="24" spans="2:9" s="2" customFormat="1" ht="54">
      <c r="B24" s="8" t="s">
        <v>340</v>
      </c>
      <c r="C24" s="9" t="s">
        <v>22</v>
      </c>
      <c r="D24" s="10" t="s">
        <v>59</v>
      </c>
      <c r="E24" s="10" t="s">
        <v>30</v>
      </c>
      <c r="F24" s="9" t="s">
        <v>337</v>
      </c>
      <c r="G24" s="11">
        <v>1</v>
      </c>
      <c r="H24" s="9" t="s">
        <v>27</v>
      </c>
      <c r="I24" s="16"/>
    </row>
    <row r="25" spans="2:9" s="2" customFormat="1" ht="54">
      <c r="B25" s="80" t="s">
        <v>340</v>
      </c>
      <c r="C25" s="81" t="s">
        <v>22</v>
      </c>
      <c r="D25" s="82" t="s">
        <v>23</v>
      </c>
      <c r="E25" s="82" t="s">
        <v>30</v>
      </c>
      <c r="F25" s="81" t="s">
        <v>337</v>
      </c>
      <c r="G25" s="83">
        <v>1</v>
      </c>
      <c r="H25" s="9" t="s">
        <v>27</v>
      </c>
      <c r="I25" s="16"/>
    </row>
    <row r="26" spans="2:9" s="2" customFormat="1" ht="54">
      <c r="B26" s="8" t="s">
        <v>340</v>
      </c>
      <c r="C26" s="9" t="s">
        <v>22</v>
      </c>
      <c r="D26" s="10" t="s">
        <v>59</v>
      </c>
      <c r="E26" s="10" t="s">
        <v>30</v>
      </c>
      <c r="F26" s="9" t="s">
        <v>337</v>
      </c>
      <c r="G26" s="11">
        <v>0.5</v>
      </c>
      <c r="H26" s="9" t="s">
        <v>27</v>
      </c>
      <c r="I26" s="16"/>
    </row>
    <row r="27" spans="2:9" s="2" customFormat="1" ht="54">
      <c r="B27" s="80" t="s">
        <v>340</v>
      </c>
      <c r="C27" s="81" t="s">
        <v>22</v>
      </c>
      <c r="D27" s="82" t="s">
        <v>23</v>
      </c>
      <c r="E27" s="82" t="s">
        <v>30</v>
      </c>
      <c r="F27" s="81" t="s">
        <v>337</v>
      </c>
      <c r="G27" s="83">
        <v>3</v>
      </c>
      <c r="H27" s="9" t="s">
        <v>73</v>
      </c>
      <c r="I27" s="16"/>
    </row>
    <row r="28" spans="2:9" s="2" customFormat="1" ht="54">
      <c r="B28" s="80" t="s">
        <v>340</v>
      </c>
      <c r="C28" s="81" t="s">
        <v>22</v>
      </c>
      <c r="D28" s="82" t="s">
        <v>23</v>
      </c>
      <c r="E28" s="82" t="s">
        <v>30</v>
      </c>
      <c r="F28" s="81" t="s">
        <v>337</v>
      </c>
      <c r="G28" s="83">
        <v>0.5</v>
      </c>
      <c r="H28" s="9" t="s">
        <v>79</v>
      </c>
      <c r="I28" s="16"/>
    </row>
    <row r="29" spans="2:9" s="2" customFormat="1" ht="54">
      <c r="B29" s="8" t="s">
        <v>340</v>
      </c>
      <c r="C29" s="9" t="s">
        <v>22</v>
      </c>
      <c r="D29" s="10" t="s">
        <v>58</v>
      </c>
      <c r="E29" s="10" t="s">
        <v>30</v>
      </c>
      <c r="F29" s="9" t="s">
        <v>337</v>
      </c>
      <c r="G29" s="11">
        <v>0.5</v>
      </c>
      <c r="H29" s="9" t="s">
        <v>27</v>
      </c>
      <c r="I29" s="16"/>
    </row>
    <row r="30" spans="2:9" s="2" customFormat="1" ht="27">
      <c r="B30" s="8" t="s">
        <v>340</v>
      </c>
      <c r="C30" s="9" t="s">
        <v>44</v>
      </c>
      <c r="D30" s="10" t="s">
        <v>51</v>
      </c>
      <c r="E30" s="10" t="s">
        <v>30</v>
      </c>
      <c r="F30" s="9" t="s">
        <v>323</v>
      </c>
      <c r="G30" s="11">
        <v>1</v>
      </c>
      <c r="H30" s="9" t="s">
        <v>27</v>
      </c>
      <c r="I30" s="16"/>
    </row>
    <row r="31" spans="2:9" s="2" customFormat="1" ht="54">
      <c r="B31" s="8" t="s">
        <v>340</v>
      </c>
      <c r="C31" s="9" t="s">
        <v>22</v>
      </c>
      <c r="D31" s="10" t="s">
        <v>23</v>
      </c>
      <c r="E31" s="10" t="s">
        <v>30</v>
      </c>
      <c r="F31" s="9" t="s">
        <v>337</v>
      </c>
      <c r="G31" s="11">
        <v>2.5</v>
      </c>
      <c r="H31" s="9" t="s">
        <v>27</v>
      </c>
      <c r="I31" s="16"/>
    </row>
    <row r="32" spans="2:9" s="2" customFormat="1" ht="54">
      <c r="B32" s="8" t="s">
        <v>340</v>
      </c>
      <c r="C32" s="9" t="s">
        <v>22</v>
      </c>
      <c r="D32" s="10" t="s">
        <v>58</v>
      </c>
      <c r="E32" s="10" t="s">
        <v>30</v>
      </c>
      <c r="F32" s="9" t="s">
        <v>337</v>
      </c>
      <c r="G32" s="11">
        <v>1</v>
      </c>
      <c r="H32" s="9" t="s">
        <v>27</v>
      </c>
      <c r="I32" s="16"/>
    </row>
    <row r="33" spans="2:9" s="2" customFormat="1" ht="54">
      <c r="B33" s="8" t="s">
        <v>340</v>
      </c>
      <c r="C33" s="9" t="s">
        <v>22</v>
      </c>
      <c r="D33" s="10" t="s">
        <v>23</v>
      </c>
      <c r="E33" s="10" t="s">
        <v>30</v>
      </c>
      <c r="F33" s="9" t="s">
        <v>337</v>
      </c>
      <c r="G33" s="11">
        <v>1</v>
      </c>
      <c r="H33" s="9" t="s">
        <v>27</v>
      </c>
      <c r="I33" s="16"/>
    </row>
    <row r="34" spans="2:9" s="2" customFormat="1" ht="54">
      <c r="B34" s="8" t="s">
        <v>340</v>
      </c>
      <c r="C34" s="9" t="s">
        <v>22</v>
      </c>
      <c r="D34" s="10" t="s">
        <v>59</v>
      </c>
      <c r="E34" s="10" t="s">
        <v>30</v>
      </c>
      <c r="F34" s="9" t="s">
        <v>337</v>
      </c>
      <c r="G34" s="11">
        <v>0.5</v>
      </c>
      <c r="H34" s="9" t="s">
        <v>73</v>
      </c>
      <c r="I34" s="16"/>
    </row>
    <row r="35" spans="2:9" s="2" customFormat="1" ht="54">
      <c r="B35" s="8" t="s">
        <v>340</v>
      </c>
      <c r="C35" s="9" t="s">
        <v>22</v>
      </c>
      <c r="D35" s="10" t="s">
        <v>59</v>
      </c>
      <c r="E35" s="10" t="s">
        <v>30</v>
      </c>
      <c r="F35" s="9" t="s">
        <v>337</v>
      </c>
      <c r="G35" s="11">
        <v>0.5</v>
      </c>
      <c r="H35" s="9" t="s">
        <v>27</v>
      </c>
      <c r="I35" s="16"/>
    </row>
    <row r="36" spans="2:9" s="2" customFormat="1" ht="54">
      <c r="B36" s="8" t="s">
        <v>340</v>
      </c>
      <c r="C36" s="9" t="s">
        <v>22</v>
      </c>
      <c r="D36" s="10" t="s">
        <v>58</v>
      </c>
      <c r="E36" s="10" t="s">
        <v>30</v>
      </c>
      <c r="F36" s="9" t="s">
        <v>337</v>
      </c>
      <c r="G36" s="11">
        <v>2</v>
      </c>
      <c r="H36" s="9" t="s">
        <v>73</v>
      </c>
      <c r="I36" s="16"/>
    </row>
    <row r="37" spans="2:9" s="2" customFormat="1" ht="54">
      <c r="B37" s="8" t="s">
        <v>340</v>
      </c>
      <c r="C37" s="9" t="s">
        <v>22</v>
      </c>
      <c r="D37" s="10" t="s">
        <v>58</v>
      </c>
      <c r="E37" s="10" t="s">
        <v>30</v>
      </c>
      <c r="F37" s="9" t="s">
        <v>337</v>
      </c>
      <c r="G37" s="11">
        <v>0.5</v>
      </c>
      <c r="H37" s="9" t="s">
        <v>27</v>
      </c>
      <c r="I37" s="16"/>
    </row>
    <row r="38" spans="2:9" s="2" customFormat="1" ht="54">
      <c r="B38" s="8" t="s">
        <v>340</v>
      </c>
      <c r="C38" s="9" t="s">
        <v>22</v>
      </c>
      <c r="D38" s="10" t="s">
        <v>23</v>
      </c>
      <c r="E38" s="10" t="s">
        <v>30</v>
      </c>
      <c r="F38" s="9" t="s">
        <v>337</v>
      </c>
      <c r="G38" s="11">
        <v>0.5</v>
      </c>
      <c r="H38" s="9" t="s">
        <v>27</v>
      </c>
      <c r="I38" s="16"/>
    </row>
    <row r="39" spans="2:9" s="2" customFormat="1" ht="40.5">
      <c r="B39" s="8" t="s">
        <v>340</v>
      </c>
      <c r="C39" s="9" t="s">
        <v>28</v>
      </c>
      <c r="D39" s="10" t="s">
        <v>31</v>
      </c>
      <c r="E39" s="10" t="s">
        <v>33</v>
      </c>
      <c r="F39" s="9" t="s">
        <v>39</v>
      </c>
      <c r="G39" s="11">
        <v>0.5</v>
      </c>
      <c r="H39" s="9" t="s">
        <v>21</v>
      </c>
      <c r="I39" s="16"/>
    </row>
    <row r="40" spans="2:9" s="2" customFormat="1" ht="54">
      <c r="B40" s="8" t="s">
        <v>340</v>
      </c>
      <c r="C40" s="9" t="s">
        <v>22</v>
      </c>
      <c r="D40" s="10" t="s">
        <v>23</v>
      </c>
      <c r="E40" s="10" t="s">
        <v>30</v>
      </c>
      <c r="F40" s="9" t="s">
        <v>337</v>
      </c>
      <c r="G40" s="11">
        <v>2</v>
      </c>
      <c r="H40" s="9" t="s">
        <v>73</v>
      </c>
      <c r="I40" s="16"/>
    </row>
    <row r="41" spans="2:9" s="2" customFormat="1" ht="54">
      <c r="B41" s="8" t="s">
        <v>340</v>
      </c>
      <c r="C41" s="9" t="s">
        <v>22</v>
      </c>
      <c r="D41" s="10" t="s">
        <v>58</v>
      </c>
      <c r="E41" s="10" t="s">
        <v>30</v>
      </c>
      <c r="F41" s="9" t="s">
        <v>337</v>
      </c>
      <c r="G41" s="11">
        <v>1</v>
      </c>
      <c r="H41" s="9" t="s">
        <v>27</v>
      </c>
      <c r="I41" s="16"/>
    </row>
    <row r="42" spans="2:9" s="2" customFormat="1" ht="27">
      <c r="B42" s="8" t="s">
        <v>340</v>
      </c>
      <c r="C42" s="9" t="s">
        <v>44</v>
      </c>
      <c r="D42" s="10" t="s">
        <v>51</v>
      </c>
      <c r="E42" s="10" t="s">
        <v>30</v>
      </c>
      <c r="F42" s="9" t="s">
        <v>323</v>
      </c>
      <c r="G42" s="11">
        <v>1</v>
      </c>
      <c r="H42" s="9" t="s">
        <v>27</v>
      </c>
      <c r="I42" s="16"/>
    </row>
    <row r="43" spans="2:9" s="2" customFormat="1" ht="54">
      <c r="B43" s="8" t="s">
        <v>340</v>
      </c>
      <c r="C43" s="9" t="s">
        <v>22</v>
      </c>
      <c r="D43" s="10" t="s">
        <v>58</v>
      </c>
      <c r="E43" s="10" t="s">
        <v>30</v>
      </c>
      <c r="F43" s="9" t="s">
        <v>337</v>
      </c>
      <c r="G43" s="11">
        <v>1</v>
      </c>
      <c r="H43" s="9" t="s">
        <v>27</v>
      </c>
      <c r="I43" s="16"/>
    </row>
    <row r="44" spans="2:9" s="2" customFormat="1" ht="13.5">
      <c r="B44" s="8"/>
      <c r="C44" s="9"/>
      <c r="D44" s="10"/>
      <c r="E44" s="10"/>
      <c r="F44" s="9"/>
      <c r="G44" s="11"/>
      <c r="H44" s="9"/>
      <c r="I44" s="16"/>
    </row>
    <row r="45" spans="2:9" s="2" customFormat="1" ht="14" thickBot="1">
      <c r="B45" s="88" t="s">
        <v>32</v>
      </c>
      <c r="C45" s="89"/>
      <c r="D45" s="90"/>
      <c r="E45" s="12"/>
      <c r="F45" s="12"/>
      <c r="G45" s="76">
        <f>SUM(G6:G44)</f>
        <v>43.5</v>
      </c>
      <c r="H45" s="77"/>
      <c r="I45" s="78"/>
    </row>
    <row r="46" spans="2:9" s="2" customFormat="1" ht="15" thickTop="1">
      <c r="B46"/>
      <c r="C46" s="1"/>
      <c r="D46"/>
      <c r="E46"/>
      <c r="F46"/>
      <c r="G46"/>
      <c r="H46"/>
      <c r="I46"/>
    </row>
    <row r="47" spans="2:9" s="2" customFormat="1">
      <c r="B47"/>
      <c r="C47" s="1"/>
      <c r="D47"/>
      <c r="E47"/>
      <c r="F47"/>
      <c r="G47"/>
      <c r="H47"/>
      <c r="I47"/>
    </row>
    <row r="48" spans="2:9" s="2" customFormat="1" ht="29">
      <c r="B48" s="17" t="s">
        <v>81</v>
      </c>
      <c r="C48" s="18" t="s">
        <v>331</v>
      </c>
      <c r="D48" s="75"/>
      <c r="E48"/>
      <c r="F48"/>
      <c r="G48"/>
      <c r="H48"/>
      <c r="I48"/>
    </row>
    <row r="49" spans="2:9" s="2" customFormat="1" ht="29">
      <c r="B49"/>
      <c r="C49" s="18" t="s">
        <v>332</v>
      </c>
      <c r="D49"/>
      <c r="E49" s="79"/>
      <c r="F49"/>
      <c r="G49"/>
      <c r="H49"/>
      <c r="I49"/>
    </row>
    <row r="50" spans="2:9" s="2" customFormat="1">
      <c r="B50"/>
      <c r="C50" s="1"/>
      <c r="D50"/>
      <c r="E50"/>
      <c r="F50"/>
      <c r="G50"/>
      <c r="H50"/>
      <c r="I50"/>
    </row>
    <row r="51" spans="2:9" s="2" customFormat="1" ht="14.5" customHeight="1">
      <c r="B51"/>
      <c r="C51" s="1"/>
      <c r="D51"/>
      <c r="E51"/>
      <c r="F51"/>
      <c r="G51"/>
      <c r="H51"/>
      <c r="I51"/>
    </row>
  </sheetData>
  <mergeCells count="3">
    <mergeCell ref="B1:I1"/>
    <mergeCell ref="B2:H2"/>
    <mergeCell ref="B45:D45"/>
  </mergeCells>
  <phoneticPr fontId="10" type="noConversion"/>
  <dataValidations count="3">
    <dataValidation type="list" errorStyle="warning" allowBlank="1" sqref="C26 C6 C8:C9 C12:C20 C22:C24 C29:C44" xr:uid="{00000000-0002-0000-0000-000005000000}">
      <formula1>项目事项分类项目名称</formula1>
    </dataValidation>
    <dataValidation type="list" allowBlank="1" showInputMessage="1" showErrorMessage="1" sqref="F26 F8:F9 F12:F20 F22:F24 F29:F44 F6" xr:uid="{00000000-0002-0000-0000-000002000000}">
      <formula1>INDIRECT($E6)</formula1>
    </dataValidation>
    <dataValidation type="list" allowBlank="1" showInputMessage="1" showErrorMessage="1" sqref="H6:H4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D26 D8:D9 D12:D20 D22:D24 D29:D44 D6</xm:sqref>
        </x14:dataValidation>
        <x14:dataValidation type="list" allowBlank="1" showInputMessage="1" showErrorMessage="1" xr:uid="{00000000-0002-0000-0000-000007000000}">
          <x14:formula1>
            <xm:f>Tag!$B$2:$E$2</xm:f>
          </x14:formula1>
          <xm:sqref>E26 E8:E9 E12:E20 E22:E24 E29:E44 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2025-08-06T09:17:43Z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