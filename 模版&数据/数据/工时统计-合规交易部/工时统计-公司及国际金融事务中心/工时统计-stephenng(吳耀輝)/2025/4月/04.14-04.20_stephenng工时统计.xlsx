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EB0E9327-0869-40DB-88F2-EAC0D80B822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<sst xmlns="http://schemas.openxmlformats.org/spreadsheetml/2006/main" count="518" uniqueCount="342">
  <si>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</si>
  <si>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</si>
  <si>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</si>
  <si>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</si>
  <si>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</si>
  <si>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</si>
  <si>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</si>
  <si>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</si>
  <si>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</si>
  <si>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</si>
  <si>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</si>
  <si>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</si>
  <si>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</si>
  <si>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</si>
  <si>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</si>
  <si>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</si>
  <si>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</si>
  <si>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</si>
  <si>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</si>
  <si>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</si>
  <si>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</si>
  <si>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</si>
  <si>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</si>
  <si>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</si>
  <si>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</si>
  <si>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</si>
  <si>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</si>
  <si>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</si>
  <si>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</si>
  <si>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</si>
  <si>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</si>
  <si>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</si>
  <si>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</si>
  <si>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</si>
  <si>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</si>
  <si>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</si>
  <si>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</si>
  <si>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</si>
  <si>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</si>
  <si>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</si>
  <si>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</si>
  <si>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</si>
  <si>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</si>
  <si>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</si>
  <si>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</si>
  <si>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</si>
  <si>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</si>
  <si>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</si>
  <si>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</si>
  <si>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</si>
  <si>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</si>
  <si>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</si>
  <si>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</si>
  <si>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</si>
  <si>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</si>
  <si>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</si>
  <si>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</si>
  <si>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</si>
  <si>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</si>
  <si>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</si>
  <si>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</si>
  <si>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</si>
  <si>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</si>
  <si>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</si>
  <si>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</si>
  <si>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</si>
  <si>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</si>
  <si>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</si>
  <si>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</si>
  <si>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</si>
  <si>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</si>
  <si>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</si>
  <si>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</si>
  <si>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</si>
  <si>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</si>
  <si>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</si>
  <si>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</si>
  <si>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</si>
  <si>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</si>
  <si>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</si>
  <si>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</si>
  <si>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</si>
  <si>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</si>
  <si>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</si>
  <si>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</si>
  <si>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</si>
  <si>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</si>
  <si>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</si>
  <si>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</si>
  <si>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</si>
  <si>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</si>
  <si>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</si>
  <si>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</si>
  <si>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</si>
  <si>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</si>
  <si>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</si>
  <si>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</si>
  <si>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</si>
  <si>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</si>
  <si>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</si>
  <si>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</si>
  <si>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</si>
  <si>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</si>
  <si>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</si>
  <si>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</si>
  <si>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</si>
  <si>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</si>
  <si>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</si>
  <si>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</si>
  <si>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</si>
  <si>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</si>
  <si>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</si>
  <si>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</si>
  <si>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</si>
  <si>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</si>
  <si>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</si>
  <si>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</si>
  <si>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</si>
  <si>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</si>
  <si>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</si>
  <si>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</si>
  <si>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</si>
  <si>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</si>
  <si>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</si>
  <si>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</si>
  <si>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</si>
  <si>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</si>
  <si>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</si>
  <si>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</si>
  <si>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</si>
  <si>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</si>
  <si>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</si>
  <si>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</si>
  <si>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</si>
  <si>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</si>
  <si>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</si>
  <si>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</si>
  <si>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</si>
  <si>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</si>
  <si>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</si>
  <si>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</si>
  <si>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</si>
  <si>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</si>
  <si>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</si>
  <si>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</si>
  <si>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</si>
  <si>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</si>
  <si>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</si>
  <si>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</si>
  <si>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</si>
  <si>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</si>
  <si>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</si>
  <si>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</si>
  <si>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</si>
  <si>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</si>
  <si>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</si>
  <si>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</si>
  <si>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</si>
  <si>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</si>
  <si>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</si>
  <si>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</si>
  <si>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</si>
  <si>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</si>
  <si>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</si>
  <si>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</si>
  <si>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</si>
  <si>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</si>
  <si>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</si>
  <si>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</si>
  <si>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</si>
  <si>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</si>
  <si>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</si>
  <si>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</si>
  <si>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</si>
  <si>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</si>
  <si>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</si>
  <si>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</si>
  <si>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</si>
  <si>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</si>
  <si>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</si>
  <si>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</si>
  <si>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</si>
  <si>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</si>
  <si>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</si>
  <si>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</si>
  <si>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</si>
  <si>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</si>
  <si>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</si>
  <si>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</si>
  <si>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</si>
  <si>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</si>
  <si>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</si>
  <si>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</si>
  <si>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</si>
  <si>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</si>
  <si>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</si>
  <si>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</si>
  <si>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</si>
  <si>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</si>
  <si>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</si>
  <si>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</si>
  <si>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</si>
  <si>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</si>
  <si>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</si>
  <si>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</si>
  <si>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</si>
  <si>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</si>
  <si>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</si>
  <si>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</si>
  <si>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</si>
  <si>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</si>
  <si>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</si>
  <si>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</si>
  <si>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</si>
  <si>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</si>
  <si>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</si>
  <si>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</si>
  <si>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</si>
  <si>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</si>
  <si>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</si>
  <si>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</si>
  <si>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</si>
  <si>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</si>
  <si>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</si>
  <si>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</si>
  <si>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</si>
  <si>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</si>
  <si>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</si>
  <si>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</si>
  <si>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</si>
  <si>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</si>
  <si>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</si>
  <si>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</si>
  <si>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</si>
  <si>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</si>
  <si>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</si>
  <si>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</si>
  <si>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</si>
  <si>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</si>
  <si>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</si>
  <si>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</si>
  <si>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</si>
  <si>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</si>
  <si>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</si>
  <si>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</si>
  <si>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</si>
  <si>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</si>
  <si>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</si>
  <si>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</si>
  <si>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</si>
  <si>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</si>
  <si>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</si>
  <si>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</si>
  <si>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</si>
  <si>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</si>
  <si>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</si>
  <si>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</si>
  <si>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</si>
  <si>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</si>
  <si>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</si>
  <si>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</si>
  <si>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</si>
  <si>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</si>
  <si>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</si>
  <si>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</si>
  <si>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</si>
  <si>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</si>
  <si>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</si>
  <si>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</si>
  <si>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</si>
  <si>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</si>
  <si>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</si>
  <si>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</si>
  <si>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</si>
  <si>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</si>
  <si>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</si>
  <si>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</si>
  <si>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</si>
  <si>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</si>
  <si>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</si>
  <si>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</si>
  <si>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</si>
  <si>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</si>
  <si>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</si>
  <si>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</si>
  <si>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</si>
  <si>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</si>
  <si>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</si>
  <si>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</si>
  <si>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</si>
  <si>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</si>
  <si>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</si>
  <si>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</si>
  <si>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</si>
  <si>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</si>
  <si>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</si>
  <si>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</si>
  <si>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</si>
  <si>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</si>
  <si>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</si>
  <si>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</si>
  <si>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</si>
  <si>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</si>
  <si>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</si>
  <si>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</si>
  <si>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</si>
  <si>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</si>
  <si>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</si>
  <si>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</si>
  <si>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</si>
  <si>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</si>
  <si>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</si>
  <si>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</si>
  <si>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</si>
  <si>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</si>
  <si>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</si>
  <si>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</si>
  <si>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</si>
  <si>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</si>
  <si>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</si>
  <si>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</si>
  <si>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</si>
  <si>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</si>
  <si>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</si>
  <si>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</si>
  <si>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</si>
  <si>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</si>
  <si>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</si>
  <si>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</si>
  <si>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</si>
  <si>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</si>
  <si>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</si>
  <si>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</si>
  <si>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</si>
  <si>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</si>
  <si>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</si>
  <si>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</si>
  <si>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</si>
  <si>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</si>
  <si>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</si>
  <si>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</si>
  <si>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stephenng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</si>
</sst>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topLeftCell="A11" zoomScale="160" zoomScaleNormal="160" workbookViewId="0">
      <selection activeCell="K6" sqref="K6"/>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341</v>
      </c>
      <c r="C6" s="9" t="s">
        <v>28</v>
      </c>
      <c r="D6" s="10" t="s">
        <v>31</v>
      </c>
      <c r="E6" s="10" t="s">
        <v>33</v>
      </c>
      <c r="F6" s="9" t="s">
        <v>39</v>
      </c>
      <c r="G6" s="11">
        <v>0.5</v>
      </c>
      <c r="H6" s="9" t="s">
        <v>75</v>
      </c>
      <c r="I6" s="16"/>
    </row>
    <row r="7" spans="1:9" s="2" customFormat="1" ht="54">
      <c r="B7" s="8" t="s">
        <v>341</v>
      </c>
      <c r="C7" s="9" t="s">
        <v>22</v>
      </c>
      <c r="D7" s="10" t="s">
        <v>59</v>
      </c>
      <c r="E7" s="10" t="s">
        <v>30</v>
      </c>
      <c r="F7" s="9" t="s">
        <v>337</v>
      </c>
      <c r="G7" s="11">
        <v>3</v>
      </c>
      <c r="H7" s="9" t="s">
        <v>27</v>
      </c>
      <c r="I7" s="16"/>
    </row>
    <row r="8" spans="1:9" s="2" customFormat="1" ht="27">
      <c r="B8" s="8" t="s">
        <v>341</v>
      </c>
      <c r="C8" s="9" t="s">
        <v>44</v>
      </c>
      <c r="D8" s="10" t="s">
        <v>51</v>
      </c>
      <c r="E8" s="10" t="s">
        <v>30</v>
      </c>
      <c r="F8" s="9" t="s">
        <v>323</v>
      </c>
      <c r="G8" s="11">
        <v>1</v>
      </c>
      <c r="H8" s="9" t="s">
        <v>27</v>
      </c>
      <c r="I8" s="16"/>
    </row>
    <row r="9" spans="1:9" s="2" customFormat="1" ht="27">
      <c r="B9" s="8" t="s">
        <v>341</v>
      </c>
      <c r="C9" s="9" t="s">
        <v>44</v>
      </c>
      <c r="D9" s="10" t="s">
        <v>57</v>
      </c>
      <c r="E9" s="10" t="s">
        <v>30</v>
      </c>
      <c r="F9" s="9" t="s">
        <v>323</v>
      </c>
      <c r="G9" s="11">
        <v>1.5</v>
      </c>
      <c r="H9" s="9" t="s">
        <v>27</v>
      </c>
      <c r="I9" s="16"/>
    </row>
    <row r="10" spans="1:9" s="2" customFormat="1" ht="54">
      <c r="B10" s="8" t="s">
        <v>341</v>
      </c>
      <c r="C10" s="9" t="s">
        <v>22</v>
      </c>
      <c r="D10" s="10" t="s">
        <v>59</v>
      </c>
      <c r="E10" s="10" t="s">
        <v>30</v>
      </c>
      <c r="F10" s="9" t="s">
        <v>337</v>
      </c>
      <c r="G10" s="11">
        <v>2.5</v>
      </c>
      <c r="H10" s="9" t="s">
        <v>74</v>
      </c>
      <c r="I10" s="16"/>
    </row>
    <row r="11" spans="1:9" s="2" customFormat="1" ht="27">
      <c r="B11" s="8" t="s">
        <v>341</v>
      </c>
      <c r="C11" s="9" t="s">
        <v>44</v>
      </c>
      <c r="D11" s="10" t="s">
        <v>57</v>
      </c>
      <c r="E11" s="10" t="s">
        <v>30</v>
      </c>
      <c r="F11" s="9" t="s">
        <v>323</v>
      </c>
      <c r="G11" s="11">
        <v>5</v>
      </c>
      <c r="H11" s="9" t="s">
        <v>73</v>
      </c>
      <c r="I11" s="16"/>
    </row>
    <row r="12" spans="1:9" s="2" customFormat="1" ht="27">
      <c r="B12" s="8" t="s">
        <v>341</v>
      </c>
      <c r="C12" s="9" t="s">
        <v>44</v>
      </c>
      <c r="D12" s="10" t="s">
        <v>51</v>
      </c>
      <c r="E12" s="10" t="s">
        <v>30</v>
      </c>
      <c r="F12" s="9" t="s">
        <v>323</v>
      </c>
      <c r="G12" s="11">
        <v>7</v>
      </c>
      <c r="H12" s="9" t="s">
        <v>73</v>
      </c>
      <c r="I12" s="16"/>
    </row>
    <row r="13" spans="1:9" s="2" customFormat="1" ht="54">
      <c r="B13" s="8" t="s">
        <v>341</v>
      </c>
      <c r="C13" s="9" t="s">
        <v>22</v>
      </c>
      <c r="D13" s="10" t="s">
        <v>23</v>
      </c>
      <c r="E13" s="10" t="s">
        <v>30</v>
      </c>
      <c r="F13" s="9" t="s">
        <v>337</v>
      </c>
      <c r="G13" s="11">
        <v>6.5</v>
      </c>
      <c r="H13" s="9" t="s">
        <v>73</v>
      </c>
      <c r="I13" s="16"/>
    </row>
    <row r="14" spans="1:9" s="2" customFormat="1" ht="54">
      <c r="B14" s="8" t="s">
        <v>341</v>
      </c>
      <c r="C14" s="9" t="s">
        <v>22</v>
      </c>
      <c r="D14" s="10" t="s">
        <v>59</v>
      </c>
      <c r="E14" s="10" t="s">
        <v>30</v>
      </c>
      <c r="F14" s="9" t="s">
        <v>337</v>
      </c>
      <c r="G14" s="11">
        <v>2.5</v>
      </c>
      <c r="H14" s="9" t="s">
        <v>73</v>
      </c>
      <c r="I14" s="16"/>
    </row>
    <row r="15" spans="1:9" s="2" customFormat="1" ht="54">
      <c r="B15" s="8" t="s">
        <v>341</v>
      </c>
      <c r="C15" s="9" t="s">
        <v>22</v>
      </c>
      <c r="D15" s="10" t="s">
        <v>23</v>
      </c>
      <c r="E15" s="10" t="s">
        <v>30</v>
      </c>
      <c r="F15" s="9" t="s">
        <v>337</v>
      </c>
      <c r="G15" s="11">
        <v>2.5</v>
      </c>
      <c r="H15" s="9" t="s">
        <v>73</v>
      </c>
      <c r="I15" s="16"/>
    </row>
    <row r="16" spans="1:9" s="2" customFormat="1" ht="27">
      <c r="B16" s="8" t="s">
        <v>341</v>
      </c>
      <c r="C16" s="9" t="s">
        <v>44</v>
      </c>
      <c r="D16" s="10" t="s">
        <v>51</v>
      </c>
      <c r="E16" s="10" t="s">
        <v>30</v>
      </c>
      <c r="F16" s="9" t="s">
        <v>323</v>
      </c>
      <c r="G16" s="11">
        <v>3</v>
      </c>
      <c r="H16" s="9" t="s">
        <v>73</v>
      </c>
      <c r="I16" s="16"/>
    </row>
    <row r="17" spans="2:9" s="2" customFormat="1" ht="54">
      <c r="B17" s="8" t="s">
        <v>341</v>
      </c>
      <c r="C17" s="9" t="s">
        <v>22</v>
      </c>
      <c r="D17" s="10" t="s">
        <v>59</v>
      </c>
      <c r="E17" s="10" t="s">
        <v>30</v>
      </c>
      <c r="F17" s="9" t="s">
        <v>337</v>
      </c>
      <c r="G17" s="11">
        <v>1</v>
      </c>
      <c r="H17" s="9" t="s">
        <v>27</v>
      </c>
      <c r="I17" s="16"/>
    </row>
    <row r="18" spans="2:9" s="2" customFormat="1" ht="54">
      <c r="B18" s="8" t="s">
        <v>341</v>
      </c>
      <c r="C18" s="9" t="s">
        <v>22</v>
      </c>
      <c r="D18" s="10" t="s">
        <v>59</v>
      </c>
      <c r="E18" s="10" t="s">
        <v>30</v>
      </c>
      <c r="F18" s="9" t="s">
        <v>337</v>
      </c>
      <c r="G18" s="11">
        <v>1</v>
      </c>
      <c r="H18" s="9" t="s">
        <v>74</v>
      </c>
      <c r="I18" s="16"/>
    </row>
    <row r="19" spans="2:9" s="2" customFormat="1" ht="14.5" customHeight="1" thickBot="1">
      <c r="B19" s="79" t="s">
        <v>32</v>
      </c>
      <c r="C19" s="80"/>
      <c r="D19" s="81"/>
      <c r="E19" s="12"/>
      <c r="F19" s="12"/>
      <c r="G19" s="82">
        <f>SUM(G6:G18)</f>
        <v>37</v>
      </c>
      <c r="H19" s="83"/>
      <c r="I19" s="84"/>
    </row>
    <row r="22" spans="2:9" ht="29">
      <c r="B22" s="17" t="s">
        <v>81</v>
      </c>
      <c r="C22" s="18" t="s">
        <v>331</v>
      </c>
    </row>
    <row r="23" spans="2:9" ht="29">
      <c r="C23" s="18" t="s">
        <v>332</v>
      </c>
    </row>
  </sheetData>
  <mergeCells count="4">
    <mergeCell ref="B1:I1"/>
    <mergeCell ref="B2:H2"/>
    <mergeCell ref="B19:D19"/>
    <mergeCell ref="G19:I19"/>
  </mergeCells>
  <phoneticPr fontId="10" type="noConversion"/>
  <dataValidations count="3">
    <dataValidation type="list" errorStyle="warning" allowBlank="1" sqref="C6:C18" xr:uid="{00000000-0002-0000-0000-000005000000}">
      <formula1>项目事项分类项目名称</formula1>
    </dataValidation>
    <dataValidation type="list" allowBlank="1" showInputMessage="1" showErrorMessage="1" sqref="F6:F18" xr:uid="{00000000-0002-0000-0000-000002000000}">
      <formula1>INDIRECT($E6)</formula1>
    </dataValidation>
    <dataValidation type="list" allowBlank="1" showInputMessage="1" showErrorMessage="1" sqref="H6:H1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D6:D18</xm:sqref>
        </x14:dataValidation>
        <x14:dataValidation type="list" allowBlank="1" showInputMessage="1" showErrorMessage="1" xr:uid="{00000000-0002-0000-0000-000007000000}">
          <x14:formula1>
            <xm:f>Tag!$B$2:$E$2</xm:f>
          </x14:formula1>
          <xm:sqref>E6:E18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2025-05-06T07:53:58Z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