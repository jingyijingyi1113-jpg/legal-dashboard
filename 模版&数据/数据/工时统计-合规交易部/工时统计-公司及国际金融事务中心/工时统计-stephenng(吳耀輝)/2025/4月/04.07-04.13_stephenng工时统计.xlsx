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47E68AED-3C9D-4728-8B2E-9A89C51762E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<sst xmlns="http://schemas.openxmlformats.org/spreadsheetml/2006/main" count="554" uniqueCount="342">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</sst>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1" xfId="0" applyFont="1" applyFill="1" applyBorder="1" applyAlignment="1">
      <alignment vertical="center" wrapText="1"/>
    </xf>
    <xf numFmtId="0" fontId="30" fillId="10" borderId="27" xfId="0" applyFont="1" applyFill="1" applyBorder="1">
      <alignment vertical="center"/>
    </xf>
    <xf numFmtId="0" fontId="30" fillId="10" borderId="27" xfId="0" applyFont="1" applyFill="1" applyBorder="1" applyAlignment="1">
      <alignment vertical="center" wrapText="1"/>
    </xf>
    <xf numFmtId="177" fontId="30"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5" zoomScale="160" zoomScaleNormal="160"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341</v>
      </c>
      <c r="C6" s="9" t="s">
        <v>28</v>
      </c>
      <c r="D6" s="10" t="s">
        <v>31</v>
      </c>
      <c r="E6" s="10" t="s">
        <v>33</v>
      </c>
      <c r="F6" s="9" t="s">
        <v>39</v>
      </c>
      <c r="G6" s="11">
        <v>0.5</v>
      </c>
      <c r="H6" s="9" t="s">
        <v>75</v>
      </c>
      <c r="I6" s="16"/>
    </row>
    <row r="7" spans="1:9" s="2" customFormat="1" ht="27">
      <c r="B7" s="8" t="s">
        <v>341</v>
      </c>
      <c r="C7" s="9" t="s">
        <v>44</v>
      </c>
      <c r="D7" s="10" t="s">
        <v>57</v>
      </c>
      <c r="E7" s="10" t="s">
        <v>30</v>
      </c>
      <c r="F7" s="9" t="s">
        <v>323</v>
      </c>
      <c r="G7" s="11">
        <v>2</v>
      </c>
      <c r="H7" s="9" t="s">
        <v>73</v>
      </c>
      <c r="I7" s="16"/>
    </row>
    <row r="8" spans="1:9" s="2" customFormat="1" ht="27">
      <c r="B8" s="8" t="s">
        <v>341</v>
      </c>
      <c r="C8" s="75" t="s">
        <v>44</v>
      </c>
      <c r="D8" s="76" t="s">
        <v>51</v>
      </c>
      <c r="E8" s="76" t="s">
        <v>30</v>
      </c>
      <c r="F8" s="77" t="s">
        <v>323</v>
      </c>
      <c r="G8" s="78">
        <v>2</v>
      </c>
      <c r="H8" s="9" t="s">
        <v>74</v>
      </c>
      <c r="I8" s="16"/>
    </row>
    <row r="9" spans="1:9" s="2" customFormat="1" ht="27">
      <c r="B9" s="8" t="s">
        <v>341</v>
      </c>
      <c r="C9" s="9" t="s">
        <v>44</v>
      </c>
      <c r="D9" s="10" t="s">
        <v>51</v>
      </c>
      <c r="E9" s="10" t="s">
        <v>30</v>
      </c>
      <c r="F9" s="9" t="s">
        <v>323</v>
      </c>
      <c r="G9" s="11">
        <v>1</v>
      </c>
      <c r="H9" s="9" t="s">
        <v>27</v>
      </c>
      <c r="I9" s="16"/>
    </row>
    <row r="10" spans="1:9" s="2" customFormat="1" ht="54">
      <c r="B10" s="8" t="s">
        <v>341</v>
      </c>
      <c r="C10" s="9" t="s">
        <v>22</v>
      </c>
      <c r="D10" s="10" t="s">
        <v>59</v>
      </c>
      <c r="E10" s="10" t="s">
        <v>30</v>
      </c>
      <c r="F10" s="9" t="s">
        <v>337</v>
      </c>
      <c r="G10" s="11">
        <v>3</v>
      </c>
      <c r="H10" s="9" t="s">
        <v>73</v>
      </c>
      <c r="I10" s="16"/>
    </row>
    <row r="11" spans="1:9" s="2" customFormat="1" ht="27">
      <c r="B11" s="8" t="s">
        <v>341</v>
      </c>
      <c r="C11" s="9" t="s">
        <v>44</v>
      </c>
      <c r="D11" s="10" t="s">
        <v>57</v>
      </c>
      <c r="E11" s="10" t="s">
        <v>30</v>
      </c>
      <c r="F11" s="9" t="s">
        <v>323</v>
      </c>
      <c r="G11" s="11">
        <v>1.5</v>
      </c>
      <c r="H11" s="9" t="s">
        <v>27</v>
      </c>
      <c r="I11" s="16"/>
    </row>
    <row r="12" spans="1:9" s="2" customFormat="1" ht="54">
      <c r="B12" s="8" t="s">
        <v>341</v>
      </c>
      <c r="C12" s="9" t="s">
        <v>22</v>
      </c>
      <c r="D12" s="10" t="s">
        <v>59</v>
      </c>
      <c r="E12" s="10" t="s">
        <v>30</v>
      </c>
      <c r="F12" s="9" t="s">
        <v>337</v>
      </c>
      <c r="G12" s="11">
        <v>5</v>
      </c>
      <c r="H12" s="9" t="s">
        <v>73</v>
      </c>
      <c r="I12" s="16"/>
    </row>
    <row r="13" spans="1:9" s="2" customFormat="1" ht="27">
      <c r="B13" s="8" t="s">
        <v>341</v>
      </c>
      <c r="C13" s="9" t="s">
        <v>44</v>
      </c>
      <c r="D13" s="10" t="s">
        <v>57</v>
      </c>
      <c r="E13" s="10" t="s">
        <v>30</v>
      </c>
      <c r="F13" s="9" t="s">
        <v>323</v>
      </c>
      <c r="G13" s="11">
        <v>3</v>
      </c>
      <c r="H13" s="9" t="s">
        <v>73</v>
      </c>
      <c r="I13" s="16"/>
    </row>
    <row r="14" spans="1:9" s="2" customFormat="1" ht="27">
      <c r="B14" s="8" t="s">
        <v>341</v>
      </c>
      <c r="C14" s="9" t="s">
        <v>44</v>
      </c>
      <c r="D14" s="10" t="s">
        <v>51</v>
      </c>
      <c r="E14" s="10" t="s">
        <v>30</v>
      </c>
      <c r="F14" s="9" t="s">
        <v>323</v>
      </c>
      <c r="G14" s="11">
        <v>7</v>
      </c>
      <c r="H14" s="9" t="s">
        <v>73</v>
      </c>
      <c r="I14" s="16"/>
    </row>
    <row r="15" spans="1:9" s="2" customFormat="1" ht="27">
      <c r="B15" s="8" t="s">
        <v>341</v>
      </c>
      <c r="C15" s="9" t="s">
        <v>44</v>
      </c>
      <c r="D15" s="10" t="s">
        <v>51</v>
      </c>
      <c r="E15" s="10" t="s">
        <v>30</v>
      </c>
      <c r="F15" s="9" t="s">
        <v>323</v>
      </c>
      <c r="G15" s="11">
        <v>2.5</v>
      </c>
      <c r="H15" s="9" t="s">
        <v>74</v>
      </c>
      <c r="I15" s="16"/>
    </row>
    <row r="16" spans="1:9" s="2" customFormat="1" ht="54">
      <c r="B16" s="8" t="s">
        <v>341</v>
      </c>
      <c r="C16" s="9" t="s">
        <v>22</v>
      </c>
      <c r="D16" s="10" t="s">
        <v>23</v>
      </c>
      <c r="E16" s="10" t="s">
        <v>30</v>
      </c>
      <c r="F16" s="9" t="s">
        <v>337</v>
      </c>
      <c r="G16" s="11">
        <v>1</v>
      </c>
      <c r="H16" s="9" t="s">
        <v>73</v>
      </c>
      <c r="I16" s="16"/>
    </row>
    <row r="17" spans="2:9" s="2" customFormat="1" ht="61" customHeight="1">
      <c r="B17" s="8" t="s">
        <v>341</v>
      </c>
      <c r="C17" s="9" t="s">
        <v>22</v>
      </c>
      <c r="D17" s="10" t="s">
        <v>59</v>
      </c>
      <c r="E17" s="10" t="s">
        <v>30</v>
      </c>
      <c r="F17" s="9" t="s">
        <v>337</v>
      </c>
      <c r="G17" s="11">
        <v>2.5</v>
      </c>
      <c r="H17" s="9" t="s">
        <v>27</v>
      </c>
      <c r="I17" s="16"/>
    </row>
    <row r="18" spans="2:9" s="2" customFormat="1" ht="54">
      <c r="B18" s="8" t="s">
        <v>341</v>
      </c>
      <c r="C18" s="9" t="s">
        <v>22</v>
      </c>
      <c r="D18" s="10" t="s">
        <v>23</v>
      </c>
      <c r="E18" s="10" t="s">
        <v>30</v>
      </c>
      <c r="F18" s="9" t="s">
        <v>337</v>
      </c>
      <c r="G18" s="11">
        <v>1</v>
      </c>
      <c r="H18" s="9" t="s">
        <v>73</v>
      </c>
      <c r="I18" s="16"/>
    </row>
    <row r="19" spans="2:9" s="2" customFormat="1" ht="54">
      <c r="B19" s="8" t="s">
        <v>341</v>
      </c>
      <c r="C19" s="9" t="s">
        <v>22</v>
      </c>
      <c r="D19" s="10" t="s">
        <v>59</v>
      </c>
      <c r="E19" s="10" t="s">
        <v>30</v>
      </c>
      <c r="F19" s="9" t="s">
        <v>337</v>
      </c>
      <c r="G19" s="11">
        <v>1</v>
      </c>
      <c r="H19" s="9" t="s">
        <v>27</v>
      </c>
      <c r="I19" s="16"/>
    </row>
    <row r="20" spans="2:9" s="2" customFormat="1" ht="29" customHeight="1">
      <c r="B20" s="8" t="s">
        <v>341</v>
      </c>
      <c r="C20" s="9" t="s">
        <v>44</v>
      </c>
      <c r="D20" s="10" t="s">
        <v>51</v>
      </c>
      <c r="E20" s="10" t="s">
        <v>30</v>
      </c>
      <c r="F20" s="9" t="s">
        <v>323</v>
      </c>
      <c r="G20" s="11">
        <v>6</v>
      </c>
      <c r="H20" s="9" t="s">
        <v>73</v>
      </c>
      <c r="I20" s="16"/>
    </row>
    <row r="21" spans="2:9" s="2" customFormat="1" ht="27">
      <c r="B21" s="8" t="s">
        <v>341</v>
      </c>
      <c r="C21" s="9" t="s">
        <v>44</v>
      </c>
      <c r="D21" s="10" t="s">
        <v>57</v>
      </c>
      <c r="E21" s="10" t="s">
        <v>30</v>
      </c>
      <c r="F21" s="9" t="s">
        <v>323</v>
      </c>
      <c r="G21" s="11">
        <v>3</v>
      </c>
      <c r="H21" s="9" t="s">
        <v>73</v>
      </c>
      <c r="I21" s="16"/>
    </row>
    <row r="22" spans="2:9" s="2" customFormat="1" ht="54">
      <c r="B22" s="8" t="s">
        <v>341</v>
      </c>
      <c r="C22" s="9" t="s">
        <v>22</v>
      </c>
      <c r="D22" s="10" t="s">
        <v>59</v>
      </c>
      <c r="E22" s="10" t="s">
        <v>30</v>
      </c>
      <c r="F22" s="9" t="s">
        <v>337</v>
      </c>
      <c r="G22" s="11">
        <v>1.5</v>
      </c>
      <c r="H22" s="9" t="s">
        <v>27</v>
      </c>
      <c r="I22" s="16"/>
    </row>
    <row r="23" spans="2:9" s="2" customFormat="1" ht="54">
      <c r="B23" s="8" t="s">
        <v>341</v>
      </c>
      <c r="C23" s="9" t="s">
        <v>22</v>
      </c>
      <c r="D23" s="10" t="s">
        <v>59</v>
      </c>
      <c r="E23" s="10" t="s">
        <v>30</v>
      </c>
      <c r="F23" s="9" t="s">
        <v>337</v>
      </c>
      <c r="G23" s="11">
        <v>1</v>
      </c>
      <c r="H23" s="9" t="s">
        <v>74</v>
      </c>
      <c r="I23" s="16"/>
    </row>
    <row r="24" spans="2:9" s="2" customFormat="1" ht="54">
      <c r="B24" s="8" t="s">
        <v>341</v>
      </c>
      <c r="C24" s="9" t="s">
        <v>22</v>
      </c>
      <c r="D24" s="10" t="s">
        <v>59</v>
      </c>
      <c r="E24" s="10" t="s">
        <v>30</v>
      </c>
      <c r="F24" s="9" t="s">
        <v>337</v>
      </c>
      <c r="G24" s="11">
        <v>1</v>
      </c>
      <c r="H24" s="9" t="s">
        <v>74</v>
      </c>
      <c r="I24" s="16"/>
    </row>
    <row r="25" spans="2:9" s="2" customFormat="1" ht="14.5" customHeight="1" thickBot="1">
      <c r="B25" s="83" t="s">
        <v>32</v>
      </c>
      <c r="C25" s="84"/>
      <c r="D25" s="85"/>
      <c r="E25" s="12"/>
      <c r="F25" s="12"/>
      <c r="G25" s="86">
        <f>SUM(G6:G24)</f>
        <v>45.5</v>
      </c>
      <c r="H25" s="87"/>
      <c r="I25" s="88"/>
    </row>
    <row r="28" spans="2:9" ht="29">
      <c r="B28" s="17" t="s">
        <v>81</v>
      </c>
      <c r="C28" s="18" t="s">
        <v>331</v>
      </c>
    </row>
    <row r="29" spans="2:9" ht="29">
      <c r="C29" s="18" t="s">
        <v>332</v>
      </c>
    </row>
  </sheetData>
  <mergeCells count="4">
    <mergeCell ref="B1:I1"/>
    <mergeCell ref="B2:H2"/>
    <mergeCell ref="B25:D25"/>
    <mergeCell ref="G25:I25"/>
  </mergeCells>
  <phoneticPr fontId="10" type="noConversion"/>
  <dataValidations count="3">
    <dataValidation type="list" errorStyle="warning" allowBlank="1" sqref="C6:C7 C9:C24" xr:uid="{00000000-0002-0000-0000-000005000000}">
      <formula1>项目事项分类项目名称</formula1>
    </dataValidation>
    <dataValidation type="list" allowBlank="1" showInputMessage="1" showErrorMessage="1" sqref="F9:F24 F6:F7"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D9:D24 D6:D7</xm:sqref>
        </x14:dataValidation>
        <x14:dataValidation type="list" allowBlank="1" showInputMessage="1" showErrorMessage="1" xr:uid="{00000000-0002-0000-0000-000007000000}">
          <x14:formula1>
            <xm:f>Tag!$B$2:$E$2</xm:f>
          </x14:formula1>
          <xm:sqref>E9:E24 E6:E7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2025-05-06T07:47:16Z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