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31247515-72B8-4800-8B08-2C3CF958472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<sst xmlns="http://schemas.openxmlformats.org/spreadsheetml/2006/main" count="512" uniqueCount="342">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</sst>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16" fontId="0" fillId="0" borderId="0" xfId="0" applyNumberFormat="1">
      <alignment vertical="center"/>
    </xf>
    <xf numFmtId="0" fontId="30" fillId="10" borderId="1" xfId="0" applyFont="1" applyFill="1" applyBorder="1" applyAlignment="1">
      <alignment vertical="center" wrapText="1"/>
    </xf>
    <xf numFmtId="0" fontId="30" fillId="10" borderId="27" xfId="0" applyFont="1" applyFill="1" applyBorder="1">
      <alignment vertical="center"/>
    </xf>
    <xf numFmtId="0" fontId="30" fillId="10" borderId="27" xfId="0" applyFont="1" applyFill="1" applyBorder="1" applyAlignment="1">
      <alignment vertical="center" wrapText="1"/>
    </xf>
    <xf numFmtId="177" fontId="30" fillId="10" borderId="27"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S19" sqref="S1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28</v>
      </c>
      <c r="D6" s="10" t="s">
        <v>31</v>
      </c>
      <c r="E6" s="10" t="s">
        <v>33</v>
      </c>
      <c r="F6" s="9" t="s">
        <v>39</v>
      </c>
      <c r="G6" s="11">
        <v>0.5</v>
      </c>
      <c r="H6" s="9" t="s">
        <v>75</v>
      </c>
      <c r="I6" s="16"/>
    </row>
    <row r="7" spans="1:9" s="2" customFormat="1" ht="27">
      <c r="B7" s="8" t="s">
        <v>341</v>
      </c>
      <c r="C7" s="130" t="s">
        <v>44</v>
      </c>
      <c r="D7" s="131" t="s">
        <v>51</v>
      </c>
      <c r="E7" s="131" t="s">
        <v>30</v>
      </c>
      <c r="F7" s="132" t="s">
        <v>323</v>
      </c>
      <c r="G7" s="133">
        <v>2</v>
      </c>
      <c r="H7" s="9" t="s">
        <v>74</v>
      </c>
      <c r="I7" s="16"/>
    </row>
    <row r="8" spans="1:9" s="2" customFormat="1" ht="27">
      <c r="B8" s="8" t="s">
        <v>341</v>
      </c>
      <c r="C8" s="9" t="s">
        <v>44</v>
      </c>
      <c r="D8" s="10" t="s">
        <v>51</v>
      </c>
      <c r="E8" s="10" t="s">
        <v>30</v>
      </c>
      <c r="F8" s="9" t="s">
        <v>323</v>
      </c>
      <c r="G8" s="11">
        <v>1</v>
      </c>
      <c r="H8" s="9" t="s">
        <v>27</v>
      </c>
      <c r="I8" s="16"/>
    </row>
    <row r="9" spans="1:9" s="2" customFormat="1" ht="27">
      <c r="B9" s="8" t="s">
        <v>341</v>
      </c>
      <c r="C9" s="9" t="s">
        <v>44</v>
      </c>
      <c r="D9" s="10" t="s">
        <v>57</v>
      </c>
      <c r="E9" s="10" t="s">
        <v>30</v>
      </c>
      <c r="F9" s="9" t="s">
        <v>323</v>
      </c>
      <c r="G9" s="11">
        <v>1.5</v>
      </c>
      <c r="H9" s="9" t="s">
        <v>27</v>
      </c>
      <c r="I9" s="16"/>
    </row>
    <row r="10" spans="1:9" s="2" customFormat="1" ht="40.5">
      <c r="B10" s="8" t="s">
        <v>341</v>
      </c>
      <c r="C10" s="9" t="s">
        <v>22</v>
      </c>
      <c r="D10" s="10" t="s">
        <v>59</v>
      </c>
      <c r="E10" s="10" t="s">
        <v>30</v>
      </c>
      <c r="F10" s="9" t="s">
        <v>337</v>
      </c>
      <c r="G10" s="11">
        <v>5</v>
      </c>
      <c r="H10" s="9" t="s">
        <v>73</v>
      </c>
      <c r="I10" s="16"/>
    </row>
    <row r="11" spans="1:9" s="2" customFormat="1" ht="27">
      <c r="B11" s="8" t="s">
        <v>341</v>
      </c>
      <c r="C11" s="9" t="s">
        <v>44</v>
      </c>
      <c r="D11" s="10" t="s">
        <v>57</v>
      </c>
      <c r="E11" s="10" t="s">
        <v>30</v>
      </c>
      <c r="F11" s="9" t="s">
        <v>323</v>
      </c>
      <c r="G11" s="11">
        <v>5</v>
      </c>
      <c r="H11" s="9" t="s">
        <v>73</v>
      </c>
      <c r="I11" s="16"/>
    </row>
    <row r="12" spans="1:9" s="2" customFormat="1" ht="27">
      <c r="B12" s="8" t="s">
        <v>341</v>
      </c>
      <c r="C12" s="9" t="s">
        <v>44</v>
      </c>
      <c r="D12" s="10" t="s">
        <v>51</v>
      </c>
      <c r="E12" s="10" t="s">
        <v>30</v>
      </c>
      <c r="F12" s="9" t="s">
        <v>323</v>
      </c>
      <c r="G12" s="11">
        <v>7</v>
      </c>
      <c r="H12" s="9" t="s">
        <v>73</v>
      </c>
      <c r="I12" s="16"/>
    </row>
    <row r="13" spans="1:9" s="2" customFormat="1" ht="27">
      <c r="B13" s="8" t="s">
        <v>341</v>
      </c>
      <c r="C13" s="9" t="s">
        <v>44</v>
      </c>
      <c r="D13" s="10" t="s">
        <v>51</v>
      </c>
      <c r="E13" s="10" t="s">
        <v>30</v>
      </c>
      <c r="F13" s="9" t="s">
        <v>323</v>
      </c>
      <c r="G13" s="11">
        <v>6</v>
      </c>
      <c r="H13" s="9" t="s">
        <v>74</v>
      </c>
      <c r="I13" s="16"/>
    </row>
    <row r="14" spans="1:9" s="2" customFormat="1" ht="40.5">
      <c r="B14" s="8" t="s">
        <v>341</v>
      </c>
      <c r="C14" s="9" t="s">
        <v>22</v>
      </c>
      <c r="D14" s="10" t="s">
        <v>59</v>
      </c>
      <c r="E14" s="10" t="s">
        <v>30</v>
      </c>
      <c r="F14" s="9" t="s">
        <v>337</v>
      </c>
      <c r="G14" s="11">
        <v>2.5</v>
      </c>
      <c r="H14" s="9" t="s">
        <v>27</v>
      </c>
      <c r="I14" s="16"/>
    </row>
    <row r="15" spans="1:9" s="2" customFormat="1" ht="40.5">
      <c r="B15" s="8" t="s">
        <v>341</v>
      </c>
      <c r="C15" s="9" t="s">
        <v>22</v>
      </c>
      <c r="D15" s="10" t="s">
        <v>23</v>
      </c>
      <c r="E15" s="10" t="s">
        <v>30</v>
      </c>
      <c r="F15" s="9" t="s">
        <v>337</v>
      </c>
      <c r="G15" s="11">
        <v>1</v>
      </c>
      <c r="H15" s="9" t="s">
        <v>73</v>
      </c>
      <c r="I15" s="16"/>
    </row>
    <row r="16" spans="1:9" s="2" customFormat="1" ht="40.5">
      <c r="B16" s="8" t="s">
        <v>341</v>
      </c>
      <c r="C16" s="9" t="s">
        <v>22</v>
      </c>
      <c r="D16" s="10" t="s">
        <v>59</v>
      </c>
      <c r="E16" s="10" t="s">
        <v>30</v>
      </c>
      <c r="F16" s="9" t="s">
        <v>337</v>
      </c>
      <c r="G16" s="11">
        <v>1</v>
      </c>
      <c r="H16" s="9" t="s">
        <v>27</v>
      </c>
      <c r="I16" s="16"/>
    </row>
    <row r="17" spans="2:9" s="2" customFormat="1" ht="40.5">
      <c r="B17" s="8" t="s">
        <v>341</v>
      </c>
      <c r="C17" s="9" t="s">
        <v>22</v>
      </c>
      <c r="D17" s="10" t="s">
        <v>59</v>
      </c>
      <c r="E17" s="10" t="s">
        <v>30</v>
      </c>
      <c r="F17" s="9" t="s">
        <v>337</v>
      </c>
      <c r="G17" s="11">
        <v>1</v>
      </c>
      <c r="H17" s="9" t="s">
        <v>74</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33.5</v>
      </c>
      <c r="H36" s="83"/>
      <c r="I36" s="84"/>
    </row>
    <row r="39" spans="2:9">
      <c r="B39" s="17" t="s">
        <v>81</v>
      </c>
      <c r="C39" s="18" t="s">
        <v>331</v>
      </c>
      <c r="D39" s="129">
        <v>45733</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8:C35 C6" xr:uid="{00000000-0002-0000-0000-000005000000}">
      <formula1>项目事项分类项目名称</formula1>
    </dataValidation>
    <dataValidation type="list" allowBlank="1" showInputMessage="1" showErrorMessage="1" sqref="F8:F35 F6"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D18:D35</xm:sqref>
        </x14:dataValidation>
        <x14:dataValidation type="list" allowBlank="1" showInputMessage="1" showErrorMessage="1" xr:uid="{00000000-0002-0000-0000-000007000000}">
          <x14:formula1>
            <xm:f>Tag!$B$2:$E$2</xm:f>
          </x14:formula1>
          <xm:sqref>E18:E35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2025-04-03T08:22:22Z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