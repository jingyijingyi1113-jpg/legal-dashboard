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D9DE65FA-F7E1-4360-9044-B8ACCC8460E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<sst xmlns="http://schemas.openxmlformats.org/spreadsheetml/2006/main" count="483" uniqueCount="349">
  <si>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</si>
  <si>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</si>
  <si>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</si>
  <si>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</si>
  <si>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</si>
  <si>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</si>
  <si>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</si>
  <si>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</si>
  <si>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</si>
  <si>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</si>
  <si>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</si>
  <si>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</si>
  <si>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</si>
  <si>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</si>
  <si>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</si>
  <si>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</si>
  <si>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</si>
  <si>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</si>
  <si>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</si>
  <si>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</si>
  <si>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</si>
  <si>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</si>
  <si>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</si>
  <si>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</si>
  <si>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</si>
  <si>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</si>
  <si>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</si>
  <si>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</si>
  <si>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</si>
  <si>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</si>
  <si>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</si>
  <si>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</si>
  <si>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</si>
  <si>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</si>
  <si>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</si>
  <si>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</si>
  <si>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</si>
  <si>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</si>
  <si>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</si>
  <si>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</si>
  <si>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</si>
  <si>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</si>
  <si>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</si>
  <si>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</si>
  <si>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</si>
  <si>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</si>
  <si>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</si>
  <si>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</si>
  <si>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</si>
  <si>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</si>
  <si>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</si>
  <si>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</si>
  <si>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</si>
  <si>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</si>
  <si>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</si>
  <si>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</si>
  <si>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</si>
  <si>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</si>
  <si>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</si>
  <si>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</si>
  <si>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</si>
  <si>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</si>
  <si>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</si>
  <si>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</si>
  <si>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</si>
  <si>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</si>
  <si>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</si>
  <si>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</si>
  <si>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</si>
  <si>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</si>
  <si>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</si>
  <si>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</si>
  <si>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</si>
  <si>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</si>
  <si>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</si>
  <si>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</si>
  <si>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</si>
  <si>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</si>
  <si>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</si>
  <si>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</si>
  <si>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</si>
  <si>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</si>
  <si>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</si>
  <si>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</si>
  <si>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</si>
  <si>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</si>
  <si>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</si>
  <si>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</si>
  <si>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</si>
  <si>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</si>
  <si>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</si>
  <si>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</si>
  <si>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</si>
  <si>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</si>
  <si>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</si>
  <si>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</si>
  <si>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</si>
  <si>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</si>
  <si>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</si>
  <si>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</si>
  <si>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</si>
  <si>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</si>
  <si>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</si>
  <si>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</si>
  <si>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</si>
  <si>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</si>
  <si>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</si>
  <si>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</si>
  <si>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</si>
  <si>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</si>
  <si>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</si>
  <si>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</si>
  <si>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</si>
  <si>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</si>
  <si>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</si>
  <si>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</si>
  <si>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</si>
  <si>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</si>
  <si>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</si>
  <si>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</si>
  <si>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</si>
  <si>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</si>
  <si>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</si>
  <si>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</si>
  <si>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</si>
  <si>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</si>
  <si>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</si>
  <si>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</si>
  <si>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</si>
  <si>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</si>
  <si>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</si>
  <si>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</si>
  <si>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</si>
  <si>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</si>
  <si>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</si>
  <si>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</si>
  <si>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</si>
  <si>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</si>
  <si>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</si>
  <si>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</si>
  <si>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</si>
  <si>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</si>
  <si>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</si>
  <si>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</si>
  <si>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</si>
  <si>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</si>
  <si>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</si>
  <si>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</si>
  <si>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</si>
  <si>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</si>
  <si>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</si>
  <si>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</si>
  <si>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</si>
  <si>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</si>
  <si>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</si>
  <si>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</si>
  <si>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</si>
  <si>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</si>
  <si>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</si>
  <si>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</si>
  <si>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</si>
  <si>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</si>
  <si>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</si>
  <si>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</si>
  <si>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</si>
  <si>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</si>
  <si>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</si>
  <si>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</si>
  <si>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</si>
  <si>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</si>
  <si>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</si>
  <si>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</si>
  <si>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</si>
  <si>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</si>
  <si>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</si>
  <si>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</si>
  <si>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</si>
  <si>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</si>
  <si>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</si>
  <si>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</si>
  <si>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</si>
  <si>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</si>
  <si>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</si>
  <si>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</si>
  <si>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</si>
  <si>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</si>
  <si>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</si>
  <si>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</si>
  <si>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</si>
  <si>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</si>
  <si>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</si>
  <si>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</si>
  <si>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</si>
  <si>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</si>
  <si>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</si>
  <si>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</si>
  <si>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</si>
  <si>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</si>
  <si>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</si>
  <si>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</si>
  <si>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</si>
  <si>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</si>
  <si>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</si>
  <si>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</si>
  <si>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</si>
  <si>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</si>
  <si>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</si>
  <si>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</si>
  <si>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</si>
  <si>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</si>
  <si>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</si>
  <si>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</si>
  <si>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</si>
  <si>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</si>
  <si>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</si>
  <si>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</si>
  <si>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</si>
  <si>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</si>
  <si>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</si>
  <si>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</si>
  <si>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</si>
  <si>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</si>
  <si>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</si>
  <si>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</si>
  <si>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</si>
  <si>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</si>
  <si>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</si>
  <si>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</si>
  <si>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</si>
  <si>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</si>
  <si>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</si>
  <si>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</si>
  <si>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</si>
  <si>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</si>
  <si>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</si>
  <si>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</si>
  <si>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</si>
  <si>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</si>
  <si>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</si>
  <si>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</si>
  <si>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</si>
  <si>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</si>
  <si>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</si>
  <si>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</si>
  <si>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</si>
  <si>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</si>
  <si>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</si>
  <si>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</si>
  <si>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</si>
  <si>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</si>
  <si>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</si>
  <si>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</si>
  <si>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</si>
  <si>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</si>
  <si>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</si>
  <si>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</si>
  <si>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</si>
  <si>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</si>
  <si>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</si>
  <si>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</si>
  <si>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</si>
  <si>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</si>
  <si>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</si>
  <si>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</si>
  <si>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</si>
  <si>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</si>
  <si>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</si>
  <si>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</si>
  <si>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</si>
  <si>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</si>
  <si>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</si>
  <si>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</si>
  <si>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</si>
  <si>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</si>
  <si>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</si>
  <si>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</si>
  <si>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</si>
  <si>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</si>
  <si>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</si>
  <si>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</si>
  <si>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</si>
  <si>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</si>
  <si>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</si>
  <si>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</si>
  <si>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</si>
  <si>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</si>
  <si>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</si>
  <si>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</si>
  <si>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</si>
  <si>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</si>
  <si>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</si>
  <si>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</si>
  <si>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</si>
  <si>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</si>
  <si>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</si>
  <si>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</si>
  <si>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</si>
  <si>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</si>
  <si>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</si>
  <si>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</si>
  <si>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</si>
  <si>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</si>
  <si>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</si>
  <si>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</si>
  <si>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</si>
  <si>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</si>
  <si>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</si>
  <si>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</si>
  <si>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</si>
  <si>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</si>
  <si>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</si>
  <si>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</si>
  <si>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</si>
  <si>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</si>
  <si>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</si>
  <si>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</si>
  <si>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</si>
  <si>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</si>
  <si>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</si>
  <si>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</si>
  <si>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</si>
  <si>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</si>
  <si>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</si>
  <si>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</si>
  <si>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</si>
  <si>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</si>
  <si>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</si>
  <si>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</si>
  <si>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</si>
  <si>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</si>
  <si>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</si>
  <si>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</si>
  <si>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</si>
  <si>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</si>
  <si>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</si>
  <si>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</si>
  <si>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</si>
  <si>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</si>
  <si>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</si>
  <si>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</si>
  <si>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</si>
  <si>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timesheet recording</t>
  </si>
  <si>
    <t>entire week</t>
  </si>
  <si>
    <r>
      <t>Date: 2025</t>
    </r>
    <r>
      <rPr>
        <b/>
        <sz val="10"/>
        <color theme="0"/>
        <rFont val="等线"/>
        <charset val="134"/>
      </rPr>
      <t xml:space="preserve">-08.18 </t>
    </r>
    <r>
      <rPr>
        <b/>
        <sz val="10"/>
        <color theme="0"/>
        <rFont val="新細明體"/>
        <family val="1"/>
        <charset val="136"/>
      </rPr>
      <t xml:space="preserve">- </t>
    </r>
    <r>
      <rPr>
        <b/>
        <sz val="10"/>
        <color theme="0"/>
        <rFont val="新細明體"/>
        <family val="2"/>
        <scheme val="minor"/>
      </rPr>
      <t>2025-08.24</t>
    </r>
  </si>
  <si>
    <t xml:space="preserve">share grant during SBB </t>
  </si>
  <si>
    <t>HKMA: data collection template</t>
  </si>
  <si>
    <t>cross border FPS proposal / Gaoteng / HKMA payment security offsite questionnaire / user authorisation letter</t>
  </si>
  <si>
    <t>cross border FPS / HKMA payment security offsite questionnaire</t>
  </si>
  <si>
    <t>IR reivew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</si>
</sst>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B5" zoomScale="80" zoomScaleNormal="80" workbookViewId="0">
      <selection activeCell="P16" sqref="P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1.5</v>
      </c>
      <c r="H6" s="9" t="s">
        <v>73</v>
      </c>
      <c r="I6" s="16" t="s">
        <v>348</v>
      </c>
    </row>
    <row r="7" spans="1:9" s="2" customFormat="1" ht="27">
      <c r="B7" s="8" t="s">
        <v>338</v>
      </c>
      <c r="C7" s="9" t="s">
        <v>43</v>
      </c>
      <c r="D7" s="10" t="s">
        <v>18</v>
      </c>
      <c r="E7" s="10" t="s">
        <v>30</v>
      </c>
      <c r="F7" s="9" t="s">
        <v>327</v>
      </c>
      <c r="G7" s="11">
        <v>2.5</v>
      </c>
      <c r="H7" s="9" t="s">
        <v>27</v>
      </c>
      <c r="I7" s="16" t="s">
        <v>344</v>
      </c>
    </row>
    <row r="8" spans="1:9" s="2" customFormat="1" ht="40.5">
      <c r="B8" s="8" t="s">
        <v>338</v>
      </c>
      <c r="C8" s="9" t="s">
        <v>22</v>
      </c>
      <c r="D8" s="10" t="s">
        <v>55</v>
      </c>
      <c r="E8" s="10" t="s">
        <v>30</v>
      </c>
      <c r="F8" s="9" t="s">
        <v>335</v>
      </c>
      <c r="G8" s="11">
        <v>16.5</v>
      </c>
      <c r="H8" s="9" t="s">
        <v>73</v>
      </c>
      <c r="I8" s="16" t="s">
        <v>346</v>
      </c>
    </row>
    <row r="9" spans="1:9" s="2" customFormat="1" ht="40.5">
      <c r="B9" s="8" t="s">
        <v>338</v>
      </c>
      <c r="C9" s="9" t="s">
        <v>22</v>
      </c>
      <c r="D9" s="10" t="s">
        <v>55</v>
      </c>
      <c r="E9" s="10" t="s">
        <v>30</v>
      </c>
      <c r="F9" s="9" t="s">
        <v>335</v>
      </c>
      <c r="G9" s="11">
        <v>0.5</v>
      </c>
      <c r="H9" s="9" t="s">
        <v>79</v>
      </c>
      <c r="I9" s="16" t="s">
        <v>345</v>
      </c>
    </row>
    <row r="10" spans="1:9" s="2" customFormat="1" ht="91" customHeight="1">
      <c r="B10" s="8" t="s">
        <v>338</v>
      </c>
      <c r="C10" s="9" t="s">
        <v>22</v>
      </c>
      <c r="D10" s="10" t="s">
        <v>55</v>
      </c>
      <c r="E10" s="10" t="s">
        <v>30</v>
      </c>
      <c r="F10" s="9" t="s">
        <v>335</v>
      </c>
      <c r="G10" s="11">
        <v>2</v>
      </c>
      <c r="H10" s="9" t="s">
        <v>27</v>
      </c>
      <c r="I10" s="16" t="s">
        <v>347</v>
      </c>
    </row>
    <row r="11" spans="1:9" s="2" customFormat="1" ht="27">
      <c r="B11" s="8" t="s">
        <v>338</v>
      </c>
      <c r="C11" s="9" t="s">
        <v>28</v>
      </c>
      <c r="D11" s="10" t="s">
        <v>31</v>
      </c>
      <c r="E11" s="10" t="s">
        <v>33</v>
      </c>
      <c r="F11" s="9" t="s">
        <v>39</v>
      </c>
      <c r="G11" s="11">
        <v>0.5</v>
      </c>
      <c r="H11" s="9" t="s">
        <v>75</v>
      </c>
      <c r="I11" s="16" t="s">
        <v>341</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4.5" customHeight="1">
      <c r="B26" s="79" t="s">
        <v>32</v>
      </c>
      <c r="C26" s="80"/>
      <c r="D26" s="81"/>
      <c r="E26" s="12"/>
      <c r="F26" s="12"/>
      <c r="G26" s="82">
        <f>SUM(G6:G25)</f>
        <v>23.5</v>
      </c>
      <c r="H26" s="83"/>
      <c r="I26" s="84"/>
    </row>
    <row r="29" spans="2:9">
      <c r="B29" s="17" t="s">
        <v>81</v>
      </c>
      <c r="C29" s="18" t="s">
        <v>339</v>
      </c>
      <c r="D29" t="s">
        <v>342</v>
      </c>
    </row>
    <row r="30" spans="2:9">
      <c r="C30" s="18" t="s">
        <v>340</v>
      </c>
    </row>
  </sheetData>
  <mergeCells count="4">
    <mergeCell ref="B1:I1"/>
    <mergeCell ref="B2:H2"/>
    <mergeCell ref="B26:D26"/>
    <mergeCell ref="G26:I26"/>
  </mergeCells>
  <phoneticPr fontId="10" type="noConversion"/>
  <dataValidations count="3">
    <dataValidation type="list" errorStyle="warning" allowBlank="1" sqref="C7:C25" xr:uid="{00000000-0002-0000-0000-000005000000}">
      <formula1>项目事项分类项目名称</formula1>
    </dataValidation>
    <dataValidation type="list" allowBlank="1" showInputMessage="1" showErrorMessage="1" sqref="F6:F25" xr:uid="{00000000-0002-0000-0000-000002000000}">
      <formula1>INDIRECT($E6)</formula1>
    </dataValidation>
    <dataValidation type="list" allowBlank="1" showInputMessage="1" showErrorMessage="1" sqref="H6:H2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D6:D25</xm:sqref>
        </x14:dataValidation>
        <x14:dataValidation type="list" allowBlank="1" showInputMessage="1" showErrorMessage="1" xr:uid="{00000000-0002-0000-0000-000007000000}">
          <x14:formula1>
            <xm:f>Tag!$B$2:$E$2</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2025-08-25T03:18:05Z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