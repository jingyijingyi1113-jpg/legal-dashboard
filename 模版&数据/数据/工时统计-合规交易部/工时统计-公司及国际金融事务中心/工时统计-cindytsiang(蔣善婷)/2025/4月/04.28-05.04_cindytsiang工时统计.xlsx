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mc:AlternateContent xmlns:mc="http://schemas.openxmlformats.org/markup-compatibility/2006">
    <mc:Choice Requires="x15">
      <x15ac:absPath xmlns:x15ac="http://schemas.microsoft.com/office/spreadsheetml/2010/11/ac" url="C:\Users\Cindy\Desktop\Admin\"/>
    </mc:Choice>
  </mc:AlternateContent>
  <xr:revisionPtr revIDLastSave="0" documentId="13_ncr:1_{5124DD92-8BA9-4039-91C7-34BDF01338B4}" xr6:coauthVersionLast="47" xr6:coauthVersionMax="47" xr10:uidLastSave="{00000000-0000-0000-0000-000000000000}"/>
  <bookViews>
    <workbookView xWindow="-110" yWindow="-110" windowWidth="19420" windowHeight="1150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alcChain>
</file>

<file path=xl/sharedStrings.xml><?xml version="1.0" encoding="utf-8"?>
<sst xmlns="http://schemas.openxmlformats.org/spreadsheetml/2006/main" count="489" uniqueCount="350">
  <si>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</si>
  <si>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</si>
  <si>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</si>
  <si>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</si>
  <si>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</si>
  <si>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</si>
  <si>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</si>
  <si>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</si>
  <si>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</si>
  <si>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</si>
  <si>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</si>
  <si>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</si>
  <si>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</si>
  <si>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</si>
  <si>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</si>
  <si>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</si>
  <si>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</si>
  <si>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</si>
  <si>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</si>
  <si>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</si>
  <si>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</si>
  <si>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</si>
  <si>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</si>
  <si>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</si>
  <si>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</si>
  <si>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</si>
  <si>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</si>
  <si>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</si>
  <si>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</si>
  <si>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</si>
  <si>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</si>
  <si>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</si>
  <si>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</si>
  <si>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</si>
  <si>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</si>
  <si>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</si>
  <si>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</si>
  <si>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</si>
  <si>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</si>
  <si>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</si>
  <si>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</si>
  <si>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</si>
  <si>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</si>
  <si>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</si>
  <si>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</si>
  <si>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</si>
  <si>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</si>
  <si>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</si>
  <si>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</si>
  <si>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</si>
  <si>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</si>
  <si>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</si>
  <si>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</si>
  <si>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</si>
  <si>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</si>
  <si>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</si>
  <si>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</si>
  <si>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</si>
  <si>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</si>
  <si>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</si>
  <si>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</si>
  <si>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</si>
  <si>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</si>
  <si>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</si>
  <si>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</si>
  <si>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</si>
  <si>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</si>
  <si>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</si>
  <si>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</si>
  <si>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</si>
  <si>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</si>
  <si>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</si>
  <si>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</si>
  <si>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</si>
  <si>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</si>
  <si>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</si>
  <si>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</si>
  <si>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</si>
  <si>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</si>
  <si>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</si>
  <si>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</si>
  <si>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</si>
  <si>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</si>
  <si>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</si>
  <si>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</si>
  <si>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</si>
  <si>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</si>
  <si>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</si>
  <si>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</si>
  <si>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</si>
  <si>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</si>
  <si>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</si>
  <si>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</si>
  <si>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</si>
  <si>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</si>
  <si>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</si>
  <si>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</si>
  <si>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</si>
  <si>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</si>
  <si>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</si>
  <si>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</si>
  <si>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</si>
  <si>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</si>
  <si>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</si>
  <si>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</si>
  <si>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</si>
  <si>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</si>
  <si>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</si>
  <si>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</si>
  <si>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</si>
  <si>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</si>
  <si>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</si>
  <si>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</si>
  <si>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</si>
  <si>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</si>
  <si>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</si>
  <si>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</si>
  <si>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</si>
  <si>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</si>
  <si>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</si>
  <si>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</si>
  <si>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</si>
  <si>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</si>
  <si>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</si>
  <si>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</si>
  <si>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</si>
  <si>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</si>
  <si>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</si>
  <si>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</si>
  <si>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</si>
  <si>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</si>
  <si>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</si>
  <si>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</si>
  <si>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</si>
  <si>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</si>
  <si>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</si>
  <si>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</si>
  <si>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</si>
  <si>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</si>
  <si>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</si>
  <si>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</si>
  <si>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</si>
  <si>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</si>
  <si>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</si>
  <si>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</si>
  <si>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</si>
  <si>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</si>
  <si>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</si>
  <si>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</si>
  <si>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</si>
  <si>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</si>
  <si>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</si>
  <si>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</si>
  <si>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</si>
  <si>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</si>
  <si>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</si>
  <si>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</si>
  <si>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</si>
  <si>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</si>
  <si>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</si>
  <si>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</si>
  <si>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</si>
  <si>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</si>
  <si>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</si>
  <si>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</si>
  <si>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</si>
  <si>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</si>
  <si>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</si>
  <si>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</si>
  <si>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</si>
  <si>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</si>
  <si>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</si>
  <si>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</si>
  <si>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</si>
  <si>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</si>
  <si>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</si>
  <si>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</si>
  <si>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</si>
  <si>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</si>
  <si>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</si>
  <si>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</si>
  <si>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</si>
  <si>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</si>
  <si>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</si>
  <si>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</si>
  <si>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</si>
  <si>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</si>
  <si>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</si>
  <si>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</si>
  <si>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</si>
  <si>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</si>
  <si>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</si>
  <si>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</si>
  <si>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</si>
  <si>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</si>
  <si>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</si>
  <si>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</si>
  <si>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</si>
  <si>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</si>
  <si>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</si>
  <si>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</si>
  <si>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</si>
  <si>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</si>
  <si>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</si>
  <si>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</si>
  <si>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</si>
  <si>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</si>
  <si>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</si>
  <si>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</si>
  <si>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</si>
  <si>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</si>
  <si>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</si>
  <si>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</si>
  <si>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</si>
  <si>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</si>
  <si>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</si>
  <si>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</si>
  <si>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</si>
  <si>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</si>
  <si>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</si>
  <si>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</si>
  <si>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</si>
  <si>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</si>
  <si>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</si>
  <si>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</si>
  <si>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</si>
  <si>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</si>
  <si>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</si>
  <si>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</si>
  <si>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</si>
  <si>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</si>
  <si>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</si>
  <si>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</si>
  <si>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</si>
  <si>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</si>
  <si>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</si>
  <si>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</si>
  <si>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</si>
  <si>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</si>
  <si>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</si>
  <si>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</si>
  <si>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</si>
  <si>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</si>
  <si>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</si>
  <si>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</si>
  <si>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</si>
  <si>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</si>
  <si>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</si>
  <si>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</si>
  <si>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</si>
  <si>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</si>
  <si>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</si>
  <si>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</si>
  <si>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</si>
  <si>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</si>
  <si>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</si>
  <si>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</si>
  <si>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</si>
  <si>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</si>
  <si>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</si>
  <si>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</si>
  <si>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</si>
  <si>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</si>
  <si>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</si>
  <si>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</si>
  <si>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</si>
  <si>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</si>
  <si>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</si>
  <si>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</si>
  <si>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</si>
  <si>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</si>
  <si>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</si>
  <si>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</si>
  <si>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</si>
  <si>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</si>
  <si>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</si>
  <si>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</si>
  <si>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</si>
  <si>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</si>
  <si>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</si>
  <si>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</si>
  <si>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</si>
  <si>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</si>
  <si>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</si>
  <si>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</si>
  <si>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</si>
  <si>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</si>
  <si>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</si>
  <si>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</si>
  <si>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</si>
  <si>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</si>
  <si>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</si>
  <si>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</si>
  <si>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</si>
  <si>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</si>
  <si>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</si>
  <si>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</si>
  <si>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</si>
  <si>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</si>
  <si>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</si>
  <si>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</si>
  <si>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</si>
  <si>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</si>
  <si>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</si>
  <si>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</si>
  <si>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</si>
  <si>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</si>
  <si>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</si>
  <si>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</si>
  <si>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</si>
  <si>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</si>
  <si>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</si>
  <si>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</si>
  <si>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</si>
  <si>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</si>
  <si>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</si>
  <si>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</si>
  <si>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</si>
  <si>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</si>
  <si>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</si>
  <si>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</si>
  <si>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</si>
  <si>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</si>
  <si>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</si>
  <si>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</si>
  <si>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</si>
  <si>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</si>
  <si>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</si>
  <si>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</si>
  <si>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</si>
  <si>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</si>
  <si>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</si>
  <si>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</si>
  <si>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</si>
  <si>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</si>
  <si>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</si>
  <si>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</si>
  <si>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</si>
  <si>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cindytsiang</t>
  </si>
  <si>
    <t>cinytsiang</t>
  </si>
  <si>
    <r>
      <t>Date: 2025</t>
    </r>
    <r>
      <rPr>
        <b/>
        <sz val="10"/>
        <color theme="0"/>
        <rFont val="等线"/>
        <charset val="134"/>
      </rPr>
      <t xml:space="preserve">-04-28 </t>
    </r>
    <r>
      <rPr>
        <b/>
        <sz val="10"/>
        <color theme="0"/>
        <rFont val="新細明體"/>
        <family val="1"/>
        <charset val="136"/>
      </rPr>
      <t xml:space="preserve">- </t>
    </r>
    <r>
      <rPr>
        <b/>
        <sz val="10"/>
        <color theme="0"/>
        <rFont val="Calibri"/>
        <family val="2"/>
        <scheme val="minor"/>
      </rPr>
      <t>2025-05.04</t>
    </r>
  </si>
  <si>
    <t>HKMA discussion: MTR</t>
  </si>
  <si>
    <t>public holiday on 1 May</t>
  </si>
  <si>
    <t>AL/SL/Other Leave on 28 April</t>
  </si>
  <si>
    <t xml:space="preserve"> reviewing CVs and interviews</t>
  </si>
  <si>
    <t>AC resolution / CGC resolution / ToR / structure contracts</t>
  </si>
  <si>
    <t xml:space="preserve"> 网关  / external legal opinion re trust / increase of THL guarantee / INED letter / DPO attendence at CC meeting /  ICBC dispute / migration of cross border business to ZX / CC meeting </t>
  </si>
  <si>
    <t>FR enquiry on Riot disclosure / directors' recusal mechanism  / IR enquiry on remuneration policy and use of GM / CL's NCM acquisition / subscription of Naspers bonds / IR enquiry on board committees / AGM flow / IR enquiry on GM proposal / BRC</t>
  </si>
  <si>
    <t>matters recording / mentoring Scarlett / OKR</t>
  </si>
  <si>
    <t>INED letter / increase of THL guarantee / BM re custodian arrangement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</si>
</sst>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4"/>
  <sheetViews>
    <sheetView tabSelected="1" topLeftCell="A12" zoomScale="70" zoomScaleNormal="70" workbookViewId="0">
      <selection activeCell="I16" sqref="I16"/>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5" t="s">
        <v>0</v>
      </c>
      <c r="C1" s="76"/>
      <c r="D1" s="76"/>
      <c r="E1" s="76"/>
      <c r="F1" s="76"/>
      <c r="G1" s="76"/>
      <c r="H1" s="76"/>
      <c r="I1" s="76"/>
    </row>
    <row r="2" spans="1:9" ht="15.5">
      <c r="B2" s="77"/>
      <c r="C2" s="78"/>
      <c r="D2" s="78"/>
      <c r="E2" s="78"/>
      <c r="F2" s="78"/>
      <c r="G2" s="78"/>
      <c r="H2" s="78"/>
      <c r="I2" s="13" t="s">
        <v>340</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6">
      <c r="B6" s="8" t="s">
        <v>338</v>
      </c>
      <c r="C6" s="9" t="s">
        <v>43</v>
      </c>
      <c r="D6" s="10" t="s">
        <v>18</v>
      </c>
      <c r="E6" s="10" t="s">
        <v>30</v>
      </c>
      <c r="F6" s="9" t="s">
        <v>327</v>
      </c>
      <c r="G6" s="11">
        <v>2.5</v>
      </c>
      <c r="H6" s="9" t="s">
        <v>73</v>
      </c>
      <c r="I6" s="16" t="s">
        <v>345</v>
      </c>
    </row>
    <row r="7" spans="1:9" s="2" customFormat="1" ht="65">
      <c r="B7" s="8" t="s">
        <v>338</v>
      </c>
      <c r="C7" s="9" t="s">
        <v>43</v>
      </c>
      <c r="D7" s="10" t="s">
        <v>18</v>
      </c>
      <c r="E7" s="10" t="s">
        <v>30</v>
      </c>
      <c r="F7" s="9" t="s">
        <v>327</v>
      </c>
      <c r="G7" s="11">
        <v>8.5</v>
      </c>
      <c r="H7" s="9" t="s">
        <v>27</v>
      </c>
      <c r="I7" s="16" t="s">
        <v>347</v>
      </c>
    </row>
    <row r="8" spans="1:9" s="2" customFormat="1" ht="52">
      <c r="B8" s="8" t="s">
        <v>338</v>
      </c>
      <c r="C8" s="9" t="s">
        <v>22</v>
      </c>
      <c r="D8" s="10" t="s">
        <v>55</v>
      </c>
      <c r="E8" s="10" t="s">
        <v>30</v>
      </c>
      <c r="F8" s="9" t="s">
        <v>335</v>
      </c>
      <c r="G8" s="11">
        <v>3.5</v>
      </c>
      <c r="H8" s="9" t="s">
        <v>73</v>
      </c>
      <c r="I8" s="16" t="s">
        <v>349</v>
      </c>
    </row>
    <row r="9" spans="1:9" s="2" customFormat="1" ht="52">
      <c r="B9" s="8" t="s">
        <v>339</v>
      </c>
      <c r="C9" s="9" t="s">
        <v>22</v>
      </c>
      <c r="D9" s="10" t="s">
        <v>55</v>
      </c>
      <c r="E9" s="10" t="s">
        <v>30</v>
      </c>
      <c r="F9" s="9" t="s">
        <v>335</v>
      </c>
      <c r="G9" s="11">
        <v>0.5</v>
      </c>
      <c r="H9" s="9" t="s">
        <v>79</v>
      </c>
      <c r="I9" s="16" t="s">
        <v>341</v>
      </c>
    </row>
    <row r="10" spans="1:9" s="2" customFormat="1" ht="52">
      <c r="B10" s="8" t="s">
        <v>338</v>
      </c>
      <c r="C10" s="9" t="s">
        <v>22</v>
      </c>
      <c r="D10" s="10" t="s">
        <v>55</v>
      </c>
      <c r="E10" s="10" t="s">
        <v>30</v>
      </c>
      <c r="F10" s="9" t="s">
        <v>335</v>
      </c>
      <c r="G10" s="11">
        <v>5.5</v>
      </c>
      <c r="H10" s="9" t="s">
        <v>27</v>
      </c>
      <c r="I10" s="16" t="s">
        <v>346</v>
      </c>
    </row>
    <row r="11" spans="1:9" s="2" customFormat="1" ht="13">
      <c r="B11" s="8" t="s">
        <v>338</v>
      </c>
      <c r="C11" s="9" t="s">
        <v>28</v>
      </c>
      <c r="D11" s="10" t="s">
        <v>31</v>
      </c>
      <c r="E11" s="10" t="s">
        <v>34</v>
      </c>
      <c r="F11" s="9" t="s">
        <v>40</v>
      </c>
      <c r="G11" s="11">
        <v>1</v>
      </c>
      <c r="H11" s="9" t="s">
        <v>31</v>
      </c>
      <c r="I11" s="16" t="s">
        <v>344</v>
      </c>
    </row>
    <row r="12" spans="1:9" s="2" customFormat="1" ht="26">
      <c r="B12" s="8" t="s">
        <v>338</v>
      </c>
      <c r="C12" s="9" t="s">
        <v>28</v>
      </c>
      <c r="D12" s="10" t="s">
        <v>31</v>
      </c>
      <c r="E12" s="10" t="s">
        <v>33</v>
      </c>
      <c r="F12" s="9" t="s">
        <v>39</v>
      </c>
      <c r="G12" s="11">
        <v>1.5</v>
      </c>
      <c r="H12" s="9" t="s">
        <v>75</v>
      </c>
      <c r="I12" s="16" t="s">
        <v>348</v>
      </c>
    </row>
    <row r="13" spans="1:9" s="2" customFormat="1" ht="13">
      <c r="B13" s="8"/>
      <c r="C13" s="9"/>
      <c r="D13" s="10"/>
      <c r="E13" s="10"/>
      <c r="F13" s="9"/>
      <c r="G13" s="11"/>
      <c r="H13" s="9"/>
      <c r="I13" s="16"/>
    </row>
    <row r="14" spans="1:9" s="2" customFormat="1" ht="13">
      <c r="B14" s="8"/>
      <c r="C14" s="9"/>
      <c r="D14" s="10"/>
      <c r="E14" s="10"/>
      <c r="F14" s="9"/>
      <c r="G14" s="11"/>
      <c r="H14" s="9"/>
      <c r="I14" s="16"/>
    </row>
    <row r="15" spans="1:9" s="2" customFormat="1" ht="13">
      <c r="B15" s="8"/>
      <c r="C15" s="9"/>
      <c r="D15" s="10"/>
      <c r="E15" s="10"/>
      <c r="F15" s="9"/>
      <c r="G15" s="11"/>
      <c r="H15" s="9"/>
      <c r="I15" s="16"/>
    </row>
    <row r="16" spans="1:9" s="2" customFormat="1" ht="13">
      <c r="B16" s="8"/>
      <c r="C16" s="9"/>
      <c r="D16" s="10"/>
      <c r="E16" s="10"/>
      <c r="F16" s="9"/>
      <c r="G16" s="11"/>
      <c r="H16" s="9"/>
      <c r="I16" s="16"/>
    </row>
    <row r="17" spans="2:9" s="2" customFormat="1" ht="13">
      <c r="B17" s="8"/>
      <c r="C17" s="9"/>
      <c r="D17" s="10"/>
      <c r="E17" s="10"/>
      <c r="F17" s="9"/>
      <c r="G17" s="11"/>
      <c r="H17" s="9"/>
      <c r="I17" s="16"/>
    </row>
    <row r="18" spans="2:9" s="2" customFormat="1" ht="13">
      <c r="B18" s="8"/>
      <c r="C18" s="9"/>
      <c r="D18" s="10"/>
      <c r="E18" s="10"/>
      <c r="F18" s="9"/>
      <c r="G18" s="11"/>
      <c r="H18" s="9"/>
      <c r="I18" s="16"/>
    </row>
    <row r="19" spans="2:9" s="2" customFormat="1" ht="13">
      <c r="B19" s="8"/>
      <c r="C19" s="9"/>
      <c r="D19" s="10"/>
      <c r="E19" s="10"/>
      <c r="F19" s="9"/>
      <c r="G19" s="11"/>
      <c r="H19" s="9"/>
      <c r="I19" s="16"/>
    </row>
    <row r="20" spans="2:9" s="2" customFormat="1" ht="13">
      <c r="B20" s="8"/>
      <c r="C20" s="9"/>
      <c r="D20" s="10"/>
      <c r="E20" s="10"/>
      <c r="F20" s="9"/>
      <c r="G20" s="11"/>
      <c r="H20" s="9"/>
      <c r="I20" s="16"/>
    </row>
    <row r="21" spans="2:9" s="2" customFormat="1" ht="13">
      <c r="B21" s="8"/>
      <c r="C21" s="9"/>
      <c r="D21" s="10"/>
      <c r="E21" s="10"/>
      <c r="F21" s="9"/>
      <c r="G21" s="11"/>
      <c r="H21" s="9"/>
      <c r="I21" s="16"/>
    </row>
    <row r="22" spans="2:9" s="2" customFormat="1" ht="13">
      <c r="B22" s="8"/>
      <c r="C22" s="9"/>
      <c r="D22" s="10"/>
      <c r="E22" s="10"/>
      <c r="F22" s="9"/>
      <c r="G22" s="11"/>
      <c r="H22" s="9"/>
      <c r="I22" s="16"/>
    </row>
    <row r="23" spans="2:9" s="2" customFormat="1" ht="13">
      <c r="B23" s="8"/>
      <c r="C23" s="9"/>
      <c r="D23" s="10"/>
      <c r="E23" s="10"/>
      <c r="F23" s="9"/>
      <c r="G23" s="11"/>
      <c r="H23" s="9"/>
      <c r="I23" s="16"/>
    </row>
    <row r="24" spans="2:9" s="2" customFormat="1" ht="13">
      <c r="B24" s="8"/>
      <c r="C24" s="9"/>
      <c r="D24" s="10"/>
      <c r="E24" s="10"/>
      <c r="F24" s="9"/>
      <c r="G24" s="11"/>
      <c r="H24" s="9"/>
      <c r="I24" s="16"/>
    </row>
    <row r="25" spans="2:9" s="2" customFormat="1" ht="13">
      <c r="B25" s="8"/>
      <c r="C25" s="9"/>
      <c r="D25" s="10"/>
      <c r="E25" s="10"/>
      <c r="F25" s="9"/>
      <c r="G25" s="11"/>
      <c r="H25" s="9"/>
      <c r="I25" s="16"/>
    </row>
    <row r="26" spans="2:9" s="2" customFormat="1" ht="13">
      <c r="B26" s="8"/>
      <c r="C26" s="9"/>
      <c r="D26" s="10"/>
      <c r="E26" s="10"/>
      <c r="F26" s="9"/>
      <c r="G26" s="11"/>
      <c r="H26" s="9"/>
      <c r="I26" s="16"/>
    </row>
    <row r="27" spans="2:9" s="2" customFormat="1" ht="13">
      <c r="B27" s="8"/>
      <c r="C27" s="9"/>
      <c r="D27" s="10"/>
      <c r="E27" s="10"/>
      <c r="F27" s="9"/>
      <c r="G27" s="11"/>
      <c r="H27" s="9"/>
      <c r="I27" s="16"/>
    </row>
    <row r="28" spans="2:9" s="2" customFormat="1" ht="13">
      <c r="B28" s="8"/>
      <c r="C28" s="9"/>
      <c r="D28" s="10"/>
      <c r="E28" s="10"/>
      <c r="F28" s="9"/>
      <c r="G28" s="11"/>
      <c r="H28" s="9"/>
      <c r="I28" s="16"/>
    </row>
    <row r="29" spans="2:9" s="2" customFormat="1" ht="13">
      <c r="B29" s="8"/>
      <c r="C29" s="9"/>
      <c r="D29" s="10"/>
      <c r="E29" s="10"/>
      <c r="F29" s="9"/>
      <c r="G29" s="11"/>
      <c r="H29" s="9"/>
      <c r="I29" s="16"/>
    </row>
    <row r="30" spans="2:9" s="2" customFormat="1" ht="14.5" customHeight="1">
      <c r="B30" s="79" t="s">
        <v>32</v>
      </c>
      <c r="C30" s="80"/>
      <c r="D30" s="81"/>
      <c r="E30" s="12"/>
      <c r="F30" s="12"/>
      <c r="G30" s="82">
        <f>SUM(G6:G29)</f>
        <v>23</v>
      </c>
      <c r="H30" s="83"/>
      <c r="I30" s="84"/>
    </row>
    <row r="33" spans="2:3">
      <c r="B33" s="17" t="s">
        <v>81</v>
      </c>
      <c r="C33" s="18" t="s">
        <v>343</v>
      </c>
    </row>
    <row r="34" spans="2:3">
      <c r="C34" s="18" t="s">
        <v>342</v>
      </c>
    </row>
  </sheetData>
  <mergeCells count="4">
    <mergeCell ref="B1:I1"/>
    <mergeCell ref="B2:H2"/>
    <mergeCell ref="B30:D30"/>
    <mergeCell ref="G30:I30"/>
  </mergeCells>
  <phoneticPr fontId="10" type="noConversion"/>
  <dataValidations count="3">
    <dataValidation type="list" errorStyle="warning" allowBlank="1" sqref="C7:C29" xr:uid="{00000000-0002-0000-0000-000005000000}">
      <formula1>项目事项分类项目名称</formula1>
    </dataValidation>
    <dataValidation type="list" allowBlank="1" showInputMessage="1" showErrorMessage="1" sqref="F6:F29" xr:uid="{00000000-0002-0000-0000-000002000000}">
      <formula1>INDIRECT($E6)</formula1>
    </dataValidation>
    <dataValidation type="list" allowBlank="1" showInputMessage="1" showErrorMessage="1" sqref="H6:H29"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xm:sqref>
        </x14:dataValidation>
        <x14:dataValidation type="list" allowBlank="1" showInputMessage="1" showErrorMessage="1" promptTitle="Internal Client" xr:uid="{00000000-0002-0000-0000-000004000000}">
          <x14:formula1>
            <xm:f>'Exhibit II - Internal Client'!$A$1:$A$20</xm:f>
          </x14:formula1>
          <xm:sqref>D6:D29</xm:sqref>
        </x14:dataValidation>
        <x14:dataValidation type="list" allowBlank="1" showInputMessage="1" showErrorMessage="1" xr:uid="{00000000-0002-0000-0000-000007000000}">
          <x14:formula1>
            <xm:f>Tag!$B$2:$E$2</xm:f>
          </x14:formula1>
          <xm:sqref>E6:E29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337</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c r="C4" s="89"/>
      <c r="D4" s="92"/>
      <c r="E4" s="93"/>
      <c r="F4" s="89"/>
      <c r="G4" s="89"/>
      <c r="H4" s="89"/>
      <c r="I4" s="89"/>
      <c r="J4" s="89"/>
      <c r="K4" s="20" t="s">
        <v>64</v>
      </c>
      <c r="L4" s="20" t="s">
        <v>65</v>
      </c>
      <c r="M4" s="20" t="s">
        <v>66</v>
      </c>
      <c r="N4" s="20" t="s">
        <v>67</v>
      </c>
    </row>
    <row r="5" spans="2:14" ht="93" outlineLevel="1">
      <c r="C5" s="21" t="s">
        <v>100</v>
      </c>
      <c r="D5" s="98" t="s">
        <v>101</v>
      </c>
      <c r="E5" s="99"/>
      <c r="F5" s="22" t="s">
        <v>102</v>
      </c>
      <c r="G5" s="21" t="s">
        <v>103</v>
      </c>
      <c r="H5" s="21" t="s">
        <v>104</v>
      </c>
      <c r="I5" s="21" t="s">
        <v>105</v>
      </c>
      <c r="J5" s="21" t="s">
        <v>106</v>
      </c>
      <c r="K5" s="100" t="s">
        <v>107</v>
      </c>
      <c r="L5" s="100"/>
      <c r="M5" s="100"/>
      <c r="N5" s="100"/>
    </row>
    <row r="6" spans="2:14" s="23" customFormat="1" ht="186"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48"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77.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310"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5"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55"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108.5"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232.5">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5"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41"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5"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55"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108.5"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77.5"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cindytsiang</cp:lastModifiedBy>
  <dcterms:created xsi:type="dcterms:W3CDTF">2024-05-07T02:03:00Z</dcterms:created>
  <dcterms:modified xsi:type="dcterms:W3CDTF">2025-05-05T23:45:52Z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