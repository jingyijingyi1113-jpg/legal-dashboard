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Cindy\AppData\Local\Microsoft\Windows\INetCache\Content.Outlook\GEPHV85E\"/>
    </mc:Choice>
  </mc:AlternateContent>
  <xr:revisionPtr revIDLastSave="0" documentId="13_ncr:1_{054F84CA-8F52-49B7-A1C2-19555AC2EB93}"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<sst xmlns="http://schemas.openxmlformats.org/spreadsheetml/2006/main" count="496" uniqueCount="351">
  <si>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</si>
  <si>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</si>
  <si>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</si>
  <si>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</si>
  <si>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</si>
  <si>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</si>
  <si>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</si>
  <si>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</si>
  <si>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</si>
  <si>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</si>
  <si>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</si>
  <si>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</si>
  <si>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</si>
  <si>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</si>
  <si>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</si>
  <si>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</si>
  <si>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</si>
  <si>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</si>
  <si>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</si>
  <si>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</si>
  <si>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</si>
  <si>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</si>
  <si>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</si>
  <si>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</si>
  <si>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</si>
  <si>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</si>
  <si>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</si>
  <si>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</si>
  <si>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</si>
  <si>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</si>
  <si>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</si>
  <si>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</si>
  <si>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</si>
  <si>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</si>
  <si>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</si>
  <si>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</si>
  <si>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</si>
  <si>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</si>
  <si>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</si>
  <si>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</si>
  <si>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</si>
  <si>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</si>
  <si>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</si>
  <si>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</si>
  <si>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</si>
  <si>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</si>
  <si>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</si>
  <si>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</si>
  <si>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</si>
  <si>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</si>
  <si>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</si>
  <si>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</si>
  <si>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</si>
  <si>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</si>
  <si>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</si>
  <si>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</si>
  <si>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</si>
  <si>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</si>
  <si>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</si>
  <si>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</si>
  <si>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</si>
  <si>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</si>
  <si>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</si>
  <si>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</si>
  <si>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</si>
  <si>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</si>
  <si>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</si>
  <si>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</si>
  <si>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</si>
  <si>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</si>
  <si>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</si>
  <si>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</si>
  <si>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</si>
  <si>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</si>
  <si>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</si>
  <si>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</si>
  <si>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</si>
  <si>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</si>
  <si>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</si>
  <si>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</si>
  <si>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</si>
  <si>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</si>
  <si>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</si>
  <si>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</si>
  <si>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</si>
  <si>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</si>
  <si>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</si>
  <si>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</si>
  <si>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</si>
  <si>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</si>
  <si>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</si>
  <si>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</si>
  <si>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</si>
  <si>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</si>
  <si>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</si>
  <si>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</si>
  <si>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</si>
  <si>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</si>
  <si>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</si>
  <si>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</si>
  <si>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</si>
  <si>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</si>
  <si>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</si>
  <si>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</si>
  <si>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</si>
  <si>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</si>
  <si>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</si>
  <si>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</si>
  <si>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</si>
  <si>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</si>
  <si>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</si>
  <si>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</si>
  <si>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</si>
  <si>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</si>
  <si>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</si>
  <si>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</si>
  <si>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</si>
  <si>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</si>
  <si>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</si>
  <si>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</si>
  <si>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</si>
  <si>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</si>
  <si>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</si>
  <si>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</si>
  <si>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</si>
  <si>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</si>
  <si>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</si>
  <si>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</si>
  <si>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</si>
  <si>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</si>
  <si>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</si>
  <si>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</si>
  <si>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</si>
  <si>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</si>
  <si>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</si>
  <si>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</si>
  <si>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</si>
  <si>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</si>
  <si>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</si>
  <si>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</si>
  <si>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</si>
  <si>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</si>
  <si>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</si>
  <si>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</si>
  <si>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</si>
  <si>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</si>
  <si>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</si>
  <si>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</si>
  <si>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</si>
  <si>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</si>
  <si>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</si>
  <si>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</si>
  <si>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</si>
  <si>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</si>
  <si>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</si>
  <si>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</si>
  <si>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</si>
  <si>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</si>
  <si>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</si>
  <si>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</si>
  <si>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</si>
  <si>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</si>
  <si>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</si>
  <si>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</si>
  <si>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</si>
  <si>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</si>
  <si>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</si>
  <si>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</si>
  <si>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</si>
  <si>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</si>
  <si>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</si>
  <si>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</si>
  <si>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</si>
  <si>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</si>
  <si>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</si>
  <si>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</si>
  <si>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</si>
  <si>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</si>
  <si>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</si>
  <si>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</si>
  <si>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</si>
  <si>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</si>
  <si>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</si>
  <si>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</si>
  <si>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</si>
  <si>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</si>
  <si>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</si>
  <si>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</si>
  <si>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</si>
  <si>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</si>
  <si>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</si>
  <si>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</si>
  <si>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</si>
  <si>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</si>
  <si>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</si>
  <si>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</si>
  <si>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</si>
  <si>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</si>
  <si>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</si>
  <si>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</si>
  <si>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</si>
  <si>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</si>
  <si>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</si>
  <si>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</si>
  <si>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</si>
  <si>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</si>
  <si>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</si>
  <si>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</si>
  <si>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</si>
  <si>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</si>
  <si>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</si>
  <si>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</si>
  <si>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</si>
  <si>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</si>
  <si>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</si>
  <si>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</si>
  <si>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</si>
  <si>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</si>
  <si>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</si>
  <si>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</si>
  <si>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</si>
  <si>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</si>
  <si>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</si>
  <si>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</si>
  <si>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</si>
  <si>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</si>
  <si>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</si>
  <si>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</si>
  <si>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</si>
  <si>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</si>
  <si>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</si>
  <si>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</si>
  <si>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</si>
  <si>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</si>
  <si>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</si>
  <si>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</si>
  <si>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</si>
  <si>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</si>
  <si>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</si>
  <si>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</si>
  <si>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</si>
  <si>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</si>
  <si>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</si>
  <si>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</si>
  <si>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</si>
  <si>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</si>
  <si>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</si>
  <si>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</si>
  <si>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</si>
  <si>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</si>
  <si>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</si>
  <si>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</si>
  <si>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</si>
  <si>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</si>
  <si>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</si>
  <si>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</si>
  <si>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</si>
  <si>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</si>
  <si>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</si>
  <si>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</si>
  <si>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</si>
  <si>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</si>
  <si>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</si>
  <si>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</si>
  <si>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</si>
  <si>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</si>
  <si>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</si>
  <si>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</si>
  <si>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</si>
  <si>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</si>
  <si>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</si>
  <si>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</si>
  <si>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</si>
  <si>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</si>
  <si>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</si>
  <si>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</si>
  <si>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</si>
  <si>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</si>
  <si>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</si>
  <si>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</si>
  <si>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</si>
  <si>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</si>
  <si>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</si>
  <si>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</si>
  <si>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</si>
  <si>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</si>
  <si>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</si>
  <si>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</si>
  <si>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</si>
  <si>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</si>
  <si>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</si>
  <si>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</si>
  <si>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</si>
  <si>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</si>
  <si>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</si>
  <si>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</si>
  <si>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</si>
  <si>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</si>
  <si>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</si>
  <si>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</si>
  <si>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</si>
  <si>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</si>
  <si>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</si>
  <si>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</si>
  <si>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</si>
  <si>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</si>
  <si>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</si>
  <si>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</si>
  <si>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</si>
  <si>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</si>
  <si>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</si>
  <si>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</si>
  <si>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</si>
  <si>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</si>
  <si>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</si>
  <si>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</si>
  <si>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</si>
  <si>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</si>
  <si>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</si>
  <si>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</si>
  <si>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</si>
  <si>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</si>
  <si>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</si>
  <si>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</si>
  <si>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</si>
  <si>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</si>
  <si>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</si>
  <si>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</si>
  <si>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</si>
  <si>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</si>
  <si>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</si>
  <si>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</si>
  <si>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</si>
  <si>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</si>
  <si>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</si>
  <si>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</si>
  <si>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</si>
  <si>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</si>
  <si>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</si>
  <si>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</si>
  <si>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cinytsiang</t>
  </si>
  <si>
    <r>
      <t>Date: 2025</t>
    </r>
    <r>
      <rPr>
        <b/>
        <sz val="10"/>
        <color theme="0"/>
        <rFont val="等线"/>
        <charset val="134"/>
      </rPr>
      <t xml:space="preserve">-04-14 </t>
    </r>
    <r>
      <rPr>
        <b/>
        <sz val="10"/>
        <color theme="0"/>
        <rFont val="新細明體"/>
        <family val="1"/>
        <charset val="136"/>
      </rPr>
      <t xml:space="preserve">- </t>
    </r>
    <r>
      <rPr>
        <b/>
        <sz val="10"/>
        <color theme="0"/>
        <rFont val="Calibri"/>
        <family val="2"/>
        <scheme val="minor"/>
      </rPr>
      <t>2025-04.20</t>
    </r>
  </si>
  <si>
    <t>restrictions on trading in parent's securities</t>
  </si>
  <si>
    <t>reporting to management on self assessment 2024 and INED role / documents re ICBCA dispute</t>
  </si>
  <si>
    <t>self assessment 2024 / service fee waiver for SME</t>
  </si>
  <si>
    <t>wealth management products / NCM / associated corp / Tencent america shareholding  / board notification protocol</t>
  </si>
  <si>
    <t>public holiday on 18 April</t>
  </si>
  <si>
    <t>BRC note / 700 board notification protocol / 华住 IC memo / AC ToR</t>
  </si>
  <si>
    <t xml:space="preserve"> follow up on prudential meeting / ICBCA dispute / Tenpay outsourcing / 微信支付商家出资汇率活动项目 / expansion through Tenpay / Checkout merchants / 网关新方案 / cybersecurity committee meeting</t>
  </si>
  <si>
    <t xml:space="preserve"> reviewing CVs and interviews </t>
  </si>
  <si>
    <t>matters recording / mentoring Scarlett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</si>
</sst>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70" zoomScaleNormal="70" workbookViewId="0">
      <selection activeCell="I9" sqref="I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4.5</v>
      </c>
      <c r="H6" s="9" t="s">
        <v>73</v>
      </c>
      <c r="I6" s="16" t="s">
        <v>347</v>
      </c>
    </row>
    <row r="7" spans="1:9" s="2" customFormat="1" ht="26">
      <c r="B7" s="8" t="s">
        <v>338</v>
      </c>
      <c r="C7" s="9" t="s">
        <v>43</v>
      </c>
      <c r="D7" s="10" t="s">
        <v>18</v>
      </c>
      <c r="E7" s="10" t="s">
        <v>30</v>
      </c>
      <c r="F7" s="9" t="s">
        <v>327</v>
      </c>
      <c r="G7" s="11">
        <v>0.5</v>
      </c>
      <c r="H7" s="9" t="s">
        <v>24</v>
      </c>
      <c r="I7" s="16" t="s">
        <v>342</v>
      </c>
    </row>
    <row r="8" spans="1:9" s="2" customFormat="1" ht="39">
      <c r="B8" s="8" t="s">
        <v>338</v>
      </c>
      <c r="C8" s="9" t="s">
        <v>43</v>
      </c>
      <c r="D8" s="10" t="s">
        <v>18</v>
      </c>
      <c r="E8" s="10" t="s">
        <v>30</v>
      </c>
      <c r="F8" s="9" t="s">
        <v>327</v>
      </c>
      <c r="G8" s="11">
        <v>4</v>
      </c>
      <c r="H8" s="9" t="s">
        <v>27</v>
      </c>
      <c r="I8" s="16" t="s">
        <v>345</v>
      </c>
    </row>
    <row r="9" spans="1:9" s="2" customFormat="1" ht="52">
      <c r="B9" s="8" t="s">
        <v>338</v>
      </c>
      <c r="C9" s="9" t="s">
        <v>22</v>
      </c>
      <c r="D9" s="10" t="s">
        <v>55</v>
      </c>
      <c r="E9" s="10" t="s">
        <v>30</v>
      </c>
      <c r="F9" s="9" t="s">
        <v>335</v>
      </c>
      <c r="G9" s="11">
        <v>5</v>
      </c>
      <c r="H9" s="9" t="s">
        <v>73</v>
      </c>
      <c r="I9" s="16" t="s">
        <v>343</v>
      </c>
    </row>
    <row r="10" spans="1:9" s="2" customFormat="1" ht="52">
      <c r="B10" s="8" t="s">
        <v>340</v>
      </c>
      <c r="C10" s="9" t="s">
        <v>22</v>
      </c>
      <c r="D10" s="10" t="s">
        <v>55</v>
      </c>
      <c r="E10" s="10" t="s">
        <v>30</v>
      </c>
      <c r="F10" s="9" t="s">
        <v>335</v>
      </c>
      <c r="G10" s="11">
        <v>1</v>
      </c>
      <c r="H10" s="9" t="s">
        <v>79</v>
      </c>
      <c r="I10" s="16" t="s">
        <v>344</v>
      </c>
    </row>
    <row r="11" spans="1:9" s="2" customFormat="1" ht="65">
      <c r="B11" s="8" t="s">
        <v>338</v>
      </c>
      <c r="C11" s="9" t="s">
        <v>22</v>
      </c>
      <c r="D11" s="10" t="s">
        <v>55</v>
      </c>
      <c r="E11" s="10" t="s">
        <v>30</v>
      </c>
      <c r="F11" s="9" t="s">
        <v>335</v>
      </c>
      <c r="G11" s="11">
        <v>9.5</v>
      </c>
      <c r="H11" s="9" t="s">
        <v>27</v>
      </c>
      <c r="I11" s="16" t="s">
        <v>348</v>
      </c>
    </row>
    <row r="12" spans="1:9" s="2" customFormat="1" ht="13">
      <c r="B12" s="8" t="s">
        <v>338</v>
      </c>
      <c r="C12" s="9" t="s">
        <v>28</v>
      </c>
      <c r="D12" s="10" t="s">
        <v>31</v>
      </c>
      <c r="E12" s="10" t="s">
        <v>34</v>
      </c>
      <c r="F12" s="9" t="s">
        <v>40</v>
      </c>
      <c r="G12" s="11">
        <v>1</v>
      </c>
      <c r="H12" s="9" t="s">
        <v>31</v>
      </c>
      <c r="I12" s="16" t="s">
        <v>349</v>
      </c>
    </row>
    <row r="13" spans="1:9" s="2" customFormat="1" ht="26">
      <c r="B13" s="8" t="s">
        <v>338</v>
      </c>
      <c r="C13" s="9" t="s">
        <v>28</v>
      </c>
      <c r="D13" s="10" t="s">
        <v>31</v>
      </c>
      <c r="E13" s="10" t="s">
        <v>33</v>
      </c>
      <c r="F13" s="9" t="s">
        <v>39</v>
      </c>
      <c r="G13" s="11">
        <v>1</v>
      </c>
      <c r="H13" s="9" t="s">
        <v>75</v>
      </c>
      <c r="I13" s="16" t="s">
        <v>350</v>
      </c>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4.5" customHeight="1">
      <c r="B31" s="79" t="s">
        <v>32</v>
      </c>
      <c r="C31" s="80"/>
      <c r="D31" s="81"/>
      <c r="E31" s="12"/>
      <c r="F31" s="12"/>
      <c r="G31" s="82">
        <f>SUM(G6:G30)</f>
        <v>26.5</v>
      </c>
      <c r="H31" s="83"/>
      <c r="I31" s="84"/>
    </row>
    <row r="34" spans="2:3">
      <c r="B34" s="17" t="s">
        <v>81</v>
      </c>
      <c r="C34" s="18" t="s">
        <v>339</v>
      </c>
    </row>
    <row r="35" spans="2:3">
      <c r="C35" s="18" t="s">
        <v>346</v>
      </c>
    </row>
  </sheetData>
  <mergeCells count="4">
    <mergeCell ref="B1:I1"/>
    <mergeCell ref="B2:H2"/>
    <mergeCell ref="B31:D31"/>
    <mergeCell ref="G31:I31"/>
  </mergeCells>
  <phoneticPr fontId="10" type="noConversion"/>
  <dataValidations count="3">
    <dataValidation type="list" errorStyle="warning" allowBlank="1" sqref="C7:C30" xr:uid="{00000000-0002-0000-0000-000005000000}">
      <formula1>项目事项分类项目名称</formula1>
    </dataValidation>
    <dataValidation type="list" allowBlank="1" showInputMessage="1" showErrorMessage="1" sqref="F6:F30" xr:uid="{00000000-0002-0000-0000-000002000000}">
      <formula1>INDIRECT($E6)</formula1>
    </dataValidation>
    <dataValidation type="list" allowBlank="1" showInputMessage="1" showErrorMessage="1" sqref="H6:H3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D6:D30</xm:sqref>
        </x14:dataValidation>
        <x14:dataValidation type="list" allowBlank="1" showInputMessage="1" showErrorMessage="1" xr:uid="{00000000-0002-0000-0000-000007000000}">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2025-04-22T01:34:43Z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