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D934D484-D396-4F6C-B92D-66127DF15409}"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<sst xmlns="http://schemas.openxmlformats.org/spreadsheetml/2006/main" count="496" uniqueCount="350">
  <si>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</si>
  <si>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</si>
  <si>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</si>
  <si>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</si>
  <si>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</si>
  <si>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</si>
  <si>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</si>
  <si>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</si>
  <si>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</si>
  <si>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</si>
  <si>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</si>
  <si>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</si>
  <si>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</si>
  <si>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</si>
  <si>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</si>
  <si>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</si>
  <si>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</si>
  <si>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</si>
  <si>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</si>
  <si>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</si>
  <si>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</si>
  <si>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</si>
  <si>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</si>
  <si>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</si>
  <si>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</si>
  <si>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</si>
  <si>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</si>
  <si>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</si>
  <si>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</si>
  <si>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</si>
  <si>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</si>
  <si>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</si>
  <si>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</si>
  <si>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</si>
  <si>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</si>
  <si>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</si>
  <si>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</si>
  <si>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</si>
  <si>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</si>
  <si>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</si>
  <si>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</si>
  <si>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</si>
  <si>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</si>
  <si>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</si>
  <si>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</si>
  <si>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</si>
  <si>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</si>
  <si>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</si>
  <si>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</si>
  <si>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</si>
  <si>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</si>
  <si>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</si>
  <si>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</si>
  <si>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</si>
  <si>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</si>
  <si>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</si>
  <si>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</si>
  <si>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</si>
  <si>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</si>
  <si>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</si>
  <si>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</si>
  <si>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</si>
  <si>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</si>
  <si>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</si>
  <si>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</si>
  <si>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</si>
  <si>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</si>
  <si>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</si>
  <si>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</si>
  <si>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</si>
  <si>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</si>
  <si>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</si>
  <si>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</si>
  <si>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</si>
  <si>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</si>
  <si>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</si>
  <si>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</si>
  <si>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</si>
  <si>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</si>
  <si>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</si>
  <si>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</si>
  <si>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</si>
  <si>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</si>
  <si>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</si>
  <si>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</si>
  <si>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</si>
  <si>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</si>
  <si>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</si>
  <si>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</si>
  <si>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</si>
  <si>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</si>
  <si>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</si>
  <si>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</si>
  <si>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</si>
  <si>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</si>
  <si>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</si>
  <si>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</si>
  <si>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</si>
  <si>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</si>
  <si>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</si>
  <si>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</si>
  <si>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</si>
  <si>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</si>
  <si>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</si>
  <si>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</si>
  <si>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</si>
  <si>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</si>
  <si>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</si>
  <si>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</si>
  <si>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</si>
  <si>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</si>
  <si>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</si>
  <si>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</si>
  <si>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</si>
  <si>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</si>
  <si>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</si>
  <si>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</si>
  <si>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</si>
  <si>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</si>
  <si>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</si>
  <si>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</si>
  <si>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</si>
  <si>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</si>
  <si>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</si>
  <si>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</si>
  <si>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</si>
  <si>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</si>
  <si>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</si>
  <si>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</si>
  <si>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</si>
  <si>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</si>
  <si>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</si>
  <si>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</si>
  <si>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</si>
  <si>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</si>
  <si>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</si>
  <si>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</si>
  <si>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</si>
  <si>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</si>
  <si>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</si>
  <si>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</si>
  <si>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</si>
  <si>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</si>
  <si>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</si>
  <si>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</si>
  <si>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</si>
  <si>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</si>
  <si>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</si>
  <si>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</si>
  <si>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</si>
  <si>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</si>
  <si>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</si>
  <si>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</si>
  <si>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</si>
  <si>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</si>
  <si>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</si>
  <si>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</si>
  <si>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</si>
  <si>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</si>
  <si>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</si>
  <si>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</si>
  <si>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</si>
  <si>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</si>
  <si>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</si>
  <si>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</si>
  <si>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</si>
  <si>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</si>
  <si>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</si>
  <si>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</si>
  <si>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</si>
  <si>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</si>
  <si>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</si>
  <si>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</si>
  <si>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</si>
  <si>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</si>
  <si>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</si>
  <si>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</si>
  <si>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</si>
  <si>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</si>
  <si>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</si>
  <si>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</si>
  <si>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</si>
  <si>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</si>
  <si>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</si>
  <si>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</si>
  <si>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</si>
  <si>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</si>
  <si>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</si>
  <si>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</si>
  <si>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</si>
  <si>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</si>
  <si>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</si>
  <si>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</si>
  <si>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</si>
  <si>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</si>
  <si>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</si>
  <si>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</si>
  <si>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</si>
  <si>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</si>
  <si>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</si>
  <si>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</si>
  <si>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</si>
  <si>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</si>
  <si>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</si>
  <si>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</si>
  <si>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</si>
  <si>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</si>
  <si>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</si>
  <si>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</si>
  <si>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</si>
  <si>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</si>
  <si>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</si>
  <si>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</si>
  <si>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</si>
  <si>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</si>
  <si>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</si>
  <si>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</si>
  <si>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</si>
  <si>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</si>
  <si>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</si>
  <si>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</si>
  <si>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</si>
  <si>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</si>
  <si>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</si>
  <si>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</si>
  <si>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</si>
  <si>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</si>
  <si>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</si>
  <si>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</si>
  <si>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</si>
  <si>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</si>
  <si>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</si>
  <si>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</si>
  <si>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</si>
  <si>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</si>
  <si>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</si>
  <si>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</si>
  <si>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</si>
  <si>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</si>
  <si>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</si>
  <si>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</si>
  <si>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</si>
  <si>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</si>
  <si>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</si>
  <si>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</si>
  <si>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</si>
  <si>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</si>
  <si>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</si>
  <si>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</si>
  <si>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</si>
  <si>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</si>
  <si>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</si>
  <si>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</si>
  <si>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</si>
  <si>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</si>
  <si>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</si>
  <si>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</si>
  <si>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</si>
  <si>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</si>
  <si>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</si>
  <si>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</si>
  <si>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</si>
  <si>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</si>
  <si>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</si>
  <si>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</si>
  <si>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</si>
  <si>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</si>
  <si>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</si>
  <si>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</si>
  <si>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</si>
  <si>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</si>
  <si>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</si>
  <si>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</si>
  <si>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</si>
  <si>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</si>
  <si>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</si>
  <si>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</si>
  <si>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</si>
  <si>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</si>
  <si>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</si>
  <si>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</si>
  <si>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</si>
  <si>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</si>
  <si>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</si>
  <si>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</si>
  <si>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</si>
  <si>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</si>
  <si>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</si>
  <si>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</si>
  <si>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</si>
  <si>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</si>
  <si>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</si>
  <si>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</si>
  <si>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</si>
  <si>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</si>
  <si>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</si>
  <si>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</si>
  <si>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</si>
  <si>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</si>
  <si>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</si>
  <si>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</si>
  <si>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</si>
  <si>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</si>
  <si>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</si>
  <si>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</si>
  <si>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</si>
  <si>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</si>
  <si>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</si>
  <si>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</si>
  <si>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</si>
  <si>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</si>
  <si>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</si>
  <si>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</si>
  <si>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</si>
  <si>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</si>
  <si>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</si>
  <si>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</si>
  <si>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</si>
  <si>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</si>
  <si>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</si>
  <si>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</si>
  <si>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</si>
  <si>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</si>
  <si>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</si>
  <si>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</si>
  <si>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</si>
  <si>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</si>
  <si>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</si>
  <si>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</si>
  <si>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</si>
  <si>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</si>
  <si>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</si>
  <si>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</si>
  <si>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</si>
  <si>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</si>
  <si>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</si>
  <si>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</si>
  <si>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</si>
  <si>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</si>
  <si>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public holiday on </t>
  </si>
  <si>
    <t>timesheet recording</t>
  </si>
  <si>
    <t>BRC</t>
  </si>
  <si>
    <t>SFC meeting on anti-scam</t>
  </si>
  <si>
    <t xml:space="preserve">non-compete undertaking / grant letter for options and RSUs / CG report amendment re CG code compliance / resolution re share repurchase mandate to directors / Q3 results </t>
  </si>
  <si>
    <t xml:space="preserve"> non-compete undertaking re RSU grant /  enquiry on ma huateng foundation / insider dealing policy / CG report amendment re CG code compliance / share grant annc </t>
  </si>
  <si>
    <t>CTD presentation preparation</t>
  </si>
  <si>
    <t>yeguan inspection on WPHK / HKMA information request / KPMG contract</t>
  </si>
  <si>
    <t xml:space="preserve"> SFC meeting on anti-scam  / Tenpay fx gain / payment security offsite questiononaire / e-laisee survey / data sharing with Tenpay / HKMA information request / payment security offsite</t>
  </si>
  <si>
    <r>
      <t>Date: 2025</t>
    </r>
    <r>
      <rPr>
        <b/>
        <sz val="10"/>
        <color theme="0"/>
        <rFont val="等线"/>
        <charset val="134"/>
      </rPr>
      <t>-11.10</t>
    </r>
    <r>
      <rPr>
        <b/>
        <sz val="10"/>
        <color theme="0"/>
        <rFont val="新細明體"/>
        <family val="1"/>
        <charset val="136"/>
      </rPr>
      <t xml:space="preserve">- </t>
    </r>
    <r>
      <rPr>
        <b/>
        <sz val="10"/>
        <color theme="0"/>
        <rFont val="Calibri"/>
        <family val="2"/>
        <scheme val="minor"/>
      </rPr>
      <t>2025-11.16</t>
    </r>
  </si>
  <si>
    <t>AL/SL/Other Leave on 13 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</si>
</sst>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A11" zoomScaleNormal="100" workbookViewId="0">
      <selection activeCell="F29" sqref="F2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2">
      <c r="B6" s="8" t="s">
        <v>338</v>
      </c>
      <c r="C6" s="9" t="s">
        <v>43</v>
      </c>
      <c r="D6" s="10" t="s">
        <v>18</v>
      </c>
      <c r="E6" s="10" t="s">
        <v>30</v>
      </c>
      <c r="F6" s="9" t="s">
        <v>327</v>
      </c>
      <c r="G6" s="11">
        <v>11.5</v>
      </c>
      <c r="H6" s="9" t="s">
        <v>73</v>
      </c>
      <c r="I6" s="16" t="s">
        <v>343</v>
      </c>
    </row>
    <row r="7" spans="1:9" s="2" customFormat="1" ht="52">
      <c r="B7" s="8" t="s">
        <v>338</v>
      </c>
      <c r="C7" s="9" t="s">
        <v>43</v>
      </c>
      <c r="D7" s="10" t="s">
        <v>18</v>
      </c>
      <c r="E7" s="10" t="s">
        <v>30</v>
      </c>
      <c r="F7" s="9" t="s">
        <v>327</v>
      </c>
      <c r="G7" s="11">
        <v>4.5</v>
      </c>
      <c r="H7" s="9" t="s">
        <v>27</v>
      </c>
      <c r="I7" s="16" t="s">
        <v>344</v>
      </c>
    </row>
    <row r="8" spans="1:9" s="2" customFormat="1" ht="52">
      <c r="B8" s="8" t="s">
        <v>338</v>
      </c>
      <c r="C8" s="9" t="s">
        <v>43</v>
      </c>
      <c r="D8" s="10" t="s">
        <v>47</v>
      </c>
      <c r="E8" s="10" t="s">
        <v>30</v>
      </c>
      <c r="F8" s="9" t="s">
        <v>332</v>
      </c>
      <c r="G8" s="11">
        <v>2.5</v>
      </c>
      <c r="H8" s="9" t="s">
        <v>27</v>
      </c>
      <c r="I8" s="16" t="s">
        <v>341</v>
      </c>
    </row>
    <row r="9" spans="1:9" s="2" customFormat="1" ht="52">
      <c r="B9" s="8" t="s">
        <v>338</v>
      </c>
      <c r="C9" s="9" t="s">
        <v>22</v>
      </c>
      <c r="D9" s="10" t="s">
        <v>55</v>
      </c>
      <c r="E9" s="10" t="s">
        <v>30</v>
      </c>
      <c r="F9" s="9" t="s">
        <v>335</v>
      </c>
      <c r="G9" s="11">
        <v>1</v>
      </c>
      <c r="H9" s="9" t="s">
        <v>73</v>
      </c>
      <c r="I9" s="16" t="s">
        <v>346</v>
      </c>
    </row>
    <row r="10" spans="1:9" s="2" customFormat="1" ht="52">
      <c r="B10" s="8" t="s">
        <v>338</v>
      </c>
      <c r="C10" s="9" t="s">
        <v>22</v>
      </c>
      <c r="D10" s="10" t="s">
        <v>55</v>
      </c>
      <c r="E10" s="10" t="s">
        <v>30</v>
      </c>
      <c r="F10" s="9" t="s">
        <v>335</v>
      </c>
      <c r="G10" s="11">
        <v>0.5</v>
      </c>
      <c r="H10" s="9" t="s">
        <v>79</v>
      </c>
      <c r="I10" s="16" t="s">
        <v>342</v>
      </c>
    </row>
    <row r="11" spans="1:9" s="2" customFormat="1" ht="163" customHeight="1">
      <c r="B11" s="8" t="s">
        <v>338</v>
      </c>
      <c r="C11" s="9" t="s">
        <v>22</v>
      </c>
      <c r="D11" s="10" t="s">
        <v>55</v>
      </c>
      <c r="E11" s="10" t="s">
        <v>30</v>
      </c>
      <c r="F11" s="9" t="s">
        <v>335</v>
      </c>
      <c r="G11" s="11">
        <v>4.5</v>
      </c>
      <c r="H11" s="9" t="s">
        <v>27</v>
      </c>
      <c r="I11" s="16" t="s">
        <v>347</v>
      </c>
    </row>
    <row r="12" spans="1:9" s="2" customFormat="1" ht="26">
      <c r="B12" s="8" t="s">
        <v>338</v>
      </c>
      <c r="C12" s="9" t="s">
        <v>28</v>
      </c>
      <c r="D12" s="10" t="s">
        <v>31</v>
      </c>
      <c r="E12" s="10" t="s">
        <v>33</v>
      </c>
      <c r="F12" s="9" t="s">
        <v>39</v>
      </c>
      <c r="G12" s="11">
        <v>0.5</v>
      </c>
      <c r="H12" s="9" t="s">
        <v>75</v>
      </c>
      <c r="I12" s="16" t="s">
        <v>340</v>
      </c>
    </row>
    <row r="13" spans="1:9" s="2" customFormat="1" ht="13">
      <c r="B13" s="8" t="s">
        <v>338</v>
      </c>
      <c r="C13" s="9" t="s">
        <v>28</v>
      </c>
      <c r="D13" s="10" t="s">
        <v>31</v>
      </c>
      <c r="E13" s="10" t="s">
        <v>33</v>
      </c>
      <c r="F13" s="9" t="s">
        <v>35</v>
      </c>
      <c r="G13" s="11">
        <v>7</v>
      </c>
      <c r="H13" s="9" t="s">
        <v>78</v>
      </c>
      <c r="I13" s="16" t="s">
        <v>345</v>
      </c>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4.5" customHeight="1">
      <c r="B20" s="80" t="s">
        <v>32</v>
      </c>
      <c r="C20" s="81"/>
      <c r="D20" s="82"/>
      <c r="E20" s="12"/>
      <c r="F20" s="12"/>
      <c r="G20" s="83">
        <f>SUM(G6:G19)</f>
        <v>32</v>
      </c>
      <c r="H20" s="84"/>
      <c r="I20" s="85"/>
    </row>
    <row r="23" spans="2:9">
      <c r="B23" s="17" t="s">
        <v>81</v>
      </c>
      <c r="C23" s="18" t="s">
        <v>349</v>
      </c>
      <c r="D23" s="75"/>
    </row>
    <row r="24" spans="2:9">
      <c r="C24" s="18" t="s">
        <v>339</v>
      </c>
      <c r="D24" s="75"/>
    </row>
  </sheetData>
  <mergeCells count="4">
    <mergeCell ref="B1:I1"/>
    <mergeCell ref="B2:H2"/>
    <mergeCell ref="B20:D20"/>
    <mergeCell ref="G20:I20"/>
  </mergeCells>
  <phoneticPr fontId="10" type="noConversion"/>
  <dataValidations count="3">
    <dataValidation type="list" allowBlank="1" showInputMessage="1" showErrorMessage="1" sqref="H6:H19" xr:uid="{00000000-0002-0000-0000-000006000000}">
      <formula1>事项分类指定内容</formula1>
    </dataValidation>
    <dataValidation type="list" errorStyle="warning" allowBlank="1" sqref="C7:C19" xr:uid="{00000000-0002-0000-0000-000005000000}">
      <formula1>项目事项分类项目名称</formula1>
    </dataValidation>
    <dataValidation type="list" allowBlank="1" showInputMessage="1" showErrorMessage="1" sqref="F6:F1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D13:D19 D6:D12</xm:sqref>
        </x14:dataValidation>
        <x14:dataValidation type="list" allowBlank="1" showInputMessage="1" showErrorMessage="1" xr:uid="{00000000-0002-0000-0000-000007000000}">
          <x14:formula1>
            <xm:f>Tag!$B$2:$E$2</xm:f>
          </x14:formula1>
          <xm:sqref>E6:E19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93"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2025-11-25T00:40:19Z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