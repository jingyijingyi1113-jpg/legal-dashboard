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Cindy\"/>
    </mc:Choice>
  </mc:AlternateContent>
  <xr:revisionPtr revIDLastSave="0" documentId="8_{FC747E1A-4A13-45A6-A0DF-6FF0DFEA1E98}"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<sst xmlns="http://schemas.openxmlformats.org/spreadsheetml/2006/main" count="482" uniqueCount="348">
  <si>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</si>
  <si>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</si>
  <si>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</si>
  <si>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</si>
  <si>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</si>
  <si>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</si>
  <si>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</si>
  <si>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</si>
  <si>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</si>
  <si>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</si>
  <si>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</si>
  <si>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</si>
  <si>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</si>
  <si>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</si>
  <si>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</si>
  <si>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</si>
  <si>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</si>
  <si>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</si>
  <si>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</si>
  <si>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</si>
  <si>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</si>
  <si>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</si>
  <si>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</si>
  <si>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</si>
  <si>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</si>
  <si>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</si>
  <si>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</si>
  <si>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</si>
  <si>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</si>
  <si>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</si>
  <si>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</si>
  <si>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</si>
  <si>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</si>
  <si>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</si>
  <si>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</si>
  <si>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</si>
  <si>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</si>
  <si>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</si>
  <si>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</si>
  <si>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</si>
  <si>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</si>
  <si>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</si>
  <si>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</si>
  <si>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</si>
  <si>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</si>
  <si>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</si>
  <si>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</si>
  <si>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</si>
  <si>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</si>
  <si>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</si>
  <si>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</si>
  <si>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</si>
  <si>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</si>
  <si>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</si>
  <si>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</si>
  <si>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</si>
  <si>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</si>
  <si>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</si>
  <si>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</si>
  <si>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</si>
  <si>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</si>
  <si>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</si>
  <si>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</si>
  <si>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</si>
  <si>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</si>
  <si>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</si>
  <si>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</si>
  <si>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</si>
  <si>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</si>
  <si>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</si>
  <si>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</si>
  <si>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</si>
  <si>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</si>
  <si>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</si>
  <si>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</si>
  <si>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</si>
  <si>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</si>
  <si>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</si>
  <si>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</si>
  <si>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</si>
  <si>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</si>
  <si>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</si>
  <si>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</si>
  <si>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</si>
  <si>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</si>
  <si>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</si>
  <si>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</si>
  <si>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</si>
  <si>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</si>
  <si>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</si>
  <si>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</si>
  <si>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</si>
  <si>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</si>
  <si>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</si>
  <si>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</si>
  <si>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</si>
  <si>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</si>
  <si>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</si>
  <si>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</si>
  <si>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</si>
  <si>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</si>
  <si>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</si>
  <si>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</si>
  <si>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</si>
  <si>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</si>
  <si>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</si>
  <si>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</si>
  <si>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</si>
  <si>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</si>
  <si>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</si>
  <si>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</si>
  <si>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</si>
  <si>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</si>
  <si>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</si>
  <si>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</si>
  <si>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</si>
  <si>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</si>
  <si>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</si>
  <si>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</si>
  <si>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</si>
  <si>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</si>
  <si>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</si>
  <si>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</si>
  <si>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</si>
  <si>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</si>
  <si>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</si>
  <si>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</si>
  <si>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</si>
  <si>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</si>
  <si>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</si>
  <si>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</si>
  <si>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</si>
  <si>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</si>
  <si>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</si>
  <si>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</si>
  <si>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</si>
  <si>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</si>
  <si>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</si>
  <si>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</si>
  <si>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</si>
  <si>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</si>
  <si>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</si>
  <si>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</si>
  <si>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</si>
  <si>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</si>
  <si>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</si>
  <si>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</si>
  <si>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</si>
  <si>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</si>
  <si>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</si>
  <si>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</si>
  <si>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</si>
  <si>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</si>
  <si>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</si>
  <si>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</si>
  <si>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</si>
  <si>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</si>
  <si>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</si>
  <si>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</si>
  <si>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</si>
  <si>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</si>
  <si>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</si>
  <si>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</si>
  <si>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</si>
  <si>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</si>
  <si>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</si>
  <si>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</si>
  <si>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</si>
  <si>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</si>
  <si>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</si>
  <si>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</si>
  <si>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</si>
  <si>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</si>
  <si>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</si>
  <si>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</si>
  <si>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</si>
  <si>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</si>
  <si>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</si>
  <si>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</si>
  <si>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</si>
  <si>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</si>
  <si>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</si>
  <si>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</si>
  <si>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</si>
  <si>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</si>
  <si>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</si>
  <si>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</si>
  <si>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</si>
  <si>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</si>
  <si>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</si>
  <si>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</si>
  <si>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</si>
  <si>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</si>
  <si>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</si>
  <si>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</si>
  <si>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</si>
  <si>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</si>
  <si>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</si>
  <si>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</si>
  <si>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</si>
  <si>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</si>
  <si>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</si>
  <si>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</si>
  <si>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</si>
  <si>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</si>
  <si>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</si>
  <si>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</si>
  <si>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</si>
  <si>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</si>
  <si>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</si>
  <si>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</si>
  <si>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</si>
  <si>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</si>
  <si>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</si>
  <si>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</si>
  <si>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</si>
  <si>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</si>
  <si>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</si>
  <si>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</si>
  <si>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</si>
  <si>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</si>
  <si>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</si>
  <si>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</si>
  <si>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</si>
  <si>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</si>
  <si>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</si>
  <si>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</si>
  <si>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</si>
  <si>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</si>
  <si>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</si>
  <si>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</si>
  <si>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</si>
  <si>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</si>
  <si>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</si>
  <si>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</si>
  <si>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</si>
  <si>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</si>
  <si>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</si>
  <si>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</si>
  <si>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</si>
  <si>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</si>
  <si>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</si>
  <si>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</si>
  <si>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</si>
  <si>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</si>
  <si>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</si>
  <si>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</si>
  <si>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</si>
  <si>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</si>
  <si>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</si>
  <si>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</si>
  <si>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</si>
  <si>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</si>
  <si>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</si>
  <si>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</si>
  <si>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</si>
  <si>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</si>
  <si>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</si>
  <si>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</si>
  <si>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</si>
  <si>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</si>
  <si>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</si>
  <si>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</si>
  <si>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</si>
  <si>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</si>
  <si>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</si>
  <si>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</si>
  <si>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</si>
  <si>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</si>
  <si>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</si>
  <si>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</si>
  <si>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</si>
  <si>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</si>
  <si>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</si>
  <si>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</si>
  <si>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</si>
  <si>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</si>
  <si>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</si>
  <si>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</si>
  <si>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</si>
  <si>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</si>
  <si>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</si>
  <si>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</si>
  <si>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</si>
  <si>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</si>
  <si>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</si>
  <si>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</si>
  <si>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</si>
  <si>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</si>
  <si>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</si>
  <si>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</si>
  <si>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</si>
  <si>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</si>
  <si>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</si>
  <si>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</si>
  <si>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</si>
  <si>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</si>
  <si>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</si>
  <si>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</si>
  <si>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</si>
  <si>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</si>
  <si>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</si>
  <si>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</si>
  <si>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</si>
  <si>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</si>
  <si>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</si>
  <si>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</si>
  <si>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</si>
  <si>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</si>
  <si>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</si>
  <si>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</si>
  <si>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</si>
  <si>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</si>
  <si>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</si>
  <si>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</si>
  <si>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</si>
  <si>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</si>
  <si>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</si>
  <si>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</si>
  <si>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</si>
  <si>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</si>
  <si>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</si>
  <si>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</si>
  <si>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</si>
  <si>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</si>
  <si>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</si>
  <si>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</si>
  <si>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</si>
  <si>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</si>
  <si>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</si>
  <si>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</si>
  <si>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</si>
  <si>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</si>
  <si>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</si>
  <si>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</si>
  <si>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</si>
  <si>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</si>
  <si>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</si>
  <si>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</si>
  <si>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public holiday on</t>
  </si>
  <si>
    <r>
      <t>Date: 2025</t>
    </r>
    <r>
      <rPr>
        <b/>
        <sz val="10"/>
        <color theme="0"/>
        <rFont val="等线"/>
        <charset val="134"/>
      </rPr>
      <t xml:space="preserve">-06-09 </t>
    </r>
    <r>
      <rPr>
        <b/>
        <sz val="10"/>
        <color theme="0"/>
        <rFont val="新細明體"/>
        <family val="1"/>
        <charset val="136"/>
      </rPr>
      <t xml:space="preserve">- </t>
    </r>
    <r>
      <rPr>
        <b/>
        <sz val="10"/>
        <color theme="0"/>
        <rFont val="新細明體"/>
        <family val="2"/>
        <scheme val="minor"/>
      </rPr>
      <t>2025-06.15</t>
    </r>
  </si>
  <si>
    <t xml:space="preserve"> ekyc for mainland ID users / 网关 /  AI chatbot / trust documents / Tenpay outsourcing arrangement / expansion through Tenpay and Visa /  cross-border FPS / stable coins </t>
  </si>
  <si>
    <t>AL/SL/Other Leave on 13 June</t>
  </si>
  <si>
    <t>insider dealing policy / naspers structure chart / BOCI letter / various documents re NC and AC</t>
  </si>
  <si>
    <t xml:space="preserve">AML IRA report </t>
  </si>
  <si>
    <t>HKPF: suspcious proxy alert 
HKMA: cross-border FPS</t>
  </si>
  <si>
    <t>naspers structure / Wintermute / subs senior managemet issue / DPW training on CG code</t>
  </si>
  <si>
    <t>timesheet ecording / matters reporting / ALB award submission / team meeting / DPW training / IMA 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</si>
</sst>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tabSelected="1" topLeftCell="A5" zoomScale="76" zoomScaleNormal="76" workbookViewId="0">
      <selection activeCell="S15" sqref="S15"/>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340</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338</v>
      </c>
      <c r="C6" s="9" t="s">
        <v>43</v>
      </c>
      <c r="D6" s="10" t="s">
        <v>18</v>
      </c>
      <c r="E6" s="10" t="s">
        <v>30</v>
      </c>
      <c r="F6" s="9" t="s">
        <v>327</v>
      </c>
      <c r="G6" s="11">
        <v>8.5</v>
      </c>
      <c r="H6" s="9" t="s">
        <v>73</v>
      </c>
      <c r="I6" s="16" t="s">
        <v>343</v>
      </c>
    </row>
    <row r="7" spans="1:9" s="2" customFormat="1" ht="27">
      <c r="B7" s="8" t="s">
        <v>338</v>
      </c>
      <c r="C7" s="9" t="s">
        <v>43</v>
      </c>
      <c r="D7" s="10" t="s">
        <v>18</v>
      </c>
      <c r="E7" s="10" t="s">
        <v>30</v>
      </c>
      <c r="F7" s="9" t="s">
        <v>327</v>
      </c>
      <c r="G7" s="11">
        <v>4</v>
      </c>
      <c r="H7" s="9" t="s">
        <v>27</v>
      </c>
      <c r="I7" s="16" t="s">
        <v>346</v>
      </c>
    </row>
    <row r="8" spans="1:9" s="2" customFormat="1" ht="40.5">
      <c r="B8" s="8" t="s">
        <v>338</v>
      </c>
      <c r="C8" s="9" t="s">
        <v>22</v>
      </c>
      <c r="D8" s="10" t="s">
        <v>55</v>
      </c>
      <c r="E8" s="10" t="s">
        <v>30</v>
      </c>
      <c r="F8" s="9" t="s">
        <v>335</v>
      </c>
      <c r="G8" s="11">
        <v>1</v>
      </c>
      <c r="H8" s="9" t="s">
        <v>73</v>
      </c>
      <c r="I8" s="16" t="s">
        <v>344</v>
      </c>
    </row>
    <row r="9" spans="1:9" s="2" customFormat="1" ht="40.5">
      <c r="B9" s="8" t="s">
        <v>338</v>
      </c>
      <c r="C9" s="9" t="s">
        <v>22</v>
      </c>
      <c r="D9" s="10" t="s">
        <v>55</v>
      </c>
      <c r="E9" s="10" t="s">
        <v>30</v>
      </c>
      <c r="F9" s="9" t="s">
        <v>335</v>
      </c>
      <c r="G9" s="11">
        <v>1</v>
      </c>
      <c r="H9" s="9" t="s">
        <v>79</v>
      </c>
      <c r="I9" s="16" t="s">
        <v>345</v>
      </c>
    </row>
    <row r="10" spans="1:9" s="2" customFormat="1" ht="91" customHeight="1">
      <c r="B10" s="8" t="s">
        <v>338</v>
      </c>
      <c r="C10" s="9" t="s">
        <v>22</v>
      </c>
      <c r="D10" s="10" t="s">
        <v>55</v>
      </c>
      <c r="E10" s="10" t="s">
        <v>30</v>
      </c>
      <c r="F10" s="9" t="s">
        <v>335</v>
      </c>
      <c r="G10" s="11">
        <v>6</v>
      </c>
      <c r="H10" s="9" t="s">
        <v>27</v>
      </c>
      <c r="I10" s="16" t="s">
        <v>341</v>
      </c>
    </row>
    <row r="11" spans="1:9" s="2" customFormat="1" ht="40.5">
      <c r="B11" s="8" t="s">
        <v>338</v>
      </c>
      <c r="C11" s="9" t="s">
        <v>28</v>
      </c>
      <c r="D11" s="10" t="s">
        <v>31</v>
      </c>
      <c r="E11" s="10" t="s">
        <v>33</v>
      </c>
      <c r="F11" s="9" t="s">
        <v>39</v>
      </c>
      <c r="G11" s="11">
        <v>4</v>
      </c>
      <c r="H11" s="9" t="s">
        <v>75</v>
      </c>
      <c r="I11" s="16" t="s">
        <v>347</v>
      </c>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4.5" customHeight="1">
      <c r="B28" s="79" t="s">
        <v>32</v>
      </c>
      <c r="C28" s="80"/>
      <c r="D28" s="81"/>
      <c r="E28" s="12"/>
      <c r="F28" s="12"/>
      <c r="G28" s="82">
        <f>SUM(G6:G27)</f>
        <v>24.5</v>
      </c>
      <c r="H28" s="83"/>
      <c r="I28" s="84"/>
    </row>
    <row r="31" spans="2:9" ht="29">
      <c r="B31" s="17" t="s">
        <v>81</v>
      </c>
      <c r="C31" s="18" t="s">
        <v>342</v>
      </c>
    </row>
    <row r="32" spans="2:9">
      <c r="C32" s="18" t="s">
        <v>339</v>
      </c>
    </row>
  </sheetData>
  <mergeCells count="4">
    <mergeCell ref="B1:I1"/>
    <mergeCell ref="B2:H2"/>
    <mergeCell ref="B28:D28"/>
    <mergeCell ref="G28:I28"/>
  </mergeCells>
  <phoneticPr fontId="10" type="noConversion"/>
  <dataValidations count="3">
    <dataValidation type="list" errorStyle="warning" allowBlank="1" sqref="C7:C27" xr:uid="{00000000-0002-0000-0000-000005000000}">
      <formula1>项目事项分类项目名称</formula1>
    </dataValidation>
    <dataValidation type="list" allowBlank="1" showInputMessage="1" showErrorMessage="1" sqref="F6:F27" xr:uid="{00000000-0002-0000-0000-000002000000}">
      <formula1>INDIRECT($E6)</formula1>
    </dataValidation>
    <dataValidation type="list" allowBlank="1" showInputMessage="1" showErrorMessage="1" sqref="H6:H27"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D6:D27</xm:sqref>
        </x14:dataValidation>
        <x14:dataValidation type="list" allowBlank="1" showInputMessage="1" showErrorMessage="1" xr:uid="{00000000-0002-0000-0000-000007000000}">
          <x14:formula1>
            <xm:f>Tag!$B$2:$E$2</xm:f>
          </x14:formula1>
          <xm:sqref>E6:E27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2025-06-18T07:29:02Z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