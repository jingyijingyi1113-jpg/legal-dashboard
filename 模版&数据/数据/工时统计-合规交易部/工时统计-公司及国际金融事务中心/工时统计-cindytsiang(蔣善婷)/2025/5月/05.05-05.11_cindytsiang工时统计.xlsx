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4AD544EB-9736-4F38-8767-250AC6B99A5E}" xr6:coauthVersionLast="47" xr6:coauthVersionMax="47" xr10:uidLastSave="{00000000-0000-0000-0000-000000000000}"/>
  <bookViews>
    <workbookView xWindow="2868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<sst xmlns="http://schemas.openxmlformats.org/spreadsheetml/2006/main" count="503" uniqueCount="353">
  <si>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</si>
  <si>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</si>
  <si>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</si>
  <si>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</si>
  <si>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</si>
  <si>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</si>
  <si>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</si>
  <si>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</si>
  <si>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</si>
  <si>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</si>
  <si>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</si>
  <si>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</si>
  <si>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</si>
  <si>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</si>
  <si>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</si>
  <si>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</si>
  <si>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</si>
  <si>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</si>
  <si>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</si>
  <si>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</si>
  <si>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</si>
  <si>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</si>
  <si>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</si>
  <si>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</si>
  <si>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</si>
  <si>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</si>
  <si>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</si>
  <si>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</si>
  <si>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</si>
  <si>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</si>
  <si>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</si>
  <si>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</si>
  <si>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</si>
  <si>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</si>
  <si>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</si>
  <si>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</si>
  <si>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</si>
  <si>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</si>
  <si>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</si>
  <si>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</si>
  <si>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</si>
  <si>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</si>
  <si>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</si>
  <si>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</si>
  <si>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</si>
  <si>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</si>
  <si>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</si>
  <si>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</si>
  <si>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</si>
  <si>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</si>
  <si>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</si>
  <si>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</si>
  <si>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</si>
  <si>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</si>
  <si>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</si>
  <si>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</si>
  <si>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</si>
  <si>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</si>
  <si>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</si>
  <si>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</si>
  <si>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</si>
  <si>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</si>
  <si>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</si>
  <si>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</si>
  <si>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</si>
  <si>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</si>
  <si>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</si>
  <si>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</si>
  <si>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</si>
  <si>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</si>
  <si>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</si>
  <si>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</si>
  <si>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</si>
  <si>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</si>
  <si>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</si>
  <si>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</si>
  <si>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</si>
  <si>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</si>
  <si>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</si>
  <si>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</si>
  <si>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</si>
  <si>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</si>
  <si>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</si>
  <si>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</si>
  <si>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</si>
  <si>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</si>
  <si>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</si>
  <si>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</si>
  <si>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</si>
  <si>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</si>
  <si>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</si>
  <si>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</si>
  <si>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</si>
  <si>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</si>
  <si>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</si>
  <si>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</si>
  <si>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</si>
  <si>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</si>
  <si>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</si>
  <si>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</si>
  <si>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</si>
  <si>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</si>
  <si>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</si>
  <si>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</si>
  <si>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</si>
  <si>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</si>
  <si>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</si>
  <si>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</si>
  <si>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</si>
  <si>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</si>
  <si>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</si>
  <si>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</si>
  <si>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</si>
  <si>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</si>
  <si>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</si>
  <si>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</si>
  <si>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</si>
  <si>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</si>
  <si>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</si>
  <si>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</si>
  <si>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</si>
  <si>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</si>
  <si>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</si>
  <si>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</si>
  <si>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</si>
  <si>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</si>
  <si>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</si>
  <si>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</si>
  <si>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</si>
  <si>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</si>
  <si>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</si>
  <si>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</si>
  <si>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</si>
  <si>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</si>
  <si>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</si>
  <si>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</si>
  <si>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</si>
  <si>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</si>
  <si>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</si>
  <si>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</si>
  <si>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</si>
  <si>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</si>
  <si>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</si>
  <si>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</si>
  <si>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</si>
  <si>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</si>
  <si>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</si>
  <si>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</si>
  <si>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</si>
  <si>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</si>
  <si>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</si>
  <si>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</si>
  <si>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</si>
  <si>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</si>
  <si>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</si>
  <si>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</si>
  <si>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</si>
  <si>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</si>
  <si>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</si>
  <si>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</si>
  <si>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</si>
  <si>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</si>
  <si>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</si>
  <si>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</si>
  <si>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</si>
  <si>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</si>
  <si>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</si>
  <si>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</si>
  <si>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</si>
  <si>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</si>
  <si>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</si>
  <si>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</si>
  <si>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</si>
  <si>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</si>
  <si>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</si>
  <si>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</si>
  <si>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</si>
  <si>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</si>
  <si>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</si>
  <si>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</si>
  <si>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</si>
  <si>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</si>
  <si>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</si>
  <si>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</si>
  <si>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</si>
  <si>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</si>
  <si>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</si>
  <si>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</si>
  <si>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</si>
  <si>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</si>
  <si>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</si>
  <si>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</si>
  <si>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</si>
  <si>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</si>
  <si>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</si>
  <si>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</si>
  <si>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</si>
  <si>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</si>
  <si>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</si>
  <si>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</si>
  <si>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</si>
  <si>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</si>
  <si>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</si>
  <si>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</si>
  <si>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</si>
  <si>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</si>
  <si>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</si>
  <si>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</si>
  <si>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</si>
  <si>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</si>
  <si>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</si>
  <si>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</si>
  <si>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</si>
  <si>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</si>
  <si>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</si>
  <si>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</si>
  <si>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</si>
  <si>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</si>
  <si>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</si>
  <si>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</si>
  <si>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</si>
  <si>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</si>
  <si>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</si>
  <si>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</si>
  <si>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</si>
  <si>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</si>
  <si>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</si>
  <si>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</si>
  <si>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</si>
  <si>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</si>
  <si>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</si>
  <si>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</si>
  <si>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</si>
  <si>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</si>
  <si>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</si>
  <si>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</si>
  <si>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</si>
  <si>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</si>
  <si>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</si>
  <si>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</si>
  <si>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</si>
  <si>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</si>
  <si>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</si>
  <si>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</si>
  <si>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</si>
  <si>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</si>
  <si>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</si>
  <si>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</si>
  <si>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</si>
  <si>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</si>
  <si>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</si>
  <si>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</si>
  <si>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</si>
  <si>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</si>
  <si>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</si>
  <si>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</si>
  <si>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</si>
  <si>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</si>
  <si>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</si>
  <si>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</si>
  <si>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</si>
  <si>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</si>
  <si>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</si>
  <si>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</si>
  <si>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</si>
  <si>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</si>
  <si>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</si>
  <si>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</si>
  <si>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</si>
  <si>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</si>
  <si>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</si>
  <si>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</si>
  <si>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</si>
  <si>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</si>
  <si>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</si>
  <si>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</si>
  <si>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</si>
  <si>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</si>
  <si>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</si>
  <si>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</si>
  <si>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</si>
  <si>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</si>
  <si>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</si>
  <si>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</si>
  <si>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</si>
  <si>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</si>
  <si>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</si>
  <si>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</si>
  <si>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</si>
  <si>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</si>
  <si>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</si>
  <si>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</si>
  <si>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</si>
  <si>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</si>
  <si>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</si>
  <si>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</si>
  <si>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</si>
  <si>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</si>
  <si>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</si>
  <si>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</si>
  <si>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</si>
  <si>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</si>
  <si>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</si>
  <si>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</si>
  <si>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</si>
  <si>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</si>
  <si>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</si>
  <si>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</si>
  <si>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</si>
  <si>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</si>
  <si>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</si>
  <si>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</si>
  <si>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</si>
  <si>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</si>
  <si>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</si>
  <si>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</si>
  <si>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</si>
  <si>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</si>
  <si>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</si>
  <si>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</si>
  <si>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</si>
  <si>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</si>
  <si>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</si>
  <si>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</si>
  <si>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</si>
  <si>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</si>
  <si>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</si>
  <si>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</si>
  <si>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</si>
  <si>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</si>
  <si>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</si>
  <si>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</si>
  <si>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</si>
  <si>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</si>
  <si>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</si>
  <si>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</si>
  <si>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</si>
  <si>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</si>
  <si>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</si>
  <si>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cinytsiang</t>
  </si>
  <si>
    <r>
      <t>Date: 2025</t>
    </r>
    <r>
      <rPr>
        <b/>
        <sz val="10"/>
        <color theme="0"/>
        <rFont val="等线"/>
        <charset val="134"/>
      </rPr>
      <t xml:space="preserve">-05-05 </t>
    </r>
    <r>
      <rPr>
        <b/>
        <sz val="10"/>
        <color theme="0"/>
        <rFont val="新細明體"/>
        <family val="1"/>
        <charset val="136"/>
      </rPr>
      <t xml:space="preserve">- </t>
    </r>
    <r>
      <rPr>
        <b/>
        <sz val="10"/>
        <color theme="0"/>
        <rFont val="Calibri"/>
        <family val="2"/>
        <scheme val="minor"/>
      </rPr>
      <t>2025-05.11</t>
    </r>
  </si>
  <si>
    <t>BM re custodian arrangement</t>
  </si>
  <si>
    <t>customs inspection on import licence</t>
  </si>
  <si>
    <t>public holiday on 5 May</t>
  </si>
  <si>
    <t>AL/SL/Other Leave on 6 May pm</t>
  </si>
  <si>
    <t xml:space="preserve">cindytsiang </t>
  </si>
  <si>
    <t>timesheet ecording / mentoring Scarlett and Joyce</t>
  </si>
  <si>
    <t xml:space="preserve">BM / custodian arrangement / INED remuneration / HKID expiry </t>
  </si>
  <si>
    <t xml:space="preserve">HKMA discussion: custodian arrangement / cross-boundary remittance service / HKID expiry </t>
  </si>
  <si>
    <t>IC recusal mechanism / CGC resolution / poll results annoucement / agreements re change in OPCO shareholders</t>
  </si>
  <si>
    <t xml:space="preserve">monthly return enquiry / stock connect investors AGM attendance / change in OPCO shareholders / poll results announcement </t>
  </si>
  <si>
    <t>HK / US / UK insider dealing restrictions</t>
  </si>
  <si>
    <t xml:space="preserve"> reviewing CVs and arranging interviews and written tests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</si>
</sst>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zoomScale="84" zoomScaleNormal="84" workbookViewId="0">
      <selection activeCell="J8" sqref="J8:J9"/>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9">
      <c r="B6" s="8" t="s">
        <v>338</v>
      </c>
      <c r="C6" s="9" t="s">
        <v>43</v>
      </c>
      <c r="D6" s="10" t="s">
        <v>18</v>
      </c>
      <c r="E6" s="10" t="s">
        <v>30</v>
      </c>
      <c r="F6" s="9" t="s">
        <v>327</v>
      </c>
      <c r="G6" s="11">
        <v>5.5</v>
      </c>
      <c r="H6" s="9" t="s">
        <v>73</v>
      </c>
      <c r="I6" s="16" t="s">
        <v>349</v>
      </c>
    </row>
    <row r="7" spans="1:9" s="2" customFormat="1" ht="26">
      <c r="B7" s="8" t="s">
        <v>345</v>
      </c>
      <c r="C7" s="9" t="s">
        <v>43</v>
      </c>
      <c r="D7" s="10" t="s">
        <v>18</v>
      </c>
      <c r="E7" s="10" t="s">
        <v>30</v>
      </c>
      <c r="F7" s="9" t="s">
        <v>327</v>
      </c>
      <c r="G7" s="11">
        <v>1</v>
      </c>
      <c r="H7" s="9" t="s">
        <v>24</v>
      </c>
      <c r="I7" s="16" t="s">
        <v>351</v>
      </c>
    </row>
    <row r="8" spans="1:9" s="2" customFormat="1" ht="39">
      <c r="B8" s="8" t="s">
        <v>338</v>
      </c>
      <c r="C8" s="9" t="s">
        <v>43</v>
      </c>
      <c r="D8" s="10" t="s">
        <v>18</v>
      </c>
      <c r="E8" s="10" t="s">
        <v>30</v>
      </c>
      <c r="F8" s="9" t="s">
        <v>327</v>
      </c>
      <c r="G8" s="11">
        <v>6</v>
      </c>
      <c r="H8" s="9" t="s">
        <v>27</v>
      </c>
      <c r="I8" s="16" t="s">
        <v>350</v>
      </c>
    </row>
    <row r="9" spans="1:9" s="2" customFormat="1" ht="52">
      <c r="B9" s="8" t="s">
        <v>338</v>
      </c>
      <c r="C9" s="9" t="s">
        <v>22</v>
      </c>
      <c r="D9" s="10" t="s">
        <v>55</v>
      </c>
      <c r="E9" s="10" t="s">
        <v>30</v>
      </c>
      <c r="F9" s="9" t="s">
        <v>335</v>
      </c>
      <c r="G9" s="11">
        <v>1</v>
      </c>
      <c r="H9" s="9" t="s">
        <v>73</v>
      </c>
      <c r="I9" s="16" t="s">
        <v>341</v>
      </c>
    </row>
    <row r="10" spans="1:9" s="2" customFormat="1" ht="52">
      <c r="B10" s="8" t="s">
        <v>339</v>
      </c>
      <c r="C10" s="9" t="s">
        <v>22</v>
      </c>
      <c r="D10" s="10" t="s">
        <v>55</v>
      </c>
      <c r="E10" s="10" t="s">
        <v>30</v>
      </c>
      <c r="F10" s="9" t="s">
        <v>335</v>
      </c>
      <c r="G10" s="11">
        <v>0.75</v>
      </c>
      <c r="H10" s="9" t="s">
        <v>79</v>
      </c>
      <c r="I10" s="16" t="s">
        <v>348</v>
      </c>
    </row>
    <row r="11" spans="1:9" s="2" customFormat="1" ht="52">
      <c r="B11" s="8" t="s">
        <v>338</v>
      </c>
      <c r="C11" s="9" t="s">
        <v>22</v>
      </c>
      <c r="D11" s="10" t="s">
        <v>55</v>
      </c>
      <c r="E11" s="10" t="s">
        <v>30</v>
      </c>
      <c r="F11" s="9" t="s">
        <v>335</v>
      </c>
      <c r="G11" s="11">
        <v>6</v>
      </c>
      <c r="H11" s="9" t="s">
        <v>27</v>
      </c>
      <c r="I11" s="16" t="s">
        <v>347</v>
      </c>
    </row>
    <row r="12" spans="1:9" s="2" customFormat="1" ht="39">
      <c r="B12" s="8" t="s">
        <v>338</v>
      </c>
      <c r="C12" s="9" t="s">
        <v>45</v>
      </c>
      <c r="D12" s="10" t="s">
        <v>48</v>
      </c>
      <c r="E12" s="10" t="s">
        <v>30</v>
      </c>
      <c r="F12" s="9" t="s">
        <v>337</v>
      </c>
      <c r="G12" s="11">
        <v>0.5</v>
      </c>
      <c r="H12" s="9" t="s">
        <v>27</v>
      </c>
      <c r="I12" s="16" t="s">
        <v>342</v>
      </c>
    </row>
    <row r="13" spans="1:9" s="2" customFormat="1" ht="26">
      <c r="B13" s="8" t="s">
        <v>338</v>
      </c>
      <c r="C13" s="9" t="s">
        <v>28</v>
      </c>
      <c r="D13" s="10" t="s">
        <v>31</v>
      </c>
      <c r="E13" s="10" t="s">
        <v>34</v>
      </c>
      <c r="F13" s="9" t="s">
        <v>40</v>
      </c>
      <c r="G13" s="11">
        <v>1.5</v>
      </c>
      <c r="H13" s="9" t="s">
        <v>31</v>
      </c>
      <c r="I13" s="16" t="s">
        <v>352</v>
      </c>
    </row>
    <row r="14" spans="1:9" s="2" customFormat="1" ht="26">
      <c r="B14" s="8" t="s">
        <v>338</v>
      </c>
      <c r="C14" s="9" t="s">
        <v>28</v>
      </c>
      <c r="D14" s="10" t="s">
        <v>31</v>
      </c>
      <c r="E14" s="10" t="s">
        <v>33</v>
      </c>
      <c r="F14" s="9" t="s">
        <v>39</v>
      </c>
      <c r="G14" s="11">
        <v>1.5</v>
      </c>
      <c r="H14" s="9" t="s">
        <v>75</v>
      </c>
      <c r="I14" s="16" t="s">
        <v>346</v>
      </c>
    </row>
    <row r="15" spans="1:9" s="2" customFormat="1" ht="13">
      <c r="B15" s="8"/>
      <c r="C15" s="9"/>
      <c r="D15" s="10"/>
      <c r="E15" s="10"/>
      <c r="F15" s="9"/>
      <c r="G15" s="11"/>
      <c r="H15" s="9"/>
      <c r="I15" s="16"/>
    </row>
    <row r="16" spans="1:9" s="2" customFormat="1" ht="13">
      <c r="B16" s="8"/>
      <c r="C16" s="9"/>
      <c r="D16" s="10"/>
      <c r="E16" s="10"/>
      <c r="F16" s="9"/>
      <c r="G16" s="11"/>
      <c r="H16" s="9"/>
      <c r="I16" s="16"/>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3">
      <c r="B27" s="8"/>
      <c r="C27" s="9"/>
      <c r="D27" s="10"/>
      <c r="E27" s="10"/>
      <c r="F27" s="9"/>
      <c r="G27" s="11"/>
      <c r="H27" s="9"/>
      <c r="I27" s="16"/>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3">
      <c r="B30" s="8"/>
      <c r="C30" s="9"/>
      <c r="D30" s="10"/>
      <c r="E30" s="10"/>
      <c r="F30" s="9"/>
      <c r="G30" s="11"/>
      <c r="H30" s="9"/>
      <c r="I30" s="16"/>
    </row>
    <row r="31" spans="2:9" s="2" customFormat="1" ht="13">
      <c r="B31" s="8"/>
      <c r="C31" s="9"/>
      <c r="D31" s="10"/>
      <c r="E31" s="10"/>
      <c r="F31" s="9"/>
      <c r="G31" s="11"/>
      <c r="H31" s="9"/>
      <c r="I31" s="16"/>
    </row>
    <row r="32" spans="2:9" s="2" customFormat="1" ht="14.5" customHeight="1">
      <c r="B32" s="79" t="s">
        <v>32</v>
      </c>
      <c r="C32" s="80"/>
      <c r="D32" s="81"/>
      <c r="E32" s="12"/>
      <c r="F32" s="12"/>
      <c r="G32" s="82">
        <f>SUM(G6:G31)</f>
        <v>23.75</v>
      </c>
      <c r="H32" s="83"/>
      <c r="I32" s="84"/>
    </row>
    <row r="35" spans="2:3">
      <c r="B35" s="17" t="s">
        <v>81</v>
      </c>
      <c r="C35" s="18" t="s">
        <v>344</v>
      </c>
    </row>
    <row r="36" spans="2:3">
      <c r="C36" s="18" t="s">
        <v>343</v>
      </c>
    </row>
  </sheetData>
  <mergeCells count="4">
    <mergeCell ref="B1:I1"/>
    <mergeCell ref="B2:H2"/>
    <mergeCell ref="B32:D32"/>
    <mergeCell ref="G32:I32"/>
  </mergeCells>
  <phoneticPr fontId="10" type="noConversion"/>
  <dataValidations count="3">
    <dataValidation type="list" errorStyle="warning" allowBlank="1" sqref="C8:C31" xr:uid="{00000000-0002-0000-0000-000005000000}">
      <formula1>项目事项分类项目名称</formula1>
    </dataValidation>
    <dataValidation type="list" allowBlank="1" showInputMessage="1" showErrorMessage="1" sqref="F6:F31" xr:uid="{00000000-0002-0000-0000-000002000000}">
      <formula1>INDIRECT($E6)</formula1>
    </dataValidation>
    <dataValidation type="list" allowBlank="1" showInputMessage="1" showErrorMessage="1" sqref="H6:H3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D6:D31</xm:sqref>
        </x14:dataValidation>
        <x14:dataValidation type="list" allowBlank="1" showInputMessage="1" showErrorMessage="1" xr:uid="{00000000-0002-0000-0000-000007000000}">
          <x14:formula1>
            <xm:f>Tag!$B$2:$E$2</xm:f>
          </x14:formula1>
          <xm:sqref>E6:E31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93"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2025-05-11T23:58:24Z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