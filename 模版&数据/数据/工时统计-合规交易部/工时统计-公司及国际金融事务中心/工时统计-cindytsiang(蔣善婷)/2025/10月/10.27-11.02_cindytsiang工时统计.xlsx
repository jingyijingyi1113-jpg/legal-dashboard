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3121456C-57B7-4112-BDDD-13943226BA7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<sst xmlns="http://schemas.openxmlformats.org/spreadsheetml/2006/main" count="490" uniqueCount="350">
  <si>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</si>
  <si>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</si>
  <si>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</si>
  <si>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</si>
  <si>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</si>
  <si>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</si>
  <si>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</si>
  <si>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</si>
  <si>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</si>
  <si>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</si>
  <si>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</si>
  <si>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</si>
  <si>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</si>
  <si>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</si>
  <si>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</si>
  <si>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</si>
  <si>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</si>
  <si>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</si>
  <si>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</si>
  <si>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</si>
  <si>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</si>
  <si>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</si>
  <si>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</si>
  <si>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</si>
  <si>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</si>
  <si>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</si>
  <si>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</si>
  <si>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</si>
  <si>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</si>
  <si>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</si>
  <si>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</si>
  <si>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</si>
  <si>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</si>
  <si>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</si>
  <si>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</si>
  <si>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</si>
  <si>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</si>
  <si>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</si>
  <si>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</si>
  <si>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</si>
  <si>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</si>
  <si>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</si>
  <si>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</si>
  <si>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</si>
  <si>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</si>
  <si>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</si>
  <si>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</si>
  <si>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</si>
  <si>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</si>
  <si>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</si>
  <si>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</si>
  <si>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</si>
  <si>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</si>
  <si>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</si>
  <si>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</si>
  <si>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</si>
  <si>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</si>
  <si>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</si>
  <si>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</si>
  <si>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</si>
  <si>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</si>
  <si>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</si>
  <si>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</si>
  <si>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</si>
  <si>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</si>
  <si>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</si>
  <si>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</si>
  <si>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</si>
  <si>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</si>
  <si>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</si>
  <si>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</si>
  <si>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</si>
  <si>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</si>
  <si>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</si>
  <si>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</si>
  <si>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</si>
  <si>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</si>
  <si>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</si>
  <si>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</si>
  <si>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</si>
  <si>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</si>
  <si>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</si>
  <si>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</si>
  <si>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</si>
  <si>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</si>
  <si>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</si>
  <si>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</si>
  <si>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</si>
  <si>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</si>
  <si>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</si>
  <si>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</si>
  <si>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</si>
  <si>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</si>
  <si>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</si>
  <si>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</si>
  <si>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</si>
  <si>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</si>
  <si>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</si>
  <si>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</si>
  <si>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</si>
  <si>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</si>
  <si>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</si>
  <si>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</si>
  <si>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</si>
  <si>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</si>
  <si>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</si>
  <si>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</si>
  <si>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</si>
  <si>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</si>
  <si>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</si>
  <si>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</si>
  <si>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</si>
  <si>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</si>
  <si>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</si>
  <si>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</si>
  <si>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</si>
  <si>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</si>
  <si>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</si>
  <si>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</si>
  <si>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</si>
  <si>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</si>
  <si>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</si>
  <si>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</si>
  <si>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</si>
  <si>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</si>
  <si>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</si>
  <si>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</si>
  <si>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</si>
  <si>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</si>
  <si>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</si>
  <si>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</si>
  <si>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</si>
  <si>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</si>
  <si>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</si>
  <si>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</si>
  <si>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</si>
  <si>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</si>
  <si>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</si>
  <si>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</si>
  <si>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</si>
  <si>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</si>
  <si>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</si>
  <si>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</si>
  <si>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</si>
  <si>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</si>
  <si>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</si>
  <si>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</si>
  <si>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</si>
  <si>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</si>
  <si>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</si>
  <si>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</si>
  <si>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</si>
  <si>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</si>
  <si>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</si>
  <si>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</si>
  <si>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</si>
  <si>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</si>
  <si>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</si>
  <si>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</si>
  <si>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</si>
  <si>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</si>
  <si>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</si>
  <si>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</si>
  <si>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</si>
  <si>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</si>
  <si>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</si>
  <si>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</si>
  <si>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</si>
  <si>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</si>
  <si>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</si>
  <si>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</si>
  <si>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</si>
  <si>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</si>
  <si>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</si>
  <si>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</si>
  <si>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</si>
  <si>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</si>
  <si>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</si>
  <si>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</si>
  <si>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</si>
  <si>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</si>
  <si>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</si>
  <si>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</si>
  <si>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</si>
  <si>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</si>
  <si>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</si>
  <si>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</si>
  <si>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</si>
  <si>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</si>
  <si>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</si>
  <si>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</si>
  <si>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</si>
  <si>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</si>
  <si>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</si>
  <si>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</si>
  <si>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</si>
  <si>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</si>
  <si>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</si>
  <si>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</si>
  <si>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</si>
  <si>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</si>
  <si>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</si>
  <si>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</si>
  <si>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</si>
  <si>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</si>
  <si>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</si>
  <si>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</si>
  <si>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</si>
  <si>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</si>
  <si>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</si>
  <si>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</si>
  <si>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</si>
  <si>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</si>
  <si>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</si>
  <si>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</si>
  <si>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</si>
  <si>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</si>
  <si>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</si>
  <si>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</si>
  <si>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</si>
  <si>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</si>
  <si>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</si>
  <si>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</si>
  <si>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</si>
  <si>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</si>
  <si>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</si>
  <si>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</si>
  <si>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</si>
  <si>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</si>
  <si>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</si>
  <si>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</si>
  <si>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</si>
  <si>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</si>
  <si>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</si>
  <si>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</si>
  <si>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</si>
  <si>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</si>
  <si>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</si>
  <si>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</si>
  <si>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</si>
  <si>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</si>
  <si>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</si>
  <si>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</si>
  <si>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</si>
  <si>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</si>
  <si>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</si>
  <si>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</si>
  <si>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</si>
  <si>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</si>
  <si>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</si>
  <si>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</si>
  <si>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</si>
  <si>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</si>
  <si>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</si>
  <si>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</si>
  <si>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</si>
  <si>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</si>
  <si>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</si>
  <si>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</si>
  <si>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</si>
  <si>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</si>
  <si>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</si>
  <si>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</si>
  <si>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</si>
  <si>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</si>
  <si>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</si>
  <si>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</si>
  <si>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</si>
  <si>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</si>
  <si>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</si>
  <si>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</si>
  <si>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</si>
  <si>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</si>
  <si>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</si>
  <si>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</si>
  <si>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</si>
  <si>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</si>
  <si>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</si>
  <si>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</si>
  <si>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</si>
  <si>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</si>
  <si>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</si>
  <si>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</si>
  <si>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</si>
  <si>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</si>
  <si>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</si>
  <si>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</si>
  <si>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</si>
  <si>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</si>
  <si>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</si>
  <si>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</si>
  <si>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</si>
  <si>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</si>
  <si>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</si>
  <si>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</si>
  <si>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</si>
  <si>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</si>
  <si>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</si>
  <si>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</si>
  <si>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</si>
  <si>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</si>
  <si>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</si>
  <si>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</si>
  <si>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</si>
  <si>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</si>
  <si>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</si>
  <si>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</si>
  <si>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</si>
  <si>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</si>
  <si>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</si>
  <si>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</si>
  <si>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</si>
  <si>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</si>
  <si>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</si>
  <si>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</si>
  <si>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</si>
  <si>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</si>
  <si>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</si>
  <si>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</si>
  <si>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</si>
  <si>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</si>
  <si>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</si>
  <si>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</si>
  <si>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</si>
  <si>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</si>
  <si>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</si>
  <si>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</si>
  <si>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</si>
  <si>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</si>
  <si>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</si>
  <si>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</si>
  <si>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</si>
  <si>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</si>
  <si>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</si>
  <si>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</si>
  <si>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</si>
  <si>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</si>
  <si>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</si>
  <si>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</si>
  <si>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</si>
  <si>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</si>
  <si>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catch up with Scarlett on IMA</t>
  </si>
  <si>
    <t>timesheet recording / HKLR and WPHK self assessment</t>
  </si>
  <si>
    <r>
      <t>Date: 2025</t>
    </r>
    <r>
      <rPr>
        <b/>
        <sz val="10"/>
        <color theme="0"/>
        <rFont val="等线"/>
        <charset val="134"/>
      </rPr>
      <t xml:space="preserve">-10.27 </t>
    </r>
    <r>
      <rPr>
        <b/>
        <sz val="10"/>
        <color theme="0"/>
        <rFont val="新細明體"/>
        <family val="1"/>
        <charset val="136"/>
      </rPr>
      <t xml:space="preserve">- </t>
    </r>
    <r>
      <rPr>
        <b/>
        <sz val="10"/>
        <color theme="0"/>
        <rFont val="新細明體"/>
        <family val="2"/>
        <scheme val="minor"/>
      </rPr>
      <t>2025-11.2</t>
    </r>
  </si>
  <si>
    <t>31-oct pm</t>
  </si>
  <si>
    <t xml:space="preserve">approval requests on intra-group transactions /  discussion on Pony's DI form re Yunyi/ associated corp discussion / treatment of share grants for grantees with non-compete undertakings / donation </t>
  </si>
  <si>
    <t xml:space="preserve">VISA PR / BM deck / gaoteng discliamer </t>
  </si>
  <si>
    <t xml:space="preserve"> HKMA request re scam management / Compliance committee meeting / ZX agreement / NFC project / BM / meeting with 业管  / discussion re Tenpay FX gain / HKMA offiste review on payment security management / CICC disclaimer</t>
  </si>
  <si>
    <t>payment security offsite review / SFC meeting request / discussion with HkMA officer</t>
  </si>
  <si>
    <t xml:space="preserve"> LOR / Q3 structure contract documents / IC memo project Koi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</si>
</sst>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4" zoomScale="84" zoomScaleNormal="84" workbookViewId="0">
      <selection activeCell="F28" sqref="F2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2</v>
      </c>
      <c r="H6" s="9" t="s">
        <v>73</v>
      </c>
      <c r="I6" s="16" t="s">
        <v>349</v>
      </c>
    </row>
    <row r="7" spans="1:9" s="2" customFormat="1" ht="54">
      <c r="B7" s="8" t="s">
        <v>338</v>
      </c>
      <c r="C7" s="9" t="s">
        <v>43</v>
      </c>
      <c r="D7" s="10" t="s">
        <v>18</v>
      </c>
      <c r="E7" s="10" t="s">
        <v>30</v>
      </c>
      <c r="F7" s="9" t="s">
        <v>327</v>
      </c>
      <c r="G7" s="11">
        <v>6</v>
      </c>
      <c r="H7" s="9" t="s">
        <v>27</v>
      </c>
      <c r="I7" s="16" t="s">
        <v>345</v>
      </c>
    </row>
    <row r="8" spans="1:9" s="2" customFormat="1" ht="40.5">
      <c r="B8" s="8" t="s">
        <v>338</v>
      </c>
      <c r="C8" s="9" t="s">
        <v>22</v>
      </c>
      <c r="D8" s="10" t="s">
        <v>55</v>
      </c>
      <c r="E8" s="10" t="s">
        <v>30</v>
      </c>
      <c r="F8" s="9" t="s">
        <v>335</v>
      </c>
      <c r="G8" s="11">
        <v>2.5</v>
      </c>
      <c r="H8" s="9" t="s">
        <v>73</v>
      </c>
      <c r="I8" s="16" t="s">
        <v>346</v>
      </c>
    </row>
    <row r="9" spans="1:9" s="2" customFormat="1" ht="40.5">
      <c r="B9" s="8" t="s">
        <v>338</v>
      </c>
      <c r="C9" s="9" t="s">
        <v>22</v>
      </c>
      <c r="D9" s="10" t="s">
        <v>55</v>
      </c>
      <c r="E9" s="10" t="s">
        <v>30</v>
      </c>
      <c r="F9" s="9" t="s">
        <v>335</v>
      </c>
      <c r="G9" s="11">
        <v>2</v>
      </c>
      <c r="H9" s="9" t="s">
        <v>79</v>
      </c>
      <c r="I9" s="16" t="s">
        <v>348</v>
      </c>
    </row>
    <row r="10" spans="1:9" s="2" customFormat="1" ht="163" customHeight="1">
      <c r="B10" s="8" t="s">
        <v>338</v>
      </c>
      <c r="C10" s="9" t="s">
        <v>22</v>
      </c>
      <c r="D10" s="10" t="s">
        <v>55</v>
      </c>
      <c r="E10" s="10" t="s">
        <v>30</v>
      </c>
      <c r="F10" s="9" t="s">
        <v>335</v>
      </c>
      <c r="G10" s="11">
        <v>8.5</v>
      </c>
      <c r="H10" s="9" t="s">
        <v>27</v>
      </c>
      <c r="I10" s="16" t="s">
        <v>347</v>
      </c>
    </row>
    <row r="11" spans="1:9" s="2" customFormat="1" ht="27">
      <c r="B11" s="8" t="s">
        <v>338</v>
      </c>
      <c r="C11" s="9" t="s">
        <v>28</v>
      </c>
      <c r="D11" s="10" t="s">
        <v>31</v>
      </c>
      <c r="E11" s="10" t="s">
        <v>33</v>
      </c>
      <c r="F11" s="9" t="s">
        <v>39</v>
      </c>
      <c r="G11" s="11">
        <v>3</v>
      </c>
      <c r="H11" s="9" t="s">
        <v>75</v>
      </c>
      <c r="I11" s="16" t="s">
        <v>342</v>
      </c>
    </row>
    <row r="12" spans="1:9" s="2" customFormat="1" ht="13.5">
      <c r="B12" s="8" t="s">
        <v>338</v>
      </c>
      <c r="C12" s="9" t="s">
        <v>28</v>
      </c>
      <c r="D12" s="10" t="s">
        <v>31</v>
      </c>
      <c r="E12" s="10" t="s">
        <v>34</v>
      </c>
      <c r="F12" s="9" t="s">
        <v>40</v>
      </c>
      <c r="G12" s="11">
        <v>1</v>
      </c>
      <c r="H12" s="9" t="s">
        <v>78</v>
      </c>
      <c r="I12" s="16" t="s">
        <v>341</v>
      </c>
    </row>
    <row r="13" spans="1:9" s="2" customFormat="1" ht="13.5">
      <c r="B13" s="8"/>
      <c r="C13" s="9"/>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4.5" customHeight="1">
      <c r="B21" s="80" t="s">
        <v>32</v>
      </c>
      <c r="C21" s="81"/>
      <c r="D21" s="82"/>
      <c r="E21" s="12"/>
      <c r="F21" s="12"/>
      <c r="G21" s="83">
        <f>SUM(G6:G20)</f>
        <v>25</v>
      </c>
      <c r="H21" s="84"/>
      <c r="I21" s="85"/>
    </row>
    <row r="24" spans="2:9">
      <c r="B24" s="17" t="s">
        <v>81</v>
      </c>
      <c r="C24" s="18" t="s">
        <v>339</v>
      </c>
      <c r="D24" s="75" t="s">
        <v>344</v>
      </c>
    </row>
    <row r="25" spans="2:9">
      <c r="C25" s="18" t="s">
        <v>340</v>
      </c>
      <c r="D25" s="75">
        <v>45959</v>
      </c>
    </row>
  </sheetData>
  <mergeCells count="4">
    <mergeCell ref="B1:I1"/>
    <mergeCell ref="B2:H2"/>
    <mergeCell ref="B21:D21"/>
    <mergeCell ref="G21:I21"/>
  </mergeCells>
  <phoneticPr fontId="10" type="noConversion"/>
  <dataValidations count="3">
    <dataValidation type="list" allowBlank="1" showInputMessage="1" showErrorMessage="1" sqref="H6:H20" xr:uid="{00000000-0002-0000-0000-000006000000}">
      <formula1>事项分类指定内容</formula1>
    </dataValidation>
    <dataValidation type="list" errorStyle="warning" allowBlank="1" sqref="C7:C20" xr:uid="{00000000-0002-0000-0000-000005000000}">
      <formula1>项目事项分类项目名称</formula1>
    </dataValidation>
    <dataValidation type="list" allowBlank="1" showInputMessage="1" showErrorMessage="1" sqref="F6:F2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D14:D20 D6:D12</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