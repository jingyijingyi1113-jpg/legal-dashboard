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6E16D6CD-5CD4-4FFB-A1A3-9FF9FD91933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<sst xmlns="http://schemas.openxmlformats.org/spreadsheetml/2006/main" count="496" uniqueCount="350">
  <si>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</si>
  <si>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</si>
  <si>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</si>
  <si>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</si>
  <si>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</si>
  <si>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</si>
  <si>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</si>
  <si>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</si>
  <si>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</si>
  <si>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</si>
  <si>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</si>
  <si>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</si>
  <si>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</si>
  <si>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</si>
  <si>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</si>
  <si>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</si>
  <si>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</si>
  <si>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</si>
  <si>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</si>
  <si>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</si>
  <si>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</si>
  <si>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</si>
  <si>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</si>
  <si>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</si>
  <si>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</si>
  <si>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</si>
  <si>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</si>
  <si>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</si>
  <si>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</si>
  <si>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</si>
  <si>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</si>
  <si>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</si>
  <si>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</si>
  <si>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</si>
  <si>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</si>
  <si>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</si>
  <si>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</si>
  <si>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</si>
  <si>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</si>
  <si>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</si>
  <si>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</si>
  <si>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</si>
  <si>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</si>
  <si>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</si>
  <si>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</si>
  <si>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</si>
  <si>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</si>
  <si>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</si>
  <si>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</si>
  <si>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</si>
  <si>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</si>
  <si>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</si>
  <si>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</si>
  <si>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</si>
  <si>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</si>
  <si>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</si>
  <si>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</si>
  <si>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</si>
  <si>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</si>
  <si>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</si>
  <si>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</si>
  <si>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</si>
  <si>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</si>
  <si>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</si>
  <si>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</si>
  <si>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</si>
  <si>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</si>
  <si>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</si>
  <si>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</si>
  <si>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</si>
  <si>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</si>
  <si>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</si>
  <si>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</si>
  <si>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</si>
  <si>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</si>
  <si>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</si>
  <si>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</si>
  <si>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</si>
  <si>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</si>
  <si>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</si>
  <si>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</si>
  <si>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</si>
  <si>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</si>
  <si>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</si>
  <si>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</si>
  <si>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</si>
  <si>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</si>
  <si>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</si>
  <si>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</si>
  <si>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</si>
  <si>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</si>
  <si>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</si>
  <si>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</si>
  <si>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</si>
  <si>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</si>
  <si>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</si>
  <si>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</si>
  <si>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</si>
  <si>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</si>
  <si>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</si>
  <si>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</si>
  <si>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</si>
  <si>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</si>
  <si>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</si>
  <si>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</si>
  <si>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</si>
  <si>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</si>
  <si>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</si>
  <si>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</si>
  <si>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</si>
  <si>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</si>
  <si>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</si>
  <si>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</si>
  <si>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</si>
  <si>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</si>
  <si>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</si>
  <si>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</si>
  <si>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</si>
  <si>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</si>
  <si>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</si>
  <si>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</si>
  <si>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</si>
  <si>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</si>
  <si>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</si>
  <si>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</si>
  <si>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</si>
  <si>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</si>
  <si>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</si>
  <si>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</si>
  <si>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</si>
  <si>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</si>
  <si>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</si>
  <si>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</si>
  <si>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</si>
  <si>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</si>
  <si>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</si>
  <si>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</si>
  <si>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</si>
  <si>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</si>
  <si>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</si>
  <si>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</si>
  <si>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</si>
  <si>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</si>
  <si>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</si>
  <si>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</si>
  <si>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</si>
  <si>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</si>
  <si>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</si>
  <si>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</si>
  <si>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</si>
  <si>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</si>
  <si>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</si>
  <si>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</si>
  <si>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</si>
  <si>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</si>
  <si>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</si>
  <si>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</si>
  <si>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</si>
  <si>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</si>
  <si>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</si>
  <si>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</si>
  <si>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</si>
  <si>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</si>
  <si>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</si>
  <si>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</si>
  <si>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</si>
  <si>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</si>
  <si>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</si>
  <si>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</si>
  <si>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</si>
  <si>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</si>
  <si>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</si>
  <si>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</si>
  <si>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</si>
  <si>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</si>
  <si>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</si>
  <si>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</si>
  <si>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</si>
  <si>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</si>
  <si>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</si>
  <si>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</si>
  <si>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</si>
  <si>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</si>
  <si>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</si>
  <si>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</si>
  <si>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</si>
  <si>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</si>
  <si>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</si>
  <si>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</si>
  <si>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</si>
  <si>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</si>
  <si>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</si>
  <si>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</si>
  <si>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</si>
  <si>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</si>
  <si>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</si>
  <si>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</si>
  <si>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</si>
  <si>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</si>
  <si>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</si>
  <si>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</si>
  <si>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</si>
  <si>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</si>
  <si>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</si>
  <si>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</si>
  <si>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</si>
  <si>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</si>
  <si>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</si>
  <si>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</si>
  <si>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</si>
  <si>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</si>
  <si>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</si>
  <si>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</si>
  <si>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</si>
  <si>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</si>
  <si>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</si>
  <si>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</si>
  <si>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</si>
  <si>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</si>
  <si>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</si>
  <si>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</si>
  <si>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</si>
  <si>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</si>
  <si>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</si>
  <si>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</si>
  <si>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</si>
  <si>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</si>
  <si>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</si>
  <si>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</si>
  <si>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</si>
  <si>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</si>
  <si>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</si>
  <si>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</si>
  <si>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</si>
  <si>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</si>
  <si>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</si>
  <si>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</si>
  <si>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</si>
  <si>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</si>
  <si>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</si>
  <si>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</si>
  <si>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</si>
  <si>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</si>
  <si>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</si>
  <si>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</si>
  <si>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</si>
  <si>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</si>
  <si>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</si>
  <si>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</si>
  <si>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</si>
  <si>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</si>
  <si>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</si>
  <si>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</si>
  <si>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</si>
  <si>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</si>
  <si>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</si>
  <si>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</si>
  <si>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</si>
  <si>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</si>
  <si>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</si>
  <si>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</si>
  <si>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</si>
  <si>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</si>
  <si>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</si>
  <si>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</si>
  <si>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</si>
  <si>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</si>
  <si>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</si>
  <si>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</si>
  <si>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</si>
  <si>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</si>
  <si>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</si>
  <si>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</si>
  <si>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</si>
  <si>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</si>
  <si>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</si>
  <si>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</si>
  <si>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</si>
  <si>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</si>
  <si>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</si>
  <si>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</si>
  <si>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</si>
  <si>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</si>
  <si>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</si>
  <si>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</si>
  <si>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</si>
  <si>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</si>
  <si>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</si>
  <si>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</si>
  <si>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</si>
  <si>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</si>
  <si>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</si>
  <si>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</si>
  <si>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</si>
  <si>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</si>
  <si>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</si>
  <si>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</si>
  <si>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</si>
  <si>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</si>
  <si>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</si>
  <si>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</si>
  <si>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</si>
  <si>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</si>
  <si>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</si>
  <si>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</si>
  <si>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</si>
  <si>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</si>
  <si>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</si>
  <si>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</si>
  <si>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</si>
  <si>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</si>
  <si>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</si>
  <si>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</si>
  <si>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</si>
  <si>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</si>
  <si>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</si>
  <si>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</si>
  <si>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</si>
  <si>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</si>
  <si>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</si>
  <si>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</si>
  <si>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</si>
  <si>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</si>
  <si>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</si>
  <si>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</si>
  <si>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</si>
  <si>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</si>
  <si>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</si>
  <si>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</si>
  <si>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</si>
  <si>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</si>
  <si>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</si>
  <si>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</si>
  <si>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</si>
  <si>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</si>
  <si>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</si>
  <si>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</si>
  <si>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</si>
  <si>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</si>
  <si>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</si>
  <si>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</si>
  <si>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</si>
  <si>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t xml:space="preserve">ZX agreement / cross-border FPS project proposal / gaoteng memorandum / WPHK tenpay agreement and user agreement on use of WeChat Pay HK as source of funds for RMB wawllet / manual on cybersecurity </t>
  </si>
  <si>
    <r>
      <t>Date: 2025</t>
    </r>
    <r>
      <rPr>
        <b/>
        <sz val="10"/>
        <color theme="0"/>
        <rFont val="等线"/>
        <charset val="134"/>
      </rPr>
      <t xml:space="preserve">-10.13 </t>
    </r>
    <r>
      <rPr>
        <b/>
        <sz val="10"/>
        <color theme="0"/>
        <rFont val="新細明體"/>
        <family val="1"/>
        <charset val="136"/>
      </rPr>
      <t xml:space="preserve">- </t>
    </r>
    <r>
      <rPr>
        <b/>
        <sz val="10"/>
        <color theme="0"/>
        <rFont val="新細明體"/>
        <family val="2"/>
        <scheme val="minor"/>
      </rPr>
      <t>2025-10.19</t>
    </r>
  </si>
  <si>
    <t>BRC</t>
  </si>
  <si>
    <t>insider dealing policy</t>
  </si>
  <si>
    <t>insiider dealing policy</t>
  </si>
  <si>
    <t>HKMA FPS briefing session / HKPF scammer code</t>
  </si>
  <si>
    <t>catch up with Scarlett</t>
  </si>
  <si>
    <t>ZX agreement / cross-border FPS project  / Goateng proposal  / use of WeChat Pay HK as source of funds for RMB wallet / Tenpay outsourcing / NFC project / WPHK tenpay agreement and user agreement on use of WeChat Pay HK as source of funds / HKMA SVF data collection / HKMA notification re gaoteng and expansion through tenpay / Fusion Saving / HKMA Social Engineering and Phishing Attempts / Cybersecurity Committee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</si>
</sst>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5" zoomScale="84" zoomScaleNormal="84" workbookViewId="0">
      <selection activeCell="J28" sqref="J2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4.5</v>
      </c>
      <c r="H6" s="9" t="s">
        <v>73</v>
      </c>
      <c r="I6" s="16" t="s">
        <v>346</v>
      </c>
    </row>
    <row r="7" spans="1:9" s="2" customFormat="1" ht="27">
      <c r="B7" s="8" t="s">
        <v>338</v>
      </c>
      <c r="C7" s="9" t="s">
        <v>43</v>
      </c>
      <c r="D7" s="10" t="s">
        <v>18</v>
      </c>
      <c r="E7" s="10" t="s">
        <v>30</v>
      </c>
      <c r="F7" s="9" t="s">
        <v>327</v>
      </c>
      <c r="G7" s="11">
        <v>0.5</v>
      </c>
      <c r="H7" s="9" t="s">
        <v>27</v>
      </c>
      <c r="I7" s="16" t="s">
        <v>345</v>
      </c>
    </row>
    <row r="8" spans="1:9" s="2" customFormat="1" ht="54">
      <c r="B8" s="8" t="s">
        <v>338</v>
      </c>
      <c r="C8" s="9" t="s">
        <v>43</v>
      </c>
      <c r="D8" s="10" t="s">
        <v>47</v>
      </c>
      <c r="E8" s="10" t="s">
        <v>30</v>
      </c>
      <c r="F8" s="9" t="s">
        <v>332</v>
      </c>
      <c r="G8" s="11">
        <v>1</v>
      </c>
      <c r="H8" s="9" t="s">
        <v>27</v>
      </c>
      <c r="I8" s="16" t="s">
        <v>344</v>
      </c>
    </row>
    <row r="9" spans="1:9" s="2" customFormat="1" ht="54">
      <c r="B9" s="8" t="s">
        <v>338</v>
      </c>
      <c r="C9" s="9" t="s">
        <v>22</v>
      </c>
      <c r="D9" s="10" t="s">
        <v>55</v>
      </c>
      <c r="E9" s="10" t="s">
        <v>30</v>
      </c>
      <c r="F9" s="9" t="s">
        <v>335</v>
      </c>
      <c r="G9" s="11">
        <v>9.5</v>
      </c>
      <c r="H9" s="9" t="s">
        <v>73</v>
      </c>
      <c r="I9" s="16" t="s">
        <v>342</v>
      </c>
    </row>
    <row r="10" spans="1:9" s="2" customFormat="1" ht="40.5">
      <c r="B10" s="8" t="s">
        <v>338</v>
      </c>
      <c r="C10" s="9" t="s">
        <v>22</v>
      </c>
      <c r="D10" s="10" t="s">
        <v>55</v>
      </c>
      <c r="E10" s="10" t="s">
        <v>30</v>
      </c>
      <c r="F10" s="9" t="s">
        <v>335</v>
      </c>
      <c r="G10" s="11">
        <v>1.5</v>
      </c>
      <c r="H10" s="9" t="s">
        <v>79</v>
      </c>
      <c r="I10" s="16" t="s">
        <v>347</v>
      </c>
    </row>
    <row r="11" spans="1:9" s="2" customFormat="1" ht="163" customHeight="1">
      <c r="B11" s="8" t="s">
        <v>338</v>
      </c>
      <c r="C11" s="9" t="s">
        <v>22</v>
      </c>
      <c r="D11" s="10" t="s">
        <v>55</v>
      </c>
      <c r="E11" s="10" t="s">
        <v>30</v>
      </c>
      <c r="F11" s="9" t="s">
        <v>335</v>
      </c>
      <c r="G11" s="11">
        <v>14</v>
      </c>
      <c r="H11" s="9" t="s">
        <v>27</v>
      </c>
      <c r="I11" s="16" t="s">
        <v>349</v>
      </c>
    </row>
    <row r="12" spans="1:9" s="2" customFormat="1" ht="27">
      <c r="B12" s="8" t="s">
        <v>338</v>
      </c>
      <c r="C12" s="9" t="s">
        <v>28</v>
      </c>
      <c r="D12" s="10" t="s">
        <v>31</v>
      </c>
      <c r="E12" s="10" t="s">
        <v>33</v>
      </c>
      <c r="F12" s="9" t="s">
        <v>39</v>
      </c>
      <c r="G12" s="11">
        <v>0.5</v>
      </c>
      <c r="H12" s="9" t="s">
        <v>75</v>
      </c>
      <c r="I12" s="16" t="s">
        <v>341</v>
      </c>
    </row>
    <row r="13" spans="1:9" s="2" customFormat="1" ht="13.5">
      <c r="B13" s="8" t="s">
        <v>338</v>
      </c>
      <c r="C13" s="9" t="s">
        <v>28</v>
      </c>
      <c r="D13" s="10" t="s">
        <v>31</v>
      </c>
      <c r="E13" s="10" t="s">
        <v>34</v>
      </c>
      <c r="F13" s="9" t="s">
        <v>40</v>
      </c>
      <c r="G13" s="11">
        <v>1</v>
      </c>
      <c r="H13" s="9" t="s">
        <v>75</v>
      </c>
      <c r="I13" s="16" t="s">
        <v>348</v>
      </c>
    </row>
    <row r="14" spans="1:9" s="2" customFormat="1" ht="13.5">
      <c r="B14" s="8"/>
      <c r="C14" s="9"/>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4.5" customHeight="1">
      <c r="B22" s="80" t="s">
        <v>32</v>
      </c>
      <c r="C22" s="81"/>
      <c r="D22" s="82"/>
      <c r="E22" s="12"/>
      <c r="F22" s="12"/>
      <c r="G22" s="83">
        <f>SUM(G6:G21)</f>
        <v>32.5</v>
      </c>
      <c r="H22" s="84"/>
      <c r="I22" s="85"/>
    </row>
    <row r="25" spans="2:9">
      <c r="B25" s="17" t="s">
        <v>81</v>
      </c>
      <c r="C25" s="18" t="s">
        <v>339</v>
      </c>
      <c r="D25" s="75"/>
    </row>
    <row r="26" spans="2:9">
      <c r="C26" s="18" t="s">
        <v>340</v>
      </c>
      <c r="D26" s="75"/>
    </row>
  </sheetData>
  <mergeCells count="4">
    <mergeCell ref="B1:I1"/>
    <mergeCell ref="B2:H2"/>
    <mergeCell ref="B22:D22"/>
    <mergeCell ref="G22:I22"/>
  </mergeCells>
  <phoneticPr fontId="10" type="noConversion"/>
  <dataValidations count="3">
    <dataValidation type="list" allowBlank="1" showInputMessage="1" showErrorMessage="1" sqref="H13:H21 H6:H12"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E6:E21</xm:sqref>
        </x14:dataValidation>
        <x14:dataValidation type="list" allowBlank="1" showInputMessage="1" showErrorMessage="1" promptTitle="Internal Client" xr:uid="{00000000-0002-0000-0000-000004000000}">
          <x14:formula1>
            <xm:f>'Exhibit II - Internal Client'!$A$1:$A$20</xm:f>
          </x14:formula1>
          <xm:sqref>D15:D21 D6:D13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