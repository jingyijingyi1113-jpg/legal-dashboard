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8_{11F448CF-427C-4A65-89DB-9320F2352E1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1" l="1"/>
</calcChain>
</file>

<file path=xl/sharedStrings.xml><?xml version="1.0" encoding="utf-8"?>
<sst xmlns="http://schemas.openxmlformats.org/spreadsheetml/2006/main" count="630" uniqueCount="371">
  <si>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</si>
  <si>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</si>
  <si>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</si>
  <si>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</si>
  <si>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</si>
  <si>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</si>
  <si>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</si>
  <si>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</si>
  <si>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</si>
  <si>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</si>
  <si>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</si>
  <si>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</si>
  <si>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</si>
  <si>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</si>
  <si>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</si>
  <si>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</si>
  <si>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</si>
  <si>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</si>
  <si>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</si>
  <si>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</si>
  <si>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</si>
  <si>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</si>
  <si>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</si>
  <si>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</si>
  <si>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</si>
  <si>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</si>
  <si>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</si>
  <si>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</si>
  <si>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</si>
  <si>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</si>
  <si>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</si>
  <si>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</si>
  <si>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</si>
  <si>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</si>
  <si>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</si>
  <si>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</si>
  <si>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</si>
  <si>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</si>
  <si>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</si>
  <si>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</si>
  <si>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</si>
  <si>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</si>
  <si>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</si>
  <si>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</si>
  <si>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</si>
  <si>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</si>
  <si>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</si>
  <si>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</si>
  <si>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</si>
  <si>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</si>
  <si>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</si>
  <si>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</si>
  <si>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</si>
  <si>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</si>
  <si>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</si>
  <si>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</si>
  <si>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</si>
  <si>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</si>
  <si>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</si>
  <si>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</si>
  <si>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</si>
  <si>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</si>
  <si>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</si>
  <si>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</si>
  <si>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</si>
  <si>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</si>
  <si>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</si>
  <si>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</si>
  <si>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</si>
  <si>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</si>
  <si>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</si>
  <si>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</si>
  <si>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</si>
  <si>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</si>
  <si>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</si>
  <si>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</si>
  <si>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</si>
  <si>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</si>
  <si>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</si>
  <si>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</si>
  <si>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</si>
  <si>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</si>
  <si>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</si>
  <si>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</si>
  <si>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</si>
  <si>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</si>
  <si>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</si>
  <si>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</si>
  <si>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</si>
  <si>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</si>
  <si>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</si>
  <si>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</si>
  <si>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</si>
  <si>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</si>
  <si>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</si>
  <si>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</si>
  <si>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</si>
  <si>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</si>
  <si>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</si>
  <si>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</si>
  <si>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</si>
  <si>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</si>
  <si>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</si>
  <si>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</si>
  <si>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</si>
  <si>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</si>
  <si>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</si>
  <si>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</si>
  <si>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</si>
  <si>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</si>
  <si>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</si>
  <si>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</si>
  <si>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</si>
  <si>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</si>
  <si>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</si>
  <si>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</si>
  <si>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</si>
  <si>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</si>
  <si>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</si>
  <si>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</si>
  <si>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</si>
  <si>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</si>
  <si>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</si>
  <si>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</si>
  <si>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</si>
  <si>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</si>
  <si>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</si>
  <si>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</si>
  <si>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</si>
  <si>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</si>
  <si>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</si>
  <si>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</si>
  <si>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</si>
  <si>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</si>
  <si>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</si>
  <si>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</si>
  <si>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</si>
  <si>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</si>
  <si>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</si>
  <si>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</si>
  <si>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</si>
  <si>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</si>
  <si>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</si>
  <si>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</si>
  <si>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</si>
  <si>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</si>
  <si>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</si>
  <si>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</si>
  <si>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</si>
  <si>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</si>
  <si>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</si>
  <si>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</si>
  <si>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</si>
  <si>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</si>
  <si>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</si>
  <si>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</si>
  <si>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</si>
  <si>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</si>
  <si>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</si>
  <si>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</si>
  <si>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</si>
  <si>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</si>
  <si>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</si>
  <si>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</si>
  <si>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</si>
  <si>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</si>
  <si>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</si>
  <si>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</si>
  <si>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</si>
  <si>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</si>
  <si>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</si>
  <si>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</si>
  <si>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</si>
  <si>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</si>
  <si>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</si>
  <si>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</si>
  <si>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</si>
  <si>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</si>
  <si>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</si>
  <si>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</si>
  <si>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</si>
  <si>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</si>
  <si>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</si>
  <si>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</si>
  <si>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</si>
  <si>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</si>
  <si>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</si>
  <si>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</si>
  <si>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</si>
  <si>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</si>
  <si>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</si>
  <si>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</si>
  <si>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</si>
  <si>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</si>
  <si>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</si>
  <si>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</si>
  <si>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</si>
  <si>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</si>
  <si>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</si>
  <si>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</si>
  <si>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</si>
  <si>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</si>
  <si>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</si>
  <si>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</si>
  <si>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</si>
  <si>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</si>
  <si>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</si>
  <si>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</si>
  <si>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</si>
  <si>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</si>
  <si>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</si>
  <si>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</si>
  <si>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</si>
  <si>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</si>
  <si>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</si>
  <si>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</si>
  <si>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</si>
  <si>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</si>
  <si>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</si>
  <si>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</si>
  <si>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</si>
  <si>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</si>
  <si>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</si>
  <si>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</si>
  <si>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</si>
  <si>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</si>
  <si>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</si>
  <si>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</si>
  <si>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</si>
  <si>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</si>
  <si>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</si>
  <si>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</si>
  <si>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</si>
  <si>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</si>
  <si>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</si>
  <si>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</si>
  <si>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</si>
  <si>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</si>
  <si>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</si>
  <si>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</si>
  <si>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</si>
  <si>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</si>
  <si>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</si>
  <si>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</si>
  <si>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</si>
  <si>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</si>
  <si>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</si>
  <si>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</si>
  <si>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</si>
  <si>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</si>
  <si>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</si>
  <si>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</si>
  <si>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</si>
  <si>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</si>
  <si>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</si>
  <si>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</si>
  <si>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</si>
  <si>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</si>
  <si>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</si>
  <si>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</si>
  <si>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</si>
  <si>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</si>
  <si>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</si>
  <si>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</si>
  <si>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</si>
  <si>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</si>
  <si>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</si>
  <si>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</si>
  <si>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</si>
  <si>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</si>
  <si>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</si>
  <si>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</si>
  <si>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</si>
  <si>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</si>
  <si>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</si>
  <si>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</si>
  <si>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</si>
  <si>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</si>
  <si>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</si>
  <si>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</si>
  <si>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</si>
  <si>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</si>
  <si>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</si>
  <si>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</si>
  <si>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</si>
  <si>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</si>
  <si>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</si>
  <si>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</si>
  <si>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</si>
  <si>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</si>
  <si>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</si>
  <si>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</si>
  <si>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</si>
  <si>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</si>
  <si>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</si>
  <si>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</si>
  <si>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</si>
  <si>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</si>
  <si>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</si>
  <si>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</si>
  <si>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</si>
  <si>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</si>
  <si>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</si>
  <si>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</si>
  <si>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</si>
  <si>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</si>
  <si>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</si>
  <si>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</si>
  <si>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</si>
  <si>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</si>
  <si>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</si>
  <si>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</si>
  <si>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</si>
  <si>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</si>
  <si>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</si>
  <si>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</si>
  <si>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</si>
  <si>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</si>
  <si>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</si>
  <si>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</si>
  <si>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</si>
  <si>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</si>
  <si>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</si>
  <si>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</si>
  <si>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</si>
  <si>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</si>
  <si>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</si>
  <si>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</si>
  <si>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</si>
  <si>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</si>
  <si>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</si>
  <si>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</si>
  <si>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</si>
  <si>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</si>
  <si>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</si>
  <si>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</si>
  <si>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</si>
  <si>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</si>
  <si>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</si>
  <si>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</si>
  <si>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</si>
  <si>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</si>
  <si>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</si>
  <si>
    <t xml:space="preserve">2025-08-11: attend internal KO conference regarding dim sum bond issuance </t>
  </si>
  <si>
    <t xml:space="preserve">2025-08-11: attend conference with B. Pan of DPW regarding dim sum bond issuance </t>
  </si>
  <si>
    <t>2025-08-11: attend KO meeting regarding dim sum bond issuance and discuss with team</t>
  </si>
  <si>
    <t xml:space="preserve">2025-08-11: liaise with DPW regarding the sample disclosure on directors training </t>
  </si>
  <si>
    <t xml:space="preserve">2025-08-11: discuss with J. Xie of ZL regarding the NDRC approval for the dim sum bond issuance </t>
  </si>
  <si>
    <t xml:space="preserve">2025-08-12: conduct research on HKEX guidance on future prospects of significant investment </t>
  </si>
  <si>
    <t xml:space="preserve">2025-08-12: conduct research on the impact of dim sum bond issuance on the repurchase of shares </t>
  </si>
  <si>
    <t>2025-08-12: review and revise the China AMC investment agreement</t>
  </si>
  <si>
    <t xml:space="preserve">2025-08-12: start to review the lease agreements in HK and liaise with H. Li regarding the agreement renewal </t>
  </si>
  <si>
    <t>团队内部会议 Team meetings</t>
  </si>
  <si>
    <t>2025-08-12: attend the Harvey training session arranged by Ashurst</t>
  </si>
  <si>
    <t xml:space="preserve">2025-08-12: attend bi-weekly internal call </t>
  </si>
  <si>
    <t>2025-08-13: review the draft directors' training record prepared by DPW and circulated the consolidated training record and board skills matrix for review</t>
  </si>
  <si>
    <t>2025-08-13: review and revise the China AMC investment management agreement; address queries from M. Yang and discusss with S. Cheung and C. Yu</t>
  </si>
  <si>
    <t xml:space="preserve">2025-08-13: continue to review the lease agreements in HK and the side letter in respect of Lippo Centre offices </t>
  </si>
  <si>
    <t xml:space="preserve">2025-08-14: continue to review the lease agreements in HK and side letter and respond to H. Li </t>
  </si>
  <si>
    <t xml:space="preserve">2025-08-14: review the draft investee company policy </t>
  </si>
  <si>
    <t xml:space="preserve">2025-08-14: conduct research regarding share buyback and the grant of new shares under share scheme </t>
  </si>
  <si>
    <t xml:space="preserve">2025-08-14: attend conference with J. Huang regarding gold trading agreements; conduct research </t>
  </si>
  <si>
    <t xml:space="preserve">2025-08-15: continue to review the draft investee company policy </t>
  </si>
  <si>
    <t xml:space="preserve">2025-08-15: attend weekly call for dim sum bond issuance </t>
  </si>
  <si>
    <t xml:space="preserve">2025-08-12: review the HKEx guidance, read the directors' CVs and prepare draft board skills matrix </t>
  </si>
  <si>
    <t xml:space="preserve">2025-08-14: review the ISDA agreement and gold trading agreements </t>
  </si>
  <si>
    <t>2025-08-15: conduct research on the SFC guidance on disclosure of insider information</t>
  </si>
  <si>
    <t xml:space="preserve">2025-08-15: review the China AMC investment management agreement and respond to M. Yang's inquiries </t>
  </si>
  <si>
    <t xml:space="preserve">2025-08-15: conduct research on the NDA for dim sum bond issuance </t>
  </si>
  <si>
    <t xml:space="preserve">2025-08-11: conduct research on recent debt issuance undertaken by comparable companies and LR rules on debt issuance to professional investors </t>
  </si>
  <si>
    <t xml:space="preserve">2025-08-13: conduct research and discuss with internal team regarding disclosure of inside information and the impact of bond issuance on repurchase of shares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</si>
</sst>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topLeftCell="A5" zoomScaleNormal="95" workbookViewId="0">
      <selection activeCell="B33" sqref="B33:B4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27">
      <c r="B6" s="8" t="s">
        <v>341</v>
      </c>
      <c r="C6" s="9" t="s">
        <v>42</v>
      </c>
      <c r="D6" s="10" t="s">
        <v>49</v>
      </c>
      <c r="E6" s="10" t="s">
        <v>29</v>
      </c>
      <c r="F6" s="9" t="s">
        <v>320</v>
      </c>
      <c r="G6" s="11">
        <v>0.8</v>
      </c>
      <c r="H6" s="9" t="s">
        <v>26</v>
      </c>
      <c r="I6" s="16" t="s">
        <v>343</v>
      </c>
    </row>
    <row r="7" spans="1:9" s="2" customFormat="1" ht="27">
      <c r="B7" s="8" t="s">
        <v>341</v>
      </c>
      <c r="C7" s="9" t="s">
        <v>42</v>
      </c>
      <c r="D7" s="10" t="s">
        <v>49</v>
      </c>
      <c r="E7" s="10" t="s">
        <v>29</v>
      </c>
      <c r="F7" s="9" t="s">
        <v>320</v>
      </c>
      <c r="G7" s="11">
        <v>0.8</v>
      </c>
      <c r="H7" s="9" t="s">
        <v>26</v>
      </c>
      <c r="I7" s="16" t="s">
        <v>344</v>
      </c>
    </row>
    <row r="8" spans="1:9" s="2" customFormat="1" ht="27">
      <c r="B8" s="8" t="s">
        <v>341</v>
      </c>
      <c r="C8" s="9" t="s">
        <v>42</v>
      </c>
      <c r="D8" s="10" t="s">
        <v>49</v>
      </c>
      <c r="E8" s="10" t="s">
        <v>29</v>
      </c>
      <c r="F8" s="9" t="s">
        <v>320</v>
      </c>
      <c r="G8" s="11">
        <v>1.5</v>
      </c>
      <c r="H8" s="9" t="s">
        <v>26</v>
      </c>
      <c r="I8" s="16" t="s">
        <v>345</v>
      </c>
    </row>
    <row r="9" spans="1:9" s="2" customFormat="1" ht="40.5">
      <c r="B9" s="8" t="s">
        <v>341</v>
      </c>
      <c r="C9" s="9" t="s">
        <v>42</v>
      </c>
      <c r="D9" s="10" t="s">
        <v>49</v>
      </c>
      <c r="E9" s="10" t="s">
        <v>29</v>
      </c>
      <c r="F9" s="9" t="s">
        <v>320</v>
      </c>
      <c r="G9" s="11">
        <v>2</v>
      </c>
      <c r="H9" s="9" t="s">
        <v>23</v>
      </c>
      <c r="I9" s="16" t="s">
        <v>369</v>
      </c>
    </row>
    <row r="10" spans="1:9" s="2" customFormat="1" ht="27">
      <c r="B10" s="8" t="s">
        <v>341</v>
      </c>
      <c r="C10" s="9" t="s">
        <v>41</v>
      </c>
      <c r="D10" s="10" t="s">
        <v>45</v>
      </c>
      <c r="E10" s="10" t="s">
        <v>29</v>
      </c>
      <c r="F10" s="9" t="s">
        <v>324</v>
      </c>
      <c r="G10" s="11">
        <v>0.8</v>
      </c>
      <c r="H10" s="9" t="s">
        <v>26</v>
      </c>
      <c r="I10" s="16" t="s">
        <v>346</v>
      </c>
    </row>
    <row r="11" spans="1:9" s="2" customFormat="1" ht="27">
      <c r="B11" s="8" t="s">
        <v>341</v>
      </c>
      <c r="C11" s="9" t="s">
        <v>42</v>
      </c>
      <c r="D11" s="10" t="s">
        <v>49</v>
      </c>
      <c r="E11" s="10" t="s">
        <v>29</v>
      </c>
      <c r="F11" s="9" t="s">
        <v>320</v>
      </c>
      <c r="G11" s="11">
        <v>0.8</v>
      </c>
      <c r="H11" s="9" t="s">
        <v>26</v>
      </c>
      <c r="I11" s="16" t="s">
        <v>347</v>
      </c>
    </row>
    <row r="12" spans="1:9" s="2" customFormat="1" ht="27">
      <c r="B12" s="8" t="s">
        <v>341</v>
      </c>
      <c r="C12" s="9" t="s">
        <v>41</v>
      </c>
      <c r="D12" s="10" t="s">
        <v>45</v>
      </c>
      <c r="E12" s="10" t="s">
        <v>29</v>
      </c>
      <c r="F12" s="9" t="s">
        <v>324</v>
      </c>
      <c r="G12" s="11">
        <v>0.7</v>
      </c>
      <c r="H12" s="9" t="s">
        <v>23</v>
      </c>
      <c r="I12" s="16" t="s">
        <v>348</v>
      </c>
    </row>
    <row r="13" spans="1:9" s="2" customFormat="1" ht="27">
      <c r="B13" s="8" t="s">
        <v>341</v>
      </c>
      <c r="C13" s="9" t="s">
        <v>41</v>
      </c>
      <c r="D13" s="10" t="s">
        <v>45</v>
      </c>
      <c r="E13" s="10" t="s">
        <v>29</v>
      </c>
      <c r="F13" s="9" t="s">
        <v>324</v>
      </c>
      <c r="G13" s="11">
        <v>2</v>
      </c>
      <c r="H13" s="9" t="s">
        <v>71</v>
      </c>
      <c r="I13" s="16" t="s">
        <v>364</v>
      </c>
    </row>
    <row r="14" spans="1:9" s="2" customFormat="1" ht="27">
      <c r="B14" s="8" t="s">
        <v>341</v>
      </c>
      <c r="C14" s="9" t="s">
        <v>41</v>
      </c>
      <c r="D14" s="10" t="s">
        <v>45</v>
      </c>
      <c r="E14" s="10" t="s">
        <v>29</v>
      </c>
      <c r="F14" s="9" t="s">
        <v>324</v>
      </c>
      <c r="G14" s="11">
        <v>1.5</v>
      </c>
      <c r="H14" s="9" t="s">
        <v>23</v>
      </c>
      <c r="I14" s="16" t="s">
        <v>349</v>
      </c>
    </row>
    <row r="15" spans="1:9" s="2" customFormat="1" ht="27">
      <c r="B15" s="8" t="s">
        <v>341</v>
      </c>
      <c r="C15" s="9" t="s">
        <v>42</v>
      </c>
      <c r="D15" s="10" t="s">
        <v>49</v>
      </c>
      <c r="E15" s="10" t="s">
        <v>29</v>
      </c>
      <c r="F15" s="9" t="s">
        <v>320</v>
      </c>
      <c r="G15" s="11">
        <v>1</v>
      </c>
      <c r="H15" s="9" t="s">
        <v>71</v>
      </c>
      <c r="I15" s="16" t="s">
        <v>350</v>
      </c>
    </row>
    <row r="16" spans="1:9" s="2" customFormat="1" ht="54">
      <c r="B16" s="8" t="s">
        <v>341</v>
      </c>
      <c r="C16" s="9" t="s">
        <v>43</v>
      </c>
      <c r="D16" s="10" t="s">
        <v>47</v>
      </c>
      <c r="E16" s="10" t="s">
        <v>29</v>
      </c>
      <c r="F16" s="9" t="s">
        <v>331</v>
      </c>
      <c r="G16" s="11">
        <v>1.5</v>
      </c>
      <c r="H16" s="9" t="s">
        <v>71</v>
      </c>
      <c r="I16" s="16" t="s">
        <v>351</v>
      </c>
    </row>
    <row r="17" spans="2:9" s="2" customFormat="1" ht="27">
      <c r="B17" s="8" t="s">
        <v>341</v>
      </c>
      <c r="C17" s="9" t="s">
        <v>27</v>
      </c>
      <c r="D17" s="10" t="s">
        <v>30</v>
      </c>
      <c r="E17" s="10" t="s">
        <v>32</v>
      </c>
      <c r="F17" s="9" t="s">
        <v>352</v>
      </c>
      <c r="G17" s="11">
        <v>0.9</v>
      </c>
      <c r="H17" s="9" t="s">
        <v>20</v>
      </c>
      <c r="I17" s="16" t="s">
        <v>353</v>
      </c>
    </row>
    <row r="18" spans="2:9" s="2" customFormat="1" ht="13.5">
      <c r="B18" s="8" t="s">
        <v>341</v>
      </c>
      <c r="C18" s="9" t="s">
        <v>27</v>
      </c>
      <c r="D18" s="10" t="s">
        <v>30</v>
      </c>
      <c r="E18" s="10" t="s">
        <v>32</v>
      </c>
      <c r="F18" s="9" t="s">
        <v>352</v>
      </c>
      <c r="G18" s="11">
        <v>0.8</v>
      </c>
      <c r="H18" s="9" t="s">
        <v>20</v>
      </c>
      <c r="I18" s="78" t="s">
        <v>354</v>
      </c>
    </row>
    <row r="19" spans="2:9" s="2" customFormat="1" ht="40.5">
      <c r="B19" s="8" t="s">
        <v>341</v>
      </c>
      <c r="C19" s="9" t="s">
        <v>41</v>
      </c>
      <c r="D19" s="10" t="s">
        <v>45</v>
      </c>
      <c r="E19" s="10" t="s">
        <v>29</v>
      </c>
      <c r="F19" s="9" t="s">
        <v>324</v>
      </c>
      <c r="G19" s="11">
        <v>0.8</v>
      </c>
      <c r="H19" s="9" t="s">
        <v>71</v>
      </c>
      <c r="I19" s="16" t="s">
        <v>355</v>
      </c>
    </row>
    <row r="20" spans="2:9" s="2" customFormat="1" ht="40.5">
      <c r="B20" s="8" t="s">
        <v>341</v>
      </c>
      <c r="C20" s="9" t="s">
        <v>42</v>
      </c>
      <c r="D20" s="10" t="s">
        <v>49</v>
      </c>
      <c r="E20" s="10" t="s">
        <v>29</v>
      </c>
      <c r="F20" s="9" t="s">
        <v>320</v>
      </c>
      <c r="G20" s="11">
        <v>1.8</v>
      </c>
      <c r="H20" s="9" t="s">
        <v>71</v>
      </c>
      <c r="I20" s="16" t="s">
        <v>356</v>
      </c>
    </row>
    <row r="21" spans="2:9" s="2" customFormat="1" ht="40.5">
      <c r="B21" s="8" t="s">
        <v>341</v>
      </c>
      <c r="C21" s="9" t="s">
        <v>42</v>
      </c>
      <c r="D21" s="10" t="s">
        <v>49</v>
      </c>
      <c r="E21" s="10" t="s">
        <v>29</v>
      </c>
      <c r="F21" s="9" t="s">
        <v>320</v>
      </c>
      <c r="G21" s="11">
        <v>0.7</v>
      </c>
      <c r="H21" s="9" t="s">
        <v>26</v>
      </c>
      <c r="I21" s="16" t="s">
        <v>370</v>
      </c>
    </row>
    <row r="22" spans="2:9" s="2" customFormat="1" ht="54">
      <c r="B22" s="8" t="s">
        <v>341</v>
      </c>
      <c r="C22" s="9" t="s">
        <v>43</v>
      </c>
      <c r="D22" s="10" t="s">
        <v>47</v>
      </c>
      <c r="E22" s="10" t="s">
        <v>29</v>
      </c>
      <c r="F22" s="9" t="s">
        <v>331</v>
      </c>
      <c r="G22" s="11">
        <v>2</v>
      </c>
      <c r="H22" s="9" t="s">
        <v>71</v>
      </c>
      <c r="I22" s="16" t="s">
        <v>357</v>
      </c>
    </row>
    <row r="23" spans="2:9" s="2" customFormat="1" ht="27">
      <c r="B23" s="8" t="s">
        <v>341</v>
      </c>
      <c r="C23" s="9" t="s">
        <v>42</v>
      </c>
      <c r="D23" s="10" t="s">
        <v>49</v>
      </c>
      <c r="E23" s="10" t="s">
        <v>29</v>
      </c>
      <c r="F23" s="9" t="s">
        <v>320</v>
      </c>
      <c r="G23" s="11">
        <v>1</v>
      </c>
      <c r="H23" s="16" t="s">
        <v>26</v>
      </c>
      <c r="I23" s="16" t="s">
        <v>361</v>
      </c>
    </row>
    <row r="24" spans="2:9" s="2" customFormat="1" ht="54">
      <c r="B24" s="8" t="s">
        <v>341</v>
      </c>
      <c r="C24" s="9" t="s">
        <v>43</v>
      </c>
      <c r="D24" s="10" t="s">
        <v>47</v>
      </c>
      <c r="E24" s="10" t="s">
        <v>29</v>
      </c>
      <c r="F24" s="9" t="s">
        <v>331</v>
      </c>
      <c r="G24" s="11">
        <v>1</v>
      </c>
      <c r="H24" s="9" t="s">
        <v>71</v>
      </c>
      <c r="I24" s="16" t="s">
        <v>358</v>
      </c>
    </row>
    <row r="25" spans="2:9" s="2" customFormat="1" ht="54">
      <c r="B25" s="8" t="s">
        <v>341</v>
      </c>
      <c r="C25" s="9" t="s">
        <v>43</v>
      </c>
      <c r="D25" s="10" t="s">
        <v>25</v>
      </c>
      <c r="E25" s="10" t="s">
        <v>29</v>
      </c>
      <c r="F25" s="9" t="s">
        <v>331</v>
      </c>
      <c r="G25" s="11">
        <v>2</v>
      </c>
      <c r="H25" s="9" t="s">
        <v>71</v>
      </c>
      <c r="I25" s="16" t="s">
        <v>359</v>
      </c>
    </row>
    <row r="26" spans="2:9" s="2" customFormat="1" ht="27">
      <c r="B26" s="8" t="s">
        <v>341</v>
      </c>
      <c r="C26" s="9" t="s">
        <v>42</v>
      </c>
      <c r="D26" s="10" t="s">
        <v>49</v>
      </c>
      <c r="E26" s="10" t="s">
        <v>29</v>
      </c>
      <c r="F26" s="9" t="s">
        <v>320</v>
      </c>
      <c r="G26" s="11">
        <v>1</v>
      </c>
      <c r="H26" s="9" t="s">
        <v>71</v>
      </c>
      <c r="I26" s="16" t="s">
        <v>365</v>
      </c>
    </row>
    <row r="27" spans="2:9" s="2" customFormat="1" ht="27">
      <c r="B27" s="8" t="s">
        <v>341</v>
      </c>
      <c r="C27" s="9" t="s">
        <v>41</v>
      </c>
      <c r="D27" s="10" t="s">
        <v>25</v>
      </c>
      <c r="E27" s="10" t="s">
        <v>29</v>
      </c>
      <c r="F27" s="9" t="s">
        <v>324</v>
      </c>
      <c r="G27" s="11">
        <v>0.5</v>
      </c>
      <c r="H27" s="9" t="s">
        <v>23</v>
      </c>
      <c r="I27" s="16" t="s">
        <v>360</v>
      </c>
    </row>
    <row r="28" spans="2:9" s="2" customFormat="1" ht="54">
      <c r="B28" s="8" t="s">
        <v>341</v>
      </c>
      <c r="C28" s="9" t="s">
        <v>41</v>
      </c>
      <c r="D28" s="10" t="s">
        <v>25</v>
      </c>
      <c r="E28" s="10" t="s">
        <v>29</v>
      </c>
      <c r="F28" s="9" t="s">
        <v>331</v>
      </c>
      <c r="G28" s="11">
        <v>1</v>
      </c>
      <c r="H28" s="9" t="s">
        <v>71</v>
      </c>
      <c r="I28" s="16" t="s">
        <v>362</v>
      </c>
    </row>
    <row r="29" spans="2:9" s="2" customFormat="1" ht="40.5">
      <c r="B29" s="8" t="s">
        <v>341</v>
      </c>
      <c r="C29" s="9" t="s">
        <v>42</v>
      </c>
      <c r="D29" s="10" t="s">
        <v>49</v>
      </c>
      <c r="E29" s="10" t="s">
        <v>29</v>
      </c>
      <c r="F29" s="9" t="s">
        <v>320</v>
      </c>
      <c r="G29" s="11">
        <v>1.7</v>
      </c>
      <c r="H29" s="9" t="s">
        <v>71</v>
      </c>
      <c r="I29" s="16" t="s">
        <v>367</v>
      </c>
    </row>
    <row r="30" spans="2:9" s="2" customFormat="1" ht="27">
      <c r="B30" s="8" t="s">
        <v>341</v>
      </c>
      <c r="C30" s="9" t="s">
        <v>42</v>
      </c>
      <c r="D30" s="10" t="s">
        <v>49</v>
      </c>
      <c r="E30" s="10" t="s">
        <v>29</v>
      </c>
      <c r="F30" s="9" t="s">
        <v>320</v>
      </c>
      <c r="G30" s="11">
        <v>0.8</v>
      </c>
      <c r="H30" s="9" t="s">
        <v>26</v>
      </c>
      <c r="I30" s="16" t="s">
        <v>363</v>
      </c>
    </row>
    <row r="31" spans="2:9" s="2" customFormat="1" ht="27">
      <c r="B31" s="8" t="s">
        <v>341</v>
      </c>
      <c r="C31" s="9" t="s">
        <v>41</v>
      </c>
      <c r="D31" s="10" t="s">
        <v>30</v>
      </c>
      <c r="E31" s="10" t="s">
        <v>29</v>
      </c>
      <c r="F31" s="9" t="s">
        <v>324</v>
      </c>
      <c r="G31" s="11">
        <v>2.5</v>
      </c>
      <c r="H31" s="9" t="s">
        <v>23</v>
      </c>
      <c r="I31" s="16" t="s">
        <v>366</v>
      </c>
    </row>
    <row r="32" spans="2:9" s="2" customFormat="1" ht="27">
      <c r="B32" s="8" t="s">
        <v>341</v>
      </c>
      <c r="C32" s="9" t="s">
        <v>42</v>
      </c>
      <c r="D32" s="10" t="s">
        <v>49</v>
      </c>
      <c r="E32" s="10" t="s">
        <v>29</v>
      </c>
      <c r="F32" s="9" t="s">
        <v>320</v>
      </c>
      <c r="G32" s="11">
        <v>0.2</v>
      </c>
      <c r="H32" s="9" t="s">
        <v>71</v>
      </c>
      <c r="I32" s="16" t="s">
        <v>368</v>
      </c>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3.5">
      <c r="B36" s="8"/>
      <c r="C36" s="9"/>
      <c r="D36" s="10"/>
      <c r="E36" s="10"/>
      <c r="F36" s="9"/>
      <c r="G36" s="11"/>
      <c r="H36" s="9"/>
      <c r="I36" s="16"/>
    </row>
    <row r="37" spans="2:9" s="2" customFormat="1" ht="13.5">
      <c r="B37" s="8"/>
      <c r="C37" s="9"/>
      <c r="D37" s="10"/>
      <c r="E37" s="10"/>
      <c r="F37" s="9"/>
      <c r="G37" s="11"/>
      <c r="H37" s="9"/>
      <c r="I37" s="16"/>
    </row>
    <row r="38" spans="2:9" s="2" customFormat="1" ht="13.5">
      <c r="B38" s="8"/>
      <c r="C38" s="9"/>
      <c r="D38" s="10"/>
      <c r="E38" s="10"/>
      <c r="F38" s="9"/>
      <c r="G38" s="11"/>
      <c r="H38" s="9"/>
      <c r="I38" s="16"/>
    </row>
    <row r="39" spans="2:9" s="2" customFormat="1" ht="13.5">
      <c r="B39" s="8"/>
      <c r="C39" s="9"/>
      <c r="D39" s="10"/>
      <c r="E39" s="10"/>
      <c r="F39" s="9"/>
      <c r="G39" s="11"/>
      <c r="H39" s="9"/>
      <c r="I39" s="16"/>
    </row>
    <row r="40" spans="2:9" s="2" customFormat="1" ht="13.5">
      <c r="B40" s="8"/>
      <c r="C40" s="9"/>
      <c r="D40" s="10"/>
      <c r="E40" s="10"/>
      <c r="F40" s="9"/>
      <c r="G40" s="11"/>
      <c r="H40" s="9"/>
      <c r="I40" s="16"/>
    </row>
    <row r="41" spans="2:9" s="2" customFormat="1" ht="13.5">
      <c r="B41" s="8"/>
      <c r="C41" s="9"/>
      <c r="D41" s="10"/>
      <c r="E41" s="10"/>
      <c r="F41" s="9"/>
      <c r="G41" s="11"/>
      <c r="H41" s="9"/>
      <c r="I41" s="16"/>
    </row>
    <row r="42" spans="2:9" s="2" customFormat="1" ht="13.5">
      <c r="B42" s="8"/>
      <c r="C42" s="9"/>
      <c r="D42" s="10"/>
      <c r="E42" s="10"/>
      <c r="F42" s="9"/>
      <c r="G42" s="11"/>
      <c r="H42" s="9"/>
      <c r="I42" s="16"/>
    </row>
    <row r="43" spans="2:9" s="2" customFormat="1" ht="13.5">
      <c r="B43" s="8"/>
      <c r="C43" s="9"/>
      <c r="D43" s="10"/>
      <c r="E43" s="10"/>
      <c r="F43" s="9"/>
      <c r="G43" s="11"/>
      <c r="H43" s="9"/>
      <c r="I43" s="16"/>
    </row>
    <row r="44" spans="2:9" s="2" customFormat="1" ht="13.5">
      <c r="B44" s="8"/>
      <c r="C44" s="9"/>
      <c r="D44" s="10"/>
      <c r="E44" s="10"/>
      <c r="F44" s="9"/>
      <c r="G44" s="11"/>
      <c r="H44" s="9"/>
      <c r="I44" s="16"/>
    </row>
    <row r="45" spans="2:9" s="2" customFormat="1" ht="13.5">
      <c r="B45" s="8"/>
      <c r="C45" s="9"/>
      <c r="D45" s="10"/>
      <c r="E45" s="10"/>
      <c r="F45" s="9"/>
      <c r="G45" s="11"/>
      <c r="H45" s="9"/>
      <c r="I45" s="16"/>
    </row>
    <row r="46" spans="2:9" s="2" customFormat="1" ht="13.5">
      <c r="B46" s="8"/>
      <c r="C46" s="9"/>
      <c r="D46" s="10"/>
      <c r="E46" s="10"/>
      <c r="F46" s="9"/>
      <c r="G46" s="11"/>
      <c r="H46" s="9"/>
      <c r="I46" s="16"/>
    </row>
    <row r="47" spans="2:9" s="2" customFormat="1" ht="13.5">
      <c r="B47" s="8"/>
      <c r="C47" s="9"/>
      <c r="D47" s="10"/>
      <c r="E47" s="10"/>
      <c r="F47" s="9"/>
      <c r="G47" s="11"/>
      <c r="H47" s="9"/>
      <c r="I47" s="16"/>
    </row>
    <row r="48" spans="2:9" s="2" customFormat="1" ht="14.5" customHeight="1" thickBot="1">
      <c r="B48" s="83" t="s">
        <v>31</v>
      </c>
      <c r="C48" s="84"/>
      <c r="D48" s="85"/>
      <c r="E48" s="12"/>
      <c r="F48" s="12"/>
      <c r="G48" s="86">
        <f>SUM(G6:G47)</f>
        <v>32.1</v>
      </c>
      <c r="H48" s="87"/>
      <c r="I48" s="88"/>
    </row>
    <row r="51" spans="2:3">
      <c r="B51" s="17" t="s">
        <v>78</v>
      </c>
      <c r="C51" s="18" t="s">
        <v>328</v>
      </c>
    </row>
    <row r="52" spans="2:3">
      <c r="C52" s="18" t="s">
        <v>329</v>
      </c>
    </row>
  </sheetData>
  <mergeCells count="4">
    <mergeCell ref="B1:I1"/>
    <mergeCell ref="B2:H2"/>
    <mergeCell ref="B48:D48"/>
    <mergeCell ref="G48:I48"/>
  </mergeCells>
  <phoneticPr fontId="10" type="noConversion"/>
  <dataValidations count="3">
    <dataValidation type="list" errorStyle="warning" allowBlank="1" sqref="C10:C47" xr:uid="{00000000-0002-0000-0000-000005000000}">
      <formula1>项目事项分类项目名称</formula1>
    </dataValidation>
    <dataValidation type="list" allowBlank="1" showInputMessage="1" showErrorMessage="1" sqref="H6:H47" xr:uid="{00000000-0002-0000-0000-000006000000}">
      <formula1>事项分类指定内容</formula1>
    </dataValidation>
    <dataValidation type="list" allowBlank="1" showInputMessage="1" showErrorMessage="1" sqref="F6:F4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D6:D47</xm:sqref>
        </x14:dataValidation>
        <x14:dataValidation type="list" allowBlank="1" showInputMessage="1" showErrorMessage="1" xr:uid="{00000000-0002-0000-0000-000007000000}">
          <x14:formula1>
            <xm:f>Tag!$B$2:$E$2</xm:f>
          </x14:formula1>
          <xm:sqref>E6:E47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89</v>
      </c>
      <c r="D1" s="90"/>
      <c r="E1" s="90"/>
      <c r="F1" s="90"/>
      <c r="G1" s="90"/>
      <c r="H1" s="90"/>
      <c r="I1" s="90"/>
      <c r="J1" s="90"/>
      <c r="K1" s="90"/>
      <c r="L1" s="90"/>
      <c r="M1" s="90"/>
      <c r="N1" s="90"/>
    </row>
    <row r="2" spans="2:14">
      <c r="C2" s="91" t="s">
        <v>90</v>
      </c>
      <c r="D2" s="91"/>
      <c r="E2" s="91"/>
      <c r="F2" s="91"/>
      <c r="G2" s="91"/>
      <c r="H2" s="91"/>
      <c r="I2" s="91"/>
      <c r="J2" s="91"/>
      <c r="K2" s="91"/>
      <c r="L2" s="91"/>
      <c r="M2" s="91"/>
      <c r="N2" s="91"/>
    </row>
    <row r="3" spans="2:14">
      <c r="C3" s="92" t="s">
        <v>91</v>
      </c>
      <c r="D3" s="94" t="s">
        <v>92</v>
      </c>
      <c r="E3" s="95"/>
      <c r="F3" s="92" t="s">
        <v>93</v>
      </c>
      <c r="G3" s="92" t="s">
        <v>94</v>
      </c>
      <c r="H3" s="92" t="s">
        <v>95</v>
      </c>
      <c r="I3" s="98" t="s">
        <v>96</v>
      </c>
      <c r="J3" s="92" t="s">
        <v>61</v>
      </c>
      <c r="K3" s="99" t="s">
        <v>60</v>
      </c>
      <c r="L3" s="100"/>
      <c r="M3" s="100"/>
      <c r="N3" s="101"/>
    </row>
    <row r="4" spans="2:14">
      <c r="C4" s="93"/>
      <c r="D4" s="96"/>
      <c r="E4" s="97"/>
      <c r="F4" s="93"/>
      <c r="G4" s="93"/>
      <c r="H4" s="93"/>
      <c r="I4" s="93"/>
      <c r="J4" s="93"/>
      <c r="K4" s="20" t="s">
        <v>62</v>
      </c>
      <c r="L4" s="20" t="s">
        <v>63</v>
      </c>
      <c r="M4" s="20" t="s">
        <v>64</v>
      </c>
      <c r="N4" s="20" t="s">
        <v>65</v>
      </c>
    </row>
    <row r="5" spans="2:14" ht="108.5" outlineLevel="1">
      <c r="C5" s="21" t="s">
        <v>97</v>
      </c>
      <c r="D5" s="102" t="s">
        <v>98</v>
      </c>
      <c r="E5" s="103"/>
      <c r="F5" s="22" t="s">
        <v>99</v>
      </c>
      <c r="G5" s="21" t="s">
        <v>100</v>
      </c>
      <c r="H5" s="21" t="s">
        <v>101</v>
      </c>
      <c r="I5" s="21" t="s">
        <v>102</v>
      </c>
      <c r="J5" s="21" t="s">
        <v>103</v>
      </c>
      <c r="K5" s="104" t="s">
        <v>104</v>
      </c>
      <c r="L5" s="104"/>
      <c r="M5" s="104"/>
      <c r="N5" s="104"/>
    </row>
    <row r="6" spans="2:14" s="23" customFormat="1" ht="201.5" outlineLevel="1">
      <c r="B6" s="105"/>
      <c r="C6" s="106" t="s">
        <v>105</v>
      </c>
      <c r="D6" s="11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5"/>
      <c r="C7" s="107"/>
      <c r="D7" s="107"/>
      <c r="E7" s="32" t="s">
        <v>113</v>
      </c>
      <c r="F7" s="33" t="s">
        <v>114</v>
      </c>
      <c r="G7" s="27" t="s">
        <v>115</v>
      </c>
      <c r="H7" s="34">
        <v>5</v>
      </c>
      <c r="I7" s="35" t="s">
        <v>116</v>
      </c>
      <c r="J7" s="29" t="s">
        <v>117</v>
      </c>
      <c r="K7" s="36" t="s">
        <v>118</v>
      </c>
      <c r="L7" s="37" t="s">
        <v>112</v>
      </c>
      <c r="M7" s="36" t="s">
        <v>119</v>
      </c>
      <c r="N7" s="38" t="s">
        <v>120</v>
      </c>
    </row>
    <row r="8" spans="2:14" s="23" customFormat="1" ht="217" outlineLevel="1">
      <c r="B8" s="105"/>
      <c r="C8" s="108"/>
      <c r="D8" s="11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5"/>
      <c r="C9" s="108"/>
      <c r="D9" s="112"/>
      <c r="E9" s="27" t="s">
        <v>128</v>
      </c>
      <c r="F9" s="26" t="s">
        <v>129</v>
      </c>
      <c r="G9" s="39" t="s">
        <v>130</v>
      </c>
      <c r="H9" s="28">
        <v>5</v>
      </c>
      <c r="I9" s="29" t="s">
        <v>125</v>
      </c>
      <c r="J9" s="29" t="s">
        <v>131</v>
      </c>
      <c r="K9" s="39" t="s">
        <v>132</v>
      </c>
      <c r="L9" s="39" t="s">
        <v>133</v>
      </c>
      <c r="M9" s="39" t="s">
        <v>134</v>
      </c>
      <c r="N9" s="38" t="s">
        <v>134</v>
      </c>
    </row>
    <row r="10" spans="2:14" s="23" customFormat="1" ht="77.5" outlineLevel="1">
      <c r="B10" s="105"/>
      <c r="C10" s="107"/>
      <c r="D10" s="113" t="s">
        <v>135</v>
      </c>
      <c r="E10" s="97"/>
      <c r="F10" s="27" t="s">
        <v>136</v>
      </c>
      <c r="G10" s="40" t="s">
        <v>137</v>
      </c>
      <c r="H10" s="35">
        <v>4</v>
      </c>
      <c r="I10" s="29" t="s">
        <v>125</v>
      </c>
      <c r="J10" s="30" t="s">
        <v>138</v>
      </c>
      <c r="K10" s="39" t="s">
        <v>139</v>
      </c>
      <c r="L10" s="39" t="s">
        <v>139</v>
      </c>
      <c r="M10" s="39" t="s">
        <v>139</v>
      </c>
      <c r="N10" s="38" t="s">
        <v>139</v>
      </c>
    </row>
    <row r="11" spans="2:14" s="23" customFormat="1" ht="263.5" outlineLevel="1">
      <c r="B11" s="105"/>
      <c r="C11" s="107"/>
      <c r="D11" s="110" t="s">
        <v>140</v>
      </c>
      <c r="E11" s="103"/>
      <c r="F11" s="27" t="s">
        <v>141</v>
      </c>
      <c r="G11" s="27" t="s">
        <v>142</v>
      </c>
      <c r="H11" s="28">
        <v>5</v>
      </c>
      <c r="I11" s="29" t="s">
        <v>143</v>
      </c>
      <c r="J11" s="29" t="s">
        <v>144</v>
      </c>
      <c r="K11" s="29" t="s">
        <v>145</v>
      </c>
      <c r="L11" s="29" t="s">
        <v>145</v>
      </c>
      <c r="M11" s="29" t="s">
        <v>145</v>
      </c>
      <c r="N11" s="29" t="s">
        <v>145</v>
      </c>
    </row>
    <row r="12" spans="2:14" s="23" customFormat="1" ht="409.5" outlineLevel="1">
      <c r="B12" s="105"/>
      <c r="C12" s="10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8"/>
      <c r="D13" s="114"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09"/>
      <c r="D14" s="115"/>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6"/>
      <c r="D15" s="115"/>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5"/>
      <c r="C16" s="116" t="s">
        <v>164</v>
      </c>
      <c r="D16" s="119"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5"/>
      <c r="C17" s="117"/>
      <c r="D17" s="120"/>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5"/>
      <c r="C18" s="117"/>
      <c r="D18" s="121" t="s">
        <v>82</v>
      </c>
      <c r="E18" s="122"/>
      <c r="F18" s="44" t="s">
        <v>176</v>
      </c>
      <c r="G18" s="44" t="s">
        <v>177</v>
      </c>
      <c r="H18" s="42">
        <v>5</v>
      </c>
      <c r="I18" s="29" t="s">
        <v>178</v>
      </c>
      <c r="J18" s="29" t="s">
        <v>25</v>
      </c>
      <c r="K18" s="36" t="s">
        <v>179</v>
      </c>
      <c r="L18" s="36" t="s">
        <v>180</v>
      </c>
      <c r="M18" s="36" t="s">
        <v>180</v>
      </c>
      <c r="N18" s="38" t="s">
        <v>180</v>
      </c>
    </row>
    <row r="19" spans="2:14" s="23" customFormat="1" ht="155" outlineLevel="1">
      <c r="B19" s="105"/>
      <c r="C19" s="117"/>
      <c r="D19" s="123" t="s">
        <v>83</v>
      </c>
      <c r="E19" s="103"/>
      <c r="F19" s="44" t="s">
        <v>181</v>
      </c>
      <c r="G19" s="27" t="s">
        <v>172</v>
      </c>
      <c r="H19" s="42">
        <v>5</v>
      </c>
      <c r="I19" s="29" t="s">
        <v>182</v>
      </c>
      <c r="J19" s="44" t="s">
        <v>183</v>
      </c>
      <c r="K19" s="36" t="s">
        <v>184</v>
      </c>
      <c r="L19" s="36" t="s">
        <v>184</v>
      </c>
      <c r="M19" s="36" t="s">
        <v>184</v>
      </c>
      <c r="N19" s="49" t="s">
        <v>184</v>
      </c>
    </row>
    <row r="20" spans="2:14" s="23" customFormat="1" ht="93" outlineLevel="1">
      <c r="B20" s="105"/>
      <c r="C20" s="118"/>
      <c r="D20" s="124" t="s">
        <v>84</v>
      </c>
      <c r="E20" s="125"/>
      <c r="F20" s="50" t="s">
        <v>185</v>
      </c>
      <c r="G20" s="44" t="s">
        <v>68</v>
      </c>
      <c r="H20" s="42">
        <v>5</v>
      </c>
      <c r="I20" s="29" t="s">
        <v>186</v>
      </c>
      <c r="J20" s="29" t="s">
        <v>187</v>
      </c>
      <c r="K20" s="36" t="s">
        <v>188</v>
      </c>
      <c r="L20" s="36" t="s">
        <v>189</v>
      </c>
      <c r="M20" s="36" t="s">
        <v>188</v>
      </c>
      <c r="N20" s="38" t="s">
        <v>188</v>
      </c>
    </row>
    <row r="21" spans="2:14" ht="170.5">
      <c r="B21" s="105"/>
      <c r="C21" s="117"/>
      <c r="D21" s="126"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5"/>
      <c r="C22" s="117"/>
      <c r="D22" s="96"/>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5"/>
      <c r="C23" s="116"/>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5"/>
      <c r="C24" s="117"/>
      <c r="D24" s="123" t="s">
        <v>211</v>
      </c>
      <c r="E24" s="95"/>
      <c r="F24" s="44" t="s">
        <v>212</v>
      </c>
      <c r="G24" s="44" t="s">
        <v>213</v>
      </c>
      <c r="H24" s="42">
        <v>5</v>
      </c>
      <c r="I24" s="29" t="s">
        <v>125</v>
      </c>
      <c r="J24" s="29" t="s">
        <v>138</v>
      </c>
      <c r="K24" s="29" t="s">
        <v>214</v>
      </c>
      <c r="L24" s="29" t="s">
        <v>215</v>
      </c>
      <c r="M24" s="29" t="s">
        <v>215</v>
      </c>
      <c r="N24" s="29" t="s">
        <v>215</v>
      </c>
    </row>
    <row r="25" spans="2:14" s="23" customFormat="1" ht="310" outlineLevel="1">
      <c r="B25" s="105"/>
      <c r="C25" s="118"/>
      <c r="D25" s="124" t="s">
        <v>216</v>
      </c>
      <c r="E25" s="125"/>
      <c r="F25" s="50" t="s">
        <v>217</v>
      </c>
      <c r="G25" s="44" t="s">
        <v>218</v>
      </c>
      <c r="H25" s="42">
        <v>5</v>
      </c>
      <c r="I25" s="29" t="s">
        <v>125</v>
      </c>
      <c r="J25" s="29" t="s">
        <v>219</v>
      </c>
      <c r="K25" s="29" t="s">
        <v>220</v>
      </c>
      <c r="L25" s="29" t="s">
        <v>221</v>
      </c>
      <c r="M25" s="29" t="s">
        <v>222</v>
      </c>
      <c r="N25" s="29" t="s">
        <v>223</v>
      </c>
    </row>
    <row r="26" spans="2:14" s="23" customFormat="1" ht="409.5" outlineLevel="1">
      <c r="B26" s="105"/>
      <c r="C26" s="117"/>
      <c r="D26" s="119"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5"/>
      <c r="C27" s="117"/>
      <c r="D27" s="127"/>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5"/>
      <c r="C28" s="117"/>
      <c r="D28" s="121" t="s">
        <v>86</v>
      </c>
      <c r="E28" s="122"/>
      <c r="F28" s="44" t="s">
        <v>240</v>
      </c>
      <c r="G28" s="44" t="s">
        <v>241</v>
      </c>
      <c r="H28" s="42">
        <v>5</v>
      </c>
      <c r="I28" s="29" t="s">
        <v>242</v>
      </c>
      <c r="J28" s="55" t="s">
        <v>243</v>
      </c>
      <c r="K28" s="29" t="s">
        <v>244</v>
      </c>
      <c r="L28" s="29" t="s">
        <v>244</v>
      </c>
      <c r="M28" s="29" t="s">
        <v>245</v>
      </c>
      <c r="N28" s="29" t="s">
        <v>245</v>
      </c>
    </row>
    <row r="29" spans="2:14" s="23" customFormat="1" ht="139.5" outlineLevel="1">
      <c r="B29" s="105"/>
      <c r="C29" s="116" t="s">
        <v>246</v>
      </c>
      <c r="D29" s="129"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5"/>
      <c r="C30" s="128"/>
      <c r="D30" s="130"/>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5"/>
      <c r="C31" s="128"/>
      <c r="D31" s="119"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5"/>
      <c r="C32" s="128"/>
      <c r="D32" s="131"/>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5"/>
      <c r="C33" s="116" t="s">
        <v>267</v>
      </c>
      <c r="D33" s="106"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5"/>
      <c r="C34" s="117"/>
      <c r="D34" s="13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5"/>
      <c r="C35" s="117"/>
      <c r="D35" s="120"/>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5"/>
      <c r="C36" s="117"/>
      <c r="D36" s="106"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5"/>
      <c r="C37" s="117"/>
      <c r="D37" s="120"/>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5"/>
      <c r="C38" s="117"/>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2025-08-18T03:03:38Z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