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1FE3100C-B01B-4C45-AD87-7878166D2D61}"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<sst xmlns="http://schemas.openxmlformats.org/spreadsheetml/2006/main" count="217" uniqueCount="178">
  <si>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</si>
  <si>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</si>
  <si>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</si>
  <si>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</si>
  <si>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</si>
  <si>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</si>
  <si>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</si>
  <si>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</si>
  <si>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</si>
  <si>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</si>
  <si>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</si>
  <si>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</si>
  <si>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</si>
  <si>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</si>
  <si>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</si>
  <si>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</si>
  <si>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</si>
  <si>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</si>
  <si>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</si>
  <si>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</si>
  <si>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</si>
  <si>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</si>
  <si>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</si>
  <si>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</si>
  <si>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</si>
  <si>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</si>
  <si>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</si>
  <si>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</si>
  <si>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</si>
  <si>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</si>
  <si>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</si>
  <si>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</si>
  <si>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</si>
  <si>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</si>
  <si>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</si>
  <si>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</si>
  <si>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</si>
  <si>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</si>
  <si>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</si>
  <si>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</si>
  <si>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</si>
  <si>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</si>
  <si>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</si>
  <si>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</si>
  <si>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</si>
  <si>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</si>
  <si>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</si>
  <si>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</si>
  <si>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</si>
  <si>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</si>
  <si>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</si>
  <si>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</si>
  <si>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</si>
  <si>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</si>
  <si>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</si>
  <si>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</si>
  <si>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</si>
  <si>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</si>
  <si>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</si>
  <si>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</si>
  <si>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</si>
  <si>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</si>
  <si>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</si>
  <si>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</si>
  <si>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</si>
  <si>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</si>
  <si>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</si>
  <si>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</si>
  <si>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</si>
  <si>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</si>
  <si>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</si>
  <si>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</si>
  <si>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</si>
  <si>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</si>
  <si>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</si>
  <si>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</si>
  <si>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</si>
  <si>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</si>
  <si>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</si>
  <si>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</si>
  <si>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</si>
  <si>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</si>
  <si>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</si>
  <si>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</si>
  <si>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</si>
  <si>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</si>
  <si>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</si>
  <si>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</si>
  <si>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</si>
  <si>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charset val="134"/>
      </rPr>
      <t>国际支付业务合规管理</t>
    </r>
    <r>
      <rPr>
        <sz val="10"/>
        <color rgb="FF000000"/>
        <rFont val="Microsoft YaHei"/>
        <charset val="134"/>
      </rPr>
      <t xml:space="preserve">
</t>
    </r>
    <r>
      <rPr>
        <sz val="10"/>
        <color rgb="FF000000"/>
        <rFont val="Helvetica Neue"/>
        <charset val="134"/>
      </rPr>
      <t>监督各金融持牌主体履行其牌照下的合规义务，各金融业务（不论是否为持牌主体）在海外的运营无重大合规风险，在配合监管调查同时又能保护公司的商业利益。</t>
    </r>
    <r>
      <rPr>
        <sz val="10"/>
        <color rgb="FF000000"/>
        <rFont val="Microsoft YaHei"/>
        <charset val="134"/>
      </rPr>
      <t xml:space="preserve">
</t>
    </r>
    <r>
      <rPr>
        <sz val="10"/>
        <color rgb="FF000000"/>
        <rFont val="Helvetica Neue"/>
        <charset val="134"/>
      </rPr>
      <t>1. 持牌主体合规；</t>
    </r>
    <r>
      <rPr>
        <sz val="10"/>
        <color rgb="FF000000"/>
        <rFont val="Microsoft YaHei"/>
        <charset val="134"/>
      </rPr>
      <t xml:space="preserve">
</t>
    </r>
    <r>
      <rPr>
        <sz val="10"/>
        <color rgb="FF000000"/>
        <rFont val="Helvetica Neue"/>
        <charset val="134"/>
      </rPr>
      <t>2. 金融监管调查应对；</t>
    </r>
    <r>
      <rPr>
        <sz val="10"/>
        <color rgb="FF000000"/>
        <rFont val="Microsoft YaHei"/>
        <charset val="134"/>
      </rPr>
      <t xml:space="preserve">
</t>
    </r>
    <r>
      <rPr>
        <sz val="10"/>
        <color rgb="FF000000"/>
        <rFont val="Helvetica Neue"/>
        <charset val="134"/>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</si>
  <si>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</si>
  <si>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</si>
  <si>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</si>
  <si>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</si>
  <si>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</si>
  <si>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</si>
  <si>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</si>
  <si>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</si>
  <si>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charset val="134"/>
      </rPr>
      <t>国际金融持牌主体合规</t>
    </r>
    <r>
      <rPr>
        <sz val="10"/>
        <color rgb="FF000000"/>
        <rFont val="Microsoft YaHei"/>
        <charset val="134"/>
      </rPr>
      <t xml:space="preserve">
</t>
    </r>
    <r>
      <rPr>
        <sz val="10"/>
        <color rgb="FF000000"/>
        <rFont val="Helvetica Neue"/>
        <charset val="134"/>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</si>
  <si>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</si>
  <si>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</si>
  <si>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</si>
  <si>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</si>
  <si>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</si>
  <si>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</si>
  <si>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</si>
  <si>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</si>
  <si>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</si>
  <si>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</si>
  <si>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</si>
  <si>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</si>
  <si>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</si>
  <si>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</si>
  <si>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</si>
  <si>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</si>
  <si>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</si>
  <si>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</si>
  <si>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</si>
  <si>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</si>
  <si>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</si>
  <si>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</si>
  <si>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</si>
  <si>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</si>
  <si>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</si>
  <si>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</si>
  <si>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</si>
  <si>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</si>
  <si>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</si>
  <si>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</si>
  <si>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</si>
  <si>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</si>
  <si>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</si>
  <si>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</si>
  <si>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</si>
  <si>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</si>
  <si>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</si>
  <si>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</si>
  <si>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</si>
  <si>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</si>
  <si>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</si>
  <si>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</si>
  <si>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</si>
  <si>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</si>
  <si>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</si>
  <si>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</si>
  <si>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</si>
  <si>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</si>
  <si>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</si>
  <si>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</si>
  <si>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</si>
  <si>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</si>
  <si>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</si>
  <si>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</si>
  <si>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</si>
  <si>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</si>
  <si>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</si>
  <si>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</si>
  <si>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</si>
  <si>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</si>
  <si>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</si>
  <si>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</si>
  <si>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</si>
  <si>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</si>
  <si>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</si>
  <si>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</si>
  <si>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</si>
  <si>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</si>
  <si>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</si>
  <si>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</si>
  <si>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</si>
  <si>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</si>
  <si>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</si>
  <si>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 xml:space="preserve">一般管理 General management </t>
  </si>
  <si>
    <t xml:space="preserve">人才管理 Human resources </t>
  </si>
  <si>
    <t>rubykong(江柏怡)</t>
  </si>
  <si>
    <r>
      <t>Date: 2025</t>
    </r>
    <r>
      <rPr>
        <b/>
        <sz val="10"/>
        <color theme="0"/>
        <rFont val="等线"/>
        <charset val="134"/>
      </rPr>
      <t xml:space="preserve"> - 1 - 20</t>
    </r>
    <r>
      <rPr>
        <b/>
        <sz val="10"/>
        <color theme="0"/>
        <rFont val="Calibri"/>
        <charset val="134"/>
        <scheme val="minor"/>
      </rPr>
      <t xml:space="preserve"> ~ 2025 - 1 - 26 </t>
    </r>
  </si>
  <si>
    <t>20-22/1/2025</t>
  </si>
  <si>
    <t>On leave (20/1 - 22/1)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</si>
</sst>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charset val="134"/>
      <scheme val="minor"/>
    </font>
    <font>
      <b/>
      <sz val="10"/>
      <color rgb="FF000000"/>
      <name val="Helvetica Neue"/>
      <charset val="134"/>
    </font>
    <font>
      <sz val="10"/>
      <color rgb="FF000000"/>
      <name val="Calibri"/>
      <charset val="134"/>
      <scheme val="minor"/>
    </font>
    <font>
      <sz val="10"/>
      <color rgb="FF000000"/>
      <name val="Helvetica Neue"/>
      <charset val="134"/>
    </font>
    <font>
      <sz val="10"/>
      <color rgb="FF000000"/>
      <name val="等线"/>
      <charset val="134"/>
    </font>
    <font>
      <b/>
      <sz val="10"/>
      <color rgb="FF000000"/>
      <name val="微软雅黑"/>
      <charset val="134"/>
    </font>
    <font>
      <sz val="11"/>
      <color rgb="FFC00000"/>
      <name val="Calibri"/>
      <charset val="134"/>
      <scheme val="minor"/>
    </font>
    <font>
      <sz val="10"/>
      <color theme="1"/>
      <name val="Calibri"/>
      <charset val="134"/>
      <scheme val="minor"/>
    </font>
    <font>
      <b/>
      <sz val="12"/>
      <color theme="0"/>
      <name val="Calibri"/>
      <charset val="134"/>
      <scheme val="minor"/>
    </font>
    <font>
      <b/>
      <sz val="10"/>
      <color theme="4" tint="-0.499984740745262"/>
      <name val="Calibri"/>
      <charset val="134"/>
      <scheme val="minor"/>
    </font>
    <font>
      <b/>
      <i/>
      <sz val="10"/>
      <color theme="1"/>
      <name val="Calibri"/>
      <charset val="134"/>
      <scheme val="minor"/>
    </font>
    <font>
      <sz val="10"/>
      <color theme="4" tint="-0.499984740745262"/>
      <name val="Calibri"/>
      <charset val="134"/>
      <scheme val="minor"/>
    </font>
    <font>
      <i/>
      <sz val="10"/>
      <color theme="4" tint="-0.499984740745262"/>
      <name val="Calibri"/>
      <charset val="134"/>
      <scheme val="minor"/>
    </font>
    <font>
      <b/>
      <sz val="10"/>
      <color theme="0"/>
      <name val="Calibri"/>
      <charset val="134"/>
      <scheme val="minor"/>
    </font>
    <font>
      <b/>
      <i/>
      <sz val="10"/>
      <color theme="4" tint="-0.499984740745262"/>
      <name val="Calibri"/>
      <charset val="134"/>
      <scheme val="minor"/>
    </font>
    <font>
      <sz val="10"/>
      <color rgb="FF000000"/>
      <name val="Microsoft YaHei"/>
      <charset val="134"/>
    </font>
    <font>
      <b/>
      <sz val="10"/>
      <color theme="0"/>
      <name val="等线"/>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zoomScale="60" zoomScaleNormal="60" workbookViewId="0">
      <selection activeCell="G8" sqref="G8"/>
    </sheetView>
  </sheetViews>
  <sheetFormatPr defaultColWidth="9" defaultRowHeight="14.5"/>
  <cols>
    <col min="2" max="2" width="14.1796875" customWidth="1"/>
    <col min="3" max="3" width="28.54296875" style="21"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7" t="s">
        <v>0</v>
      </c>
      <c r="C1" s="38"/>
      <c r="D1" s="38"/>
      <c r="E1" s="38"/>
      <c r="F1" s="38"/>
      <c r="G1" s="38"/>
      <c r="H1" s="38"/>
      <c r="I1" s="38"/>
    </row>
    <row r="2" spans="1:9" ht="15.5">
      <c r="B2" s="39"/>
      <c r="C2" s="40"/>
      <c r="D2" s="40"/>
      <c r="E2" s="40"/>
      <c r="F2" s="40"/>
      <c r="G2" s="40"/>
      <c r="H2" s="40"/>
      <c r="I2" s="32" t="s">
        <v>175</v>
      </c>
    </row>
    <row r="3" spans="1:9">
      <c r="B3" s="22" t="s">
        <v>1</v>
      </c>
      <c r="C3" s="23" t="s">
        <v>2</v>
      </c>
      <c r="D3" s="23" t="s">
        <v>3</v>
      </c>
      <c r="E3" s="23" t="s">
        <v>4</v>
      </c>
      <c r="F3" s="23" t="s">
        <v>5</v>
      </c>
      <c r="G3" s="23" t="s">
        <v>6</v>
      </c>
      <c r="H3" s="23" t="s">
        <v>7</v>
      </c>
      <c r="I3" s="33" t="s">
        <v>8</v>
      </c>
    </row>
    <row r="4" spans="1:9" s="20" customFormat="1" ht="294" customHeight="1">
      <c r="A4" s="24" t="s">
        <v>9</v>
      </c>
      <c r="B4" s="25" t="s">
        <v>10</v>
      </c>
      <c r="C4" s="26" t="s">
        <v>146</v>
      </c>
      <c r="D4" s="26" t="s">
        <v>147</v>
      </c>
      <c r="E4" s="26" t="s">
        <v>170</v>
      </c>
      <c r="F4" s="26" t="s">
        <v>171</v>
      </c>
      <c r="G4" s="26" t="s">
        <v>11</v>
      </c>
      <c r="H4" s="26" t="s">
        <v>12</v>
      </c>
      <c r="I4" s="34" t="s">
        <v>13</v>
      </c>
    </row>
    <row r="5" spans="1:9" s="20" customFormat="1" ht="26">
      <c r="A5" s="36"/>
      <c r="B5" s="27" t="s">
        <v>174</v>
      </c>
      <c r="C5" s="28" t="s">
        <v>18</v>
      </c>
      <c r="D5" s="29" t="s">
        <v>15</v>
      </c>
      <c r="E5" s="29" t="s">
        <v>25</v>
      </c>
      <c r="F5" s="28" t="s">
        <v>149</v>
      </c>
      <c r="G5" s="30">
        <v>1.3</v>
      </c>
      <c r="H5" s="28" t="s">
        <v>135</v>
      </c>
      <c r="I5" s="35"/>
    </row>
    <row r="6" spans="1:9" s="20" customFormat="1" ht="26">
      <c r="B6" s="27" t="s">
        <v>174</v>
      </c>
      <c r="C6" s="28" t="s">
        <v>18</v>
      </c>
      <c r="D6" s="29" t="s">
        <v>29</v>
      </c>
      <c r="E6" s="29" t="s">
        <v>25</v>
      </c>
      <c r="F6" s="28" t="s">
        <v>149</v>
      </c>
      <c r="G6" s="30">
        <v>3.7</v>
      </c>
      <c r="H6" s="28" t="s">
        <v>135</v>
      </c>
      <c r="I6" s="35"/>
    </row>
    <row r="7" spans="1:9" s="20" customFormat="1" ht="26">
      <c r="B7" s="27" t="s">
        <v>174</v>
      </c>
      <c r="C7" s="28" t="s">
        <v>18</v>
      </c>
      <c r="D7" s="29" t="s">
        <v>30</v>
      </c>
      <c r="E7" s="29" t="s">
        <v>25</v>
      </c>
      <c r="F7" s="28" t="s">
        <v>149</v>
      </c>
      <c r="G7" s="30">
        <v>6.8</v>
      </c>
      <c r="H7" s="28" t="s">
        <v>142</v>
      </c>
      <c r="I7" s="35"/>
    </row>
    <row r="8" spans="1:9" s="20" customFormat="1" ht="26">
      <c r="B8" s="27" t="s">
        <v>174</v>
      </c>
      <c r="C8" s="28" t="s">
        <v>18</v>
      </c>
      <c r="D8" s="29" t="s">
        <v>19</v>
      </c>
      <c r="E8" s="29" t="s">
        <v>25</v>
      </c>
      <c r="F8" s="28" t="s">
        <v>149</v>
      </c>
      <c r="G8" s="30">
        <v>2.8</v>
      </c>
      <c r="H8" s="28" t="s">
        <v>134</v>
      </c>
      <c r="I8" s="35"/>
    </row>
    <row r="9" spans="1:9" s="20" customFormat="1" ht="26">
      <c r="B9" s="27" t="s">
        <v>174</v>
      </c>
      <c r="C9" s="28" t="s">
        <v>18</v>
      </c>
      <c r="D9" s="29" t="s">
        <v>21</v>
      </c>
      <c r="E9" s="29" t="s">
        <v>25</v>
      </c>
      <c r="F9" s="28" t="s">
        <v>149</v>
      </c>
      <c r="G9" s="30">
        <v>2.2000000000000002</v>
      </c>
      <c r="H9" s="28" t="s">
        <v>134</v>
      </c>
      <c r="I9" s="35"/>
    </row>
    <row r="10" spans="1:9" s="20" customFormat="1" ht="13">
      <c r="B10" s="27"/>
      <c r="C10" s="28"/>
      <c r="D10" s="29"/>
      <c r="E10" s="29"/>
      <c r="F10" s="28"/>
      <c r="G10" s="30"/>
      <c r="H10" s="28"/>
      <c r="I10" s="35"/>
    </row>
    <row r="11" spans="1:9" s="20" customFormat="1" ht="13">
      <c r="A11" s="36" t="s">
        <v>176</v>
      </c>
      <c r="B11" s="27" t="s">
        <v>174</v>
      </c>
      <c r="C11" s="28" t="s">
        <v>145</v>
      </c>
      <c r="D11" s="29" t="s">
        <v>44</v>
      </c>
      <c r="E11" s="29" t="s">
        <v>23</v>
      </c>
      <c r="F11" s="28" t="s">
        <v>23</v>
      </c>
      <c r="G11" s="30">
        <v>0</v>
      </c>
      <c r="H11" s="28" t="s">
        <v>44</v>
      </c>
      <c r="I11" s="35" t="s">
        <v>177</v>
      </c>
    </row>
    <row r="12" spans="1:9" s="20" customFormat="1" ht="13">
      <c r="B12" s="27"/>
      <c r="C12" s="28"/>
      <c r="D12" s="29"/>
      <c r="E12" s="29"/>
      <c r="F12" s="28"/>
      <c r="G12" s="30"/>
      <c r="H12" s="28"/>
      <c r="I12" s="35"/>
    </row>
    <row r="13" spans="1:9" s="20" customFormat="1" ht="14.4" customHeight="1" thickBot="1">
      <c r="B13" s="41" t="s">
        <v>24</v>
      </c>
      <c r="C13" s="42"/>
      <c r="D13" s="43"/>
      <c r="E13" s="31"/>
      <c r="F13" s="31"/>
      <c r="G13" s="44">
        <f>SUM(G5:G12)</f>
        <v>16.8</v>
      </c>
      <c r="H13" s="45"/>
      <c r="I13" s="46"/>
    </row>
  </sheetData>
  <mergeCells count="4">
    <mergeCell ref="B1:I1"/>
    <mergeCell ref="B2:H2"/>
    <mergeCell ref="B13:D13"/>
    <mergeCell ref="G13:I13"/>
  </mergeCells>
  <dataValidations count="3">
    <dataValidation type="list" errorStyle="warning" allowBlank="1" sqref="C5:C12" xr:uid="{00000000-0002-0000-0000-000003000000}">
      <formula1>项目事项分类项目名称</formula1>
    </dataValidation>
    <dataValidation type="list" allowBlank="1" showInputMessage="1" showErrorMessage="1" sqref="H5:H12" xr:uid="{00000000-0002-0000-0000-000005000000}">
      <formula1>事项分类指定内容</formula1>
    </dataValidation>
    <dataValidation type="list" allowBlank="1" showInputMessage="1" showErrorMessage="1" sqref="F5:F12"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Tag!$B$2:$E$2</xm:f>
          </x14:formula1>
          <xm:sqref>E5:E12</xm:sqref>
        </x14:dataValidation>
        <x14:dataValidation type="list" allowBlank="1" showInputMessage="1" showErrorMessage="1" promptTitle="Internal Client" xr:uid="{00000000-0002-0000-0000-000004000000}">
          <x14:formula1>
            <xm:f>'Exhibit II - Internal Client'!$A$1:$A$20</xm:f>
          </x14:formula1>
          <xm:sqref>D5:D12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D3" sqref="D3"/>
    </sheetView>
  </sheetViews>
  <sheetFormatPr defaultColWidth="8.81640625" defaultRowHeight="14.5"/>
  <cols>
    <col min="2" max="2" width="33.7265625" customWidth="1"/>
    <col min="3" max="3" width="40.90625" customWidth="1"/>
    <col min="4" max="4" width="27.36328125" customWidth="1"/>
    <col min="5" max="5" width="22.7265625" customWidth="1"/>
  </cols>
  <sheetData>
    <row r="2" spans="2:5">
      <c r="B2" t="s">
        <v>25</v>
      </c>
      <c r="C2" t="s">
        <v>16</v>
      </c>
      <c r="D2" t="s">
        <v>23</v>
      </c>
      <c r="E2" t="s">
        <v>26</v>
      </c>
    </row>
    <row r="3" spans="2:5" ht="36.5" customHeight="1">
      <c r="B3" s="21" t="s">
        <v>148</v>
      </c>
      <c r="C3" s="21" t="s">
        <v>155</v>
      </c>
      <c r="D3" s="21" t="s">
        <v>166</v>
      </c>
      <c r="E3" s="21" t="s">
        <v>165</v>
      </c>
    </row>
    <row r="4" spans="2:5" ht="29">
      <c r="B4" s="21" t="s">
        <v>151</v>
      </c>
      <c r="C4" s="21" t="s">
        <v>156</v>
      </c>
      <c r="D4" s="21" t="s">
        <v>167</v>
      </c>
      <c r="E4" s="21" t="s">
        <v>168</v>
      </c>
    </row>
    <row r="5" spans="2:5" ht="43.5">
      <c r="B5" s="21" t="s">
        <v>149</v>
      </c>
      <c r="C5" s="21" t="s">
        <v>157</v>
      </c>
      <c r="D5" s="21" t="s">
        <v>164</v>
      </c>
      <c r="E5" s="21" t="s">
        <v>173</v>
      </c>
    </row>
    <row r="6" spans="2:5" ht="43.5">
      <c r="B6" s="21" t="s">
        <v>150</v>
      </c>
      <c r="C6" s="21" t="s">
        <v>158</v>
      </c>
      <c r="D6" s="18"/>
      <c r="E6" s="21" t="s">
        <v>169</v>
      </c>
    </row>
    <row r="7" spans="2:5" ht="29">
      <c r="B7" s="21" t="s">
        <v>152</v>
      </c>
      <c r="C7" s="21" t="s">
        <v>163</v>
      </c>
      <c r="D7" s="18"/>
      <c r="E7" s="21" t="s">
        <v>172</v>
      </c>
    </row>
    <row r="8" spans="2:5" ht="43.5">
      <c r="B8" s="21" t="s">
        <v>153</v>
      </c>
      <c r="C8" s="21" t="s">
        <v>161</v>
      </c>
      <c r="D8" s="19"/>
      <c r="E8" s="21"/>
    </row>
    <row r="9" spans="2:5" ht="43.5">
      <c r="B9" s="21" t="s">
        <v>154</v>
      </c>
      <c r="C9" s="21" t="s">
        <v>162</v>
      </c>
      <c r="D9" s="21"/>
      <c r="E9" s="21"/>
    </row>
    <row r="10" spans="2:5" ht="29">
      <c r="B10" s="21"/>
      <c r="C10" s="21" t="s">
        <v>159</v>
      </c>
      <c r="D10" s="19"/>
      <c r="E10" s="21"/>
    </row>
    <row r="11" spans="2:5">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defaultColWidth="9" defaultRowHeight="14.5"/>
  <cols>
    <col min="1" max="1" width="62.0898437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429687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6" t="s">
        <v>45</v>
      </c>
      <c r="B1" s="59" t="s">
        <v>46</v>
      </c>
      <c r="C1" s="49" t="s">
        <v>47</v>
      </c>
      <c r="D1" s="49" t="s">
        <v>48</v>
      </c>
      <c r="E1" s="49" t="s">
        <v>49</v>
      </c>
      <c r="F1" s="49" t="s">
        <v>50</v>
      </c>
      <c r="G1" s="53" t="s">
        <v>51</v>
      </c>
      <c r="H1" s="54"/>
      <c r="I1" s="54"/>
      <c r="J1" s="55"/>
      <c r="K1" s="47" t="s">
        <v>52</v>
      </c>
      <c r="L1" s="49" t="s">
        <v>53</v>
      </c>
      <c r="M1" s="14"/>
      <c r="N1" s="14"/>
      <c r="O1" s="14"/>
      <c r="P1" s="14"/>
    </row>
    <row r="2" spans="1:16">
      <c r="A2" s="56"/>
      <c r="B2" s="60"/>
      <c r="C2" s="50"/>
      <c r="D2" s="50"/>
      <c r="E2" s="50"/>
      <c r="F2" s="50"/>
      <c r="G2" s="2" t="s">
        <v>54</v>
      </c>
      <c r="H2" s="2" t="s">
        <v>55</v>
      </c>
      <c r="I2" s="2" t="s">
        <v>56</v>
      </c>
      <c r="J2" s="2" t="s">
        <v>57</v>
      </c>
      <c r="K2" s="48"/>
      <c r="L2" s="50"/>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5">
      <c r="A4" s="57"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273">
      <c r="A5" s="57"/>
      <c r="B5" s="3" t="s">
        <v>79</v>
      </c>
      <c r="C5" s="4" t="s">
        <v>80</v>
      </c>
      <c r="D5" s="4" t="s">
        <v>81</v>
      </c>
      <c r="E5" s="4" t="s">
        <v>82</v>
      </c>
      <c r="F5" s="4" t="s">
        <v>83</v>
      </c>
      <c r="G5" s="4" t="s">
        <v>84</v>
      </c>
      <c r="H5" s="4" t="s">
        <v>85</v>
      </c>
      <c r="I5" s="4" t="s">
        <v>86</v>
      </c>
      <c r="J5" s="13" t="s">
        <v>67</v>
      </c>
      <c r="K5" s="13">
        <v>5</v>
      </c>
      <c r="L5" s="4" t="s">
        <v>87</v>
      </c>
      <c r="M5" s="15"/>
      <c r="N5" s="14"/>
      <c r="O5" s="14"/>
      <c r="P5" s="14"/>
    </row>
    <row r="6" spans="1:16" ht="409.5">
      <c r="A6" s="57"/>
      <c r="B6" s="61" t="s">
        <v>88</v>
      </c>
      <c r="C6" s="9" t="s">
        <v>89</v>
      </c>
      <c r="D6" s="5" t="s">
        <v>90</v>
      </c>
      <c r="E6" s="63" t="s">
        <v>91</v>
      </c>
      <c r="F6" s="4" t="s">
        <v>92</v>
      </c>
      <c r="G6" s="4" t="s">
        <v>93</v>
      </c>
      <c r="H6" s="4" t="s">
        <v>94</v>
      </c>
      <c r="I6" s="4" t="s">
        <v>95</v>
      </c>
      <c r="J6" s="4" t="s">
        <v>96</v>
      </c>
      <c r="K6" s="13">
        <v>4</v>
      </c>
      <c r="L6" s="4" t="s">
        <v>97</v>
      </c>
      <c r="M6" s="15"/>
      <c r="N6" s="14"/>
      <c r="O6" s="14"/>
      <c r="P6" s="14"/>
    </row>
    <row r="7" spans="1:16" ht="143">
      <c r="A7" s="57"/>
      <c r="B7" s="62"/>
      <c r="C7" s="9" t="s">
        <v>98</v>
      </c>
      <c r="D7" s="5" t="s">
        <v>99</v>
      </c>
      <c r="E7" s="64"/>
      <c r="F7" s="4" t="s">
        <v>100</v>
      </c>
      <c r="G7" s="4" t="s">
        <v>101</v>
      </c>
      <c r="H7" s="4" t="s">
        <v>102</v>
      </c>
      <c r="I7" s="4" t="s">
        <v>102</v>
      </c>
      <c r="J7" s="4" t="s">
        <v>103</v>
      </c>
      <c r="K7" s="13">
        <v>4</v>
      </c>
      <c r="L7" s="4" t="s">
        <v>104</v>
      </c>
      <c r="M7" s="14"/>
      <c r="N7" s="14"/>
      <c r="O7" s="14"/>
      <c r="P7" s="14"/>
    </row>
    <row r="8" spans="1:16" ht="409.5">
      <c r="A8" s="58" t="s">
        <v>105</v>
      </c>
      <c r="B8" s="61" t="s">
        <v>106</v>
      </c>
      <c r="C8" s="4" t="s">
        <v>107</v>
      </c>
      <c r="D8" s="5" t="s">
        <v>108</v>
      </c>
      <c r="E8" s="63" t="s">
        <v>109</v>
      </c>
      <c r="F8" s="4" t="s">
        <v>110</v>
      </c>
      <c r="G8" s="4" t="s">
        <v>111</v>
      </c>
      <c r="H8" s="4" t="s">
        <v>112</v>
      </c>
      <c r="I8" s="4" t="s">
        <v>113</v>
      </c>
      <c r="J8" s="4" t="s">
        <v>114</v>
      </c>
      <c r="K8" s="13">
        <v>5</v>
      </c>
      <c r="L8" s="13" t="s">
        <v>115</v>
      </c>
      <c r="M8" s="14"/>
      <c r="N8" s="14"/>
      <c r="O8" s="14"/>
      <c r="P8" s="14"/>
    </row>
    <row r="9" spans="1:16" ht="260">
      <c r="A9" s="58"/>
      <c r="B9" s="62"/>
      <c r="C9" s="10" t="s">
        <v>116</v>
      </c>
      <c r="D9" s="5" t="s">
        <v>117</v>
      </c>
      <c r="E9" s="64"/>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51" t="s">
        <v>128</v>
      </c>
      <c r="F10" s="51" t="s">
        <v>129</v>
      </c>
      <c r="G10" s="51" t="s">
        <v>130</v>
      </c>
      <c r="H10" s="51" t="s">
        <v>131</v>
      </c>
      <c r="I10" s="8" t="s">
        <v>132</v>
      </c>
      <c r="J10" s="8" t="s">
        <v>133</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429687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2025-01-28T04:00:44Z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