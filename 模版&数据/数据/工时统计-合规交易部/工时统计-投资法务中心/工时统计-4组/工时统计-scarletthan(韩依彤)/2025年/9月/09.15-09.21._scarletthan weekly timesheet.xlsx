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scarletthan\Desktop\投资法务中心\工作记录表\企业微盘\2025年\9月\"/>
    </mc:Choice>
  </mc:AlternateContent>
  <xr:revisionPtr revIDLastSave="0" documentId="13_ncr:1_{9A7D2ADF-D385-4118-B483-EDDBD12C2900}"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<sst xmlns="http://schemas.openxmlformats.org/spreadsheetml/2006/main" count="173" uniqueCount="89">
  <si>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</si>
  <si>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</si>
  <si>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</si>
  <si>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</si>
  <si>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</si>
  <si>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</si>
  <si>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</si>
  <si>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</si>
  <si>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</si>
  <si>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</si>
  <si>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</si>
  <si>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</si>
  <si>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</si>
  <si>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</si>
  <si>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</si>
  <si>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</si>
  <si>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</si>
  <si>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</si>
  <si>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</si>
  <si>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</si>
  <si>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</si>
  <si>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</si>
  <si>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</si>
  <si>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</si>
  <si>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</si>
  <si>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</si>
  <si>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</si>
  <si>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</si>
  <si>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</si>
  <si>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</si>
  <si>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</si>
  <si>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</si>
  <si>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</si>
  <si>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</si>
  <si>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</si>
  <si>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</si>
  <si>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</si>
  <si>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</si>
  <si>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</si>
  <si>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</si>
  <si>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</si>
  <si>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</si>
  <si>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</si>
  <si>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</si>
  <si>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</si>
  <si>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</si>
  <si>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</si>
  <si>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</si>
  <si>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</si>
  <si>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</si>
  <si>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</si>
  <si>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</si>
  <si>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</si>
  <si>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</si>
  <si>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</si>
  <si>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</si>
  <si>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</si>
  <si>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</si>
  <si>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</si>
  <si>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</si>
  <si>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</si>
  <si>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</si>
  <si>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</si>
  <si>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</si>
  <si>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</si>
  <si>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</si>
  <si>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</si>
  <si>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</si>
  <si>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</si>
  <si>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</si>
  <si>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</si>
  <si>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</si>
  <si>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请相应勾选下拉菜单中的工作类别选项
Please select relevant work category in the drop-down menu</t>
    <phoneticPr fontId="7" type="noConversion"/>
  </si>
  <si>
    <t>投资项目全流程法务支持 Full-process legal support for investments</t>
  </si>
  <si>
    <t>精细化管理工具搭建 Adoption of refined management tools</t>
  </si>
  <si>
    <t>赜灵生物</t>
    <phoneticPr fontId="7" type="noConversion"/>
  </si>
  <si>
    <t>Recording/reviewing deals updates/weekly time reports/other team summaries</t>
  </si>
  <si>
    <t>consolidate updates as of Aug 2025</t>
    <phoneticPr fontId="7" type="noConversion"/>
  </si>
  <si>
    <t>基智科技</t>
    <phoneticPr fontId="7" type="noConversion"/>
  </si>
  <si>
    <t>审阅公司股东协议，评估潜在整体收购方案，分析腾讯侧抓手，internal legal discussion</t>
    <phoneticPr fontId="7" type="noConversion"/>
  </si>
  <si>
    <t>麓鹏制药</t>
    <phoneticPr fontId="7" type="noConversion"/>
  </si>
  <si>
    <t>update the sanctions checklist</t>
    <phoneticPr fontId="7" type="noConversion"/>
  </si>
  <si>
    <t>萌爪医生</t>
    <phoneticPr fontId="7" type="noConversion"/>
  </si>
  <si>
    <t>处理工商变更</t>
    <phoneticPr fontId="7" type="noConversion"/>
  </si>
  <si>
    <t>meeting with 微盛, Internal discussion and discuss about CFIUS matrix， training with 微盛</t>
    <phoneticPr fontId="7" type="noConversion"/>
  </si>
  <si>
    <t>审阅Harvey NDA</t>
    <phoneticPr fontId="7" type="noConversion"/>
  </si>
  <si>
    <t>review LDD results</t>
    <phoneticPr fontId="7" type="noConversion"/>
  </si>
  <si>
    <t>股权转让协议review</t>
    <phoneticPr fontId="7" type="noConversion"/>
  </si>
  <si>
    <t>重点投资公司风险review+完成打分表格及记录</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</si>
</sst>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8"/>
  <sheetViews>
    <sheetView tabSelected="1" zoomScale="90" zoomScaleNormal="90" workbookViewId="0">
      <selection activeCell="I9" sqref="I9"/>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9.1718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72</v>
      </c>
      <c r="I3" s="11" t="s">
        <v>11</v>
      </c>
    </row>
    <row r="4" spans="2:9" ht="26" x14ac:dyDescent="0.65">
      <c r="B4" s="16" t="s">
        <v>71</v>
      </c>
      <c r="C4" s="14" t="s">
        <v>17</v>
      </c>
      <c r="D4" s="30"/>
      <c r="E4" s="9" t="s">
        <v>39</v>
      </c>
      <c r="F4" s="14" t="s">
        <v>74</v>
      </c>
      <c r="G4" s="9">
        <v>4</v>
      </c>
      <c r="H4" s="14" t="s">
        <v>26</v>
      </c>
      <c r="I4" s="29" t="s">
        <v>84</v>
      </c>
    </row>
    <row r="5" spans="2:9" ht="26" x14ac:dyDescent="0.65">
      <c r="B5" s="16" t="s">
        <v>71</v>
      </c>
      <c r="C5" s="14" t="s">
        <v>17</v>
      </c>
      <c r="D5" s="30"/>
      <c r="E5" s="9" t="s">
        <v>39</v>
      </c>
      <c r="F5" s="14" t="s">
        <v>74</v>
      </c>
      <c r="G5" s="9">
        <v>1</v>
      </c>
      <c r="H5" s="14" t="s">
        <v>76</v>
      </c>
      <c r="I5" s="29" t="s">
        <v>77</v>
      </c>
    </row>
    <row r="6" spans="2:9" ht="26" x14ac:dyDescent="0.65">
      <c r="B6" s="16" t="s">
        <v>71</v>
      </c>
      <c r="C6" s="14" t="s">
        <v>13</v>
      </c>
      <c r="D6" s="30" t="s">
        <v>75</v>
      </c>
      <c r="E6" s="9" t="s">
        <v>39</v>
      </c>
      <c r="F6" s="14" t="s">
        <v>73</v>
      </c>
      <c r="G6" s="9">
        <v>1.5</v>
      </c>
      <c r="H6" s="14" t="s">
        <v>19</v>
      </c>
      <c r="I6" s="31" t="s">
        <v>87</v>
      </c>
    </row>
    <row r="7" spans="2:9" ht="26" x14ac:dyDescent="0.65">
      <c r="B7" s="16" t="s">
        <v>71</v>
      </c>
      <c r="C7" s="14" t="s">
        <v>13</v>
      </c>
      <c r="D7" s="30" t="s">
        <v>78</v>
      </c>
      <c r="E7" s="9" t="s">
        <v>39</v>
      </c>
      <c r="F7" s="14" t="s">
        <v>73</v>
      </c>
      <c r="G7" s="9">
        <v>4</v>
      </c>
      <c r="H7" s="14" t="s">
        <v>19</v>
      </c>
      <c r="I7" s="29" t="s">
        <v>79</v>
      </c>
    </row>
    <row r="8" spans="2:9" ht="26" x14ac:dyDescent="0.65">
      <c r="B8" s="16" t="s">
        <v>71</v>
      </c>
      <c r="C8" s="14" t="s">
        <v>13</v>
      </c>
      <c r="D8" s="30" t="s">
        <v>80</v>
      </c>
      <c r="E8" s="9" t="s">
        <v>39</v>
      </c>
      <c r="F8" s="14" t="s">
        <v>73</v>
      </c>
      <c r="G8" s="9">
        <v>0.5</v>
      </c>
      <c r="H8" s="14" t="s">
        <v>26</v>
      </c>
      <c r="I8" s="29" t="s">
        <v>81</v>
      </c>
    </row>
    <row r="9" spans="2:9" ht="26" x14ac:dyDescent="0.65">
      <c r="B9" s="16" t="s">
        <v>71</v>
      </c>
      <c r="C9" s="14" t="s">
        <v>17</v>
      </c>
      <c r="D9" s="30"/>
      <c r="E9" s="9" t="s">
        <v>39</v>
      </c>
      <c r="F9" s="14" t="s">
        <v>74</v>
      </c>
      <c r="G9" s="9">
        <v>4</v>
      </c>
      <c r="H9" s="14" t="s">
        <v>26</v>
      </c>
      <c r="I9" s="29" t="s">
        <v>88</v>
      </c>
    </row>
    <row r="10" spans="2:9" ht="26" x14ac:dyDescent="0.65">
      <c r="B10" s="16" t="s">
        <v>71</v>
      </c>
      <c r="C10" s="14" t="s">
        <v>13</v>
      </c>
      <c r="D10" s="30" t="s">
        <v>82</v>
      </c>
      <c r="E10" s="9" t="s">
        <v>39</v>
      </c>
      <c r="F10" s="14" t="s">
        <v>73</v>
      </c>
      <c r="G10" s="9">
        <v>0.3</v>
      </c>
      <c r="H10" s="14" t="s">
        <v>26</v>
      </c>
      <c r="I10" s="29" t="s">
        <v>83</v>
      </c>
    </row>
    <row r="11" spans="2:9" ht="26" x14ac:dyDescent="0.65">
      <c r="B11" s="16" t="s">
        <v>71</v>
      </c>
      <c r="C11" s="14" t="s">
        <v>17</v>
      </c>
      <c r="D11" s="30"/>
      <c r="E11" s="9" t="s">
        <v>39</v>
      </c>
      <c r="F11" s="14" t="s">
        <v>74</v>
      </c>
      <c r="G11" s="9">
        <v>1.3</v>
      </c>
      <c r="H11" s="14" t="s">
        <v>26</v>
      </c>
      <c r="I11" s="29" t="s">
        <v>85</v>
      </c>
    </row>
    <row r="12" spans="2:9" ht="26" x14ac:dyDescent="0.65">
      <c r="B12" s="16" t="s">
        <v>71</v>
      </c>
      <c r="C12" s="14" t="s">
        <v>13</v>
      </c>
      <c r="D12" s="30" t="s">
        <v>75</v>
      </c>
      <c r="E12" s="9" t="s">
        <v>39</v>
      </c>
      <c r="F12" s="14" t="s">
        <v>73</v>
      </c>
      <c r="G12" s="9">
        <v>2.5</v>
      </c>
      <c r="H12" s="14" t="s">
        <v>24</v>
      </c>
      <c r="I12" s="29" t="s">
        <v>86</v>
      </c>
    </row>
    <row r="13" spans="2:9" x14ac:dyDescent="0.65">
      <c r="B13" s="8"/>
      <c r="C13" s="14"/>
      <c r="D13" s="9"/>
      <c r="E13" s="9"/>
      <c r="F13" s="14"/>
      <c r="G13" s="9"/>
      <c r="H13" s="14"/>
      <c r="I13" s="12"/>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24"/>
      <c r="C26" s="25"/>
      <c r="D26" s="26"/>
      <c r="E26" s="26"/>
      <c r="F26" s="28" t="s">
        <v>66</v>
      </c>
      <c r="G26" s="35">
        <f>SUM(G3:G25)</f>
        <v>19.100000000000001</v>
      </c>
      <c r="H26" s="36"/>
      <c r="I26" s="37"/>
    </row>
    <row r="27" spans="2:9" ht="15" thickBot="1" x14ac:dyDescent="0.8">
      <c r="B27" s="20"/>
      <c r="C27" s="21"/>
      <c r="D27" s="22"/>
      <c r="E27" s="22"/>
      <c r="F27" s="27" t="s">
        <v>67</v>
      </c>
      <c r="G27" s="32">
        <v>5</v>
      </c>
      <c r="H27" s="33"/>
      <c r="I27" s="34"/>
    </row>
    <row r="28" spans="2:9" ht="15" thickTop="1" x14ac:dyDescent="0.65"/>
  </sheetData>
  <mergeCells count="2">
    <mergeCell ref="G27:I27"/>
    <mergeCell ref="G26:I26"/>
  </mergeCells>
  <phoneticPr fontId="7" type="noConversion"/>
  <dataValidations count="2">
    <dataValidation type="list" allowBlank="1" showInputMessage="1" showErrorMessage="1" sqref="H4:H25" xr:uid="{00000000-0002-0000-0000-000000000000}">
      <formula1>hh</formula1>
    </dataValidation>
    <dataValidation type="list" allowBlank="1" showInputMessage="1" showErrorMessage="1" sqref="F4:F25"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E4:E27</xm:sqref>
        </x14:dataValidation>
        <x14:dataValidation type="list" allowBlank="1" showInputMessage="1" showErrorMessage="1" xr:uid="{00000000-0002-0000-0000-000002000000}">
          <x14:formula1>
            <xm:f>数据标签!$B$2:$H$2</xm:f>
          </x14:formula1>
          <xm:sqref>C4:C27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2025-10-09T08:12:29Z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