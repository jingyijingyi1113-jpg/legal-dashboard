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6EBE2421-676B-4086-AF36-1BB142CB065F}"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<sst xmlns="http://schemas.openxmlformats.org/spreadsheetml/2006/main" count="212" uniqueCount="104">
  <si>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</si>
  <si>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</si>
  <si>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</si>
  <si>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</si>
  <si>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</si>
  <si>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</si>
  <si>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</si>
  <si>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</si>
  <si>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</si>
  <si>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</si>
  <si>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</si>
  <si>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</si>
  <si>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</si>
  <si>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</si>
  <si>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</si>
  <si>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</si>
  <si>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</si>
  <si>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</si>
  <si>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</si>
  <si>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</si>
  <si>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</si>
  <si>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</si>
  <si>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</si>
  <si>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</si>
  <si>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</si>
  <si>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</si>
  <si>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</si>
  <si>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</si>
  <si>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</si>
  <si>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</si>
  <si>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</si>
  <si>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</si>
  <si>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</si>
  <si>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</si>
  <si>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</si>
  <si>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</si>
  <si>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</si>
  <si>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</si>
  <si>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</si>
  <si>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</si>
  <si>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</si>
  <si>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</si>
  <si>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</si>
  <si>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</si>
  <si>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</si>
  <si>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</si>
  <si>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</si>
  <si>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</si>
  <si>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</si>
  <si>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</si>
  <si>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</si>
  <si>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</si>
  <si>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</si>
  <si>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</si>
  <si>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</si>
  <si>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</si>
  <si>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</si>
  <si>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</si>
  <si>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</si>
  <si>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</si>
  <si>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</si>
  <si>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</si>
  <si>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</si>
  <si>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</si>
  <si>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</si>
  <si>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</si>
  <si>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</si>
  <si>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</si>
  <si>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</si>
  <si>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</si>
  <si>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</si>
  <si>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</si>
  <si>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</si>
  <si>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</si>
  <si>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Recording/reviewing deals updates/weekly time reports/other team summaries</t>
  </si>
  <si>
    <t>精细化管理工具搭建 Adoption of refined management tools</t>
  </si>
  <si>
    <t>博迈医疗</t>
    <phoneticPr fontId="7" type="noConversion"/>
  </si>
  <si>
    <t>敏感投资领域投资指引 Guidance for sensitive investment fields</t>
  </si>
  <si>
    <t>Discussing with Lucy re ILC's CFIUS/Data evaluation summary</t>
    <phoneticPr fontId="7" type="noConversion"/>
  </si>
  <si>
    <t>ICONIQ Co-invest Fund</t>
    <phoneticPr fontId="7" type="noConversion"/>
  </si>
  <si>
    <t>Revising and discussing on the team's fee summary form; circulating the email and responding to queries</t>
    <phoneticPr fontId="7" type="noConversion"/>
  </si>
  <si>
    <t>Attending the kick-off meeting re the deal background and to-do actions; internally discussing on the sharing of IDG LDDR</t>
    <phoneticPr fontId="7" type="noConversion"/>
  </si>
  <si>
    <t>Neo Financial</t>
    <phoneticPr fontId="7" type="noConversion"/>
  </si>
  <si>
    <t>国际业务(投资)监管应对Interaction with regulators for international investments</t>
  </si>
  <si>
    <t>Reviewing the revised version of 2nd undertaking letter and internally discussion with Pingping</t>
    <phoneticPr fontId="7" type="noConversion"/>
  </si>
  <si>
    <t>Evantic Capital One</t>
    <phoneticPr fontId="7" type="noConversion"/>
  </si>
  <si>
    <t>Attending the con call with Covington re their CFIUS assessment advice (esp. on the LP %) and sensitive industries (e.g. cyber security).  Further internal discussion on the update of US Fund memo</t>
    <phoneticPr fontId="7" type="noConversion"/>
  </si>
  <si>
    <t>Public - Infrastructure &amp; Guidance</t>
  </si>
  <si>
    <t>Internal discussing with Ian re the update of US fund investment playbook</t>
    <phoneticPr fontId="7" type="noConversion"/>
  </si>
  <si>
    <t>Approving on payment of legal fees and relevant communications</t>
    <phoneticPr fontId="7" type="noConversion"/>
  </si>
  <si>
    <t>Discussing with Scarlett re the statistics of exit deals; catching up on recent status</t>
    <phoneticPr fontId="7" type="noConversion"/>
  </si>
  <si>
    <t>Flipkart</t>
    <phoneticPr fontId="7" type="noConversion"/>
  </si>
  <si>
    <t>Reviewing Touchstone's email re the recent PN3 application-related update and internally discussing with Mandavi</t>
    <phoneticPr fontId="7" type="noConversion"/>
  </si>
  <si>
    <t>Project Manhattan</t>
    <phoneticPr fontId="7" type="noConversion"/>
  </si>
  <si>
    <t>Internal discussing with Lucy on the CFIUS analysis; further commucation re the potentially increased commitment</t>
    <phoneticPr fontId="7" type="noConversion"/>
  </si>
  <si>
    <t>Bi-weekly meeting</t>
    <phoneticPr fontId="7" type="noConversion"/>
  </si>
  <si>
    <t>Public - Knowledge Accumulation &amp; Sharing</t>
  </si>
  <si>
    <t>资本市场证券交易全流程合规体系建设 Full-process compliance system  for securities trading in capital markets</t>
  </si>
  <si>
    <t>Various internal discussions; staffing; admin matters (offsite etc. )</t>
    <phoneticPr fontId="7" type="noConversion"/>
  </si>
  <si>
    <t xml:space="preserve"> </t>
    <phoneticPr fontId="7" type="noConversion"/>
  </si>
  <si>
    <t>境内外主体/办公室合规管理 Compliance management for domestic and overseas entities/offices</t>
  </si>
  <si>
    <t>SSV structure</t>
    <phoneticPr fontId="7" type="noConversion"/>
  </si>
  <si>
    <t>Internally discussing on the payment of additional subscription for paying the ADR fees; dsicussion with PWC; dsicussion with Simon Leung</t>
    <phoneticPr fontId="7" type="noConversion"/>
  </si>
  <si>
    <t>Dicussing with Cooker; deals update related communication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</si>
</sst>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im.woa.com/fof-portfolio/detail/BE2B20B607E64226B2B03DACEAA0103B"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85" zoomScaleNormal="85" workbookViewId="0">
      <selection activeCell="I30" sqref="I30"/>
    </sheetView>
  </sheetViews>
  <sheetFormatPr defaultColWidth="9" defaultRowHeight="14" x14ac:dyDescent="0.45"/>
  <cols>
    <col min="2" max="2" width="12.46875" customWidth="1"/>
    <col min="3" max="3" width="34.41015625" style="11" customWidth="1"/>
    <col min="4" max="4" width="15.1171875" customWidth="1"/>
    <col min="5" max="5" width="10.52734375" customWidth="1"/>
    <col min="6" max="6" width="29.87890625" style="11" customWidth="1"/>
    <col min="8" max="8" width="41.52734375" style="11" customWidth="1"/>
    <col min="9" max="9" width="44.117187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38" x14ac:dyDescent="0.45">
      <c r="B4" s="31" t="s">
        <v>73</v>
      </c>
      <c r="C4" s="24" t="s">
        <v>14</v>
      </c>
      <c r="D4" s="30" t="s">
        <v>76</v>
      </c>
      <c r="E4" s="25" t="s">
        <v>40</v>
      </c>
      <c r="F4" s="27" t="s">
        <v>72</v>
      </c>
      <c r="G4" s="29">
        <v>1.2</v>
      </c>
      <c r="H4" s="27" t="s">
        <v>20</v>
      </c>
      <c r="I4" s="28" t="s">
        <v>81</v>
      </c>
    </row>
    <row r="5" spans="2:9" ht="25.35" x14ac:dyDescent="0.45">
      <c r="B5" s="31" t="s">
        <v>73</v>
      </c>
      <c r="C5" s="24" t="s">
        <v>18</v>
      </c>
      <c r="D5" s="30"/>
      <c r="E5" s="25" t="s">
        <v>40</v>
      </c>
      <c r="F5" s="27" t="s">
        <v>77</v>
      </c>
      <c r="G5" s="29">
        <v>2.5</v>
      </c>
      <c r="H5" s="27" t="s">
        <v>74</v>
      </c>
      <c r="I5" s="28" t="s">
        <v>78</v>
      </c>
    </row>
    <row r="6" spans="2:9" ht="25.35" x14ac:dyDescent="0.45">
      <c r="B6" s="31" t="s">
        <v>73</v>
      </c>
      <c r="C6" s="24" t="s">
        <v>18</v>
      </c>
      <c r="D6" s="30"/>
      <c r="E6" s="25" t="s">
        <v>40</v>
      </c>
      <c r="F6" s="27" t="s">
        <v>75</v>
      </c>
      <c r="G6" s="29">
        <v>1.2</v>
      </c>
      <c r="H6" s="27" t="s">
        <v>38</v>
      </c>
      <c r="I6" s="28" t="s">
        <v>80</v>
      </c>
    </row>
    <row r="7" spans="2:9" ht="38" x14ac:dyDescent="0.45">
      <c r="B7" s="31" t="s">
        <v>73</v>
      </c>
      <c r="C7" s="24" t="s">
        <v>14</v>
      </c>
      <c r="D7" s="30" t="s">
        <v>79</v>
      </c>
      <c r="E7" s="25" t="s">
        <v>40</v>
      </c>
      <c r="F7" s="24" t="s">
        <v>72</v>
      </c>
      <c r="G7" s="26">
        <v>5.5</v>
      </c>
      <c r="H7" s="24" t="s">
        <v>36</v>
      </c>
      <c r="I7" s="28" t="s">
        <v>94</v>
      </c>
    </row>
    <row r="8" spans="2:9" ht="25.35" x14ac:dyDescent="0.45">
      <c r="B8" s="31" t="s">
        <v>73</v>
      </c>
      <c r="C8" s="24" t="s">
        <v>18</v>
      </c>
      <c r="D8" s="30"/>
      <c r="E8" s="25" t="s">
        <v>27</v>
      </c>
      <c r="F8" s="24"/>
      <c r="G8" s="26">
        <v>4.5</v>
      </c>
      <c r="H8" s="24" t="s">
        <v>27</v>
      </c>
      <c r="I8" s="28" t="s">
        <v>98</v>
      </c>
    </row>
    <row r="9" spans="2:9" ht="25.35" x14ac:dyDescent="0.45">
      <c r="B9" s="31" t="s">
        <v>73</v>
      </c>
      <c r="C9" s="24" t="s">
        <v>18</v>
      </c>
      <c r="D9" s="30"/>
      <c r="E9" s="25" t="s">
        <v>40</v>
      </c>
      <c r="F9" s="24" t="s">
        <v>75</v>
      </c>
      <c r="G9" s="26">
        <v>0.6</v>
      </c>
      <c r="H9" s="24" t="s">
        <v>74</v>
      </c>
      <c r="I9" s="28" t="s">
        <v>90</v>
      </c>
    </row>
    <row r="10" spans="2:9" ht="38" x14ac:dyDescent="0.45">
      <c r="B10" s="31" t="s">
        <v>73</v>
      </c>
      <c r="C10" s="24" t="s">
        <v>16</v>
      </c>
      <c r="D10" s="30" t="s">
        <v>82</v>
      </c>
      <c r="E10" s="25" t="s">
        <v>40</v>
      </c>
      <c r="F10" s="24" t="s">
        <v>83</v>
      </c>
      <c r="G10" s="26">
        <v>1.5</v>
      </c>
      <c r="H10" s="24" t="s">
        <v>32</v>
      </c>
      <c r="I10" s="28" t="s">
        <v>84</v>
      </c>
    </row>
    <row r="11" spans="2:9" ht="57.35" customHeight="1" x14ac:dyDescent="0.45">
      <c r="B11" s="31" t="s">
        <v>73</v>
      </c>
      <c r="C11" s="24" t="s">
        <v>14</v>
      </c>
      <c r="D11" s="30" t="s">
        <v>85</v>
      </c>
      <c r="E11" s="25" t="s">
        <v>40</v>
      </c>
      <c r="F11" s="24" t="s">
        <v>72</v>
      </c>
      <c r="G11" s="26">
        <v>0.6</v>
      </c>
      <c r="H11" s="27" t="s">
        <v>36</v>
      </c>
      <c r="I11" s="28" t="s">
        <v>86</v>
      </c>
    </row>
    <row r="12" spans="2:9" ht="25.35" x14ac:dyDescent="0.45">
      <c r="B12" s="31" t="s">
        <v>73</v>
      </c>
      <c r="C12" s="24" t="s">
        <v>87</v>
      </c>
      <c r="D12" s="30"/>
      <c r="E12" s="25" t="s">
        <v>40</v>
      </c>
      <c r="F12" s="24" t="s">
        <v>77</v>
      </c>
      <c r="G12" s="26">
        <v>0.5</v>
      </c>
      <c r="H12" s="24" t="s">
        <v>22</v>
      </c>
      <c r="I12" s="28" t="s">
        <v>88</v>
      </c>
    </row>
    <row r="13" spans="2:9" ht="25.35" x14ac:dyDescent="0.45">
      <c r="B13" s="31" t="s">
        <v>73</v>
      </c>
      <c r="C13" s="24" t="s">
        <v>18</v>
      </c>
      <c r="D13" s="30"/>
      <c r="E13" s="25" t="s">
        <v>27</v>
      </c>
      <c r="F13" s="24"/>
      <c r="G13" s="26">
        <v>0.3</v>
      </c>
      <c r="H13" s="24" t="s">
        <v>27</v>
      </c>
      <c r="I13" s="28" t="s">
        <v>89</v>
      </c>
    </row>
    <row r="14" spans="2:9" ht="38" x14ac:dyDescent="0.45">
      <c r="B14" s="31" t="s">
        <v>73</v>
      </c>
      <c r="C14" s="24" t="s">
        <v>14</v>
      </c>
      <c r="D14" s="30" t="s">
        <v>91</v>
      </c>
      <c r="E14" s="25" t="s">
        <v>40</v>
      </c>
      <c r="F14" s="24" t="s">
        <v>83</v>
      </c>
      <c r="G14" s="26">
        <v>1.5</v>
      </c>
      <c r="H14" s="24" t="s">
        <v>32</v>
      </c>
      <c r="I14" s="28" t="s">
        <v>92</v>
      </c>
    </row>
    <row r="15" spans="2:9" ht="38" x14ac:dyDescent="0.45">
      <c r="B15" s="31" t="s">
        <v>73</v>
      </c>
      <c r="C15" s="24" t="s">
        <v>16</v>
      </c>
      <c r="D15" s="30" t="s">
        <v>93</v>
      </c>
      <c r="E15" s="25" t="s">
        <v>40</v>
      </c>
      <c r="F15" s="24" t="s">
        <v>72</v>
      </c>
      <c r="G15" s="26">
        <v>5</v>
      </c>
      <c r="H15" s="24" t="s">
        <v>27</v>
      </c>
      <c r="I15" s="28" t="s">
        <v>102</v>
      </c>
    </row>
    <row r="16" spans="2:9" x14ac:dyDescent="0.45">
      <c r="B16" s="31" t="s">
        <v>73</v>
      </c>
      <c r="C16" s="24" t="s">
        <v>18</v>
      </c>
      <c r="D16" s="30"/>
      <c r="E16" s="25" t="s">
        <v>27</v>
      </c>
      <c r="F16" s="24"/>
      <c r="G16" s="26">
        <v>1.2</v>
      </c>
      <c r="H16" s="24" t="s">
        <v>24</v>
      </c>
      <c r="I16" s="28" t="s">
        <v>95</v>
      </c>
    </row>
    <row r="17" spans="2:9" ht="38" x14ac:dyDescent="0.45">
      <c r="B17" s="31" t="s">
        <v>73</v>
      </c>
      <c r="C17" s="24" t="s">
        <v>96</v>
      </c>
      <c r="D17" s="30"/>
      <c r="E17" s="25" t="s">
        <v>40</v>
      </c>
      <c r="F17" s="24" t="s">
        <v>97</v>
      </c>
      <c r="G17" s="26">
        <v>1.5</v>
      </c>
      <c r="H17" s="24" t="s">
        <v>34</v>
      </c>
      <c r="I17" s="28" t="s">
        <v>99</v>
      </c>
    </row>
    <row r="18" spans="2:9" ht="38" x14ac:dyDescent="0.45">
      <c r="B18" s="31" t="s">
        <v>73</v>
      </c>
      <c r="C18" s="24" t="s">
        <v>18</v>
      </c>
      <c r="D18" s="30"/>
      <c r="E18" s="25" t="s">
        <v>40</v>
      </c>
      <c r="F18" s="24" t="s">
        <v>100</v>
      </c>
      <c r="G18" s="26">
        <v>1</v>
      </c>
      <c r="H18" s="24"/>
      <c r="I18" s="28" t="s">
        <v>101</v>
      </c>
    </row>
    <row r="19" spans="2:9" ht="25.35" x14ac:dyDescent="0.45">
      <c r="B19" s="31" t="s">
        <v>73</v>
      </c>
      <c r="C19" s="24" t="s">
        <v>18</v>
      </c>
      <c r="D19" s="30"/>
      <c r="E19" s="25" t="s">
        <v>40</v>
      </c>
      <c r="F19" s="24" t="s">
        <v>75</v>
      </c>
      <c r="G19" s="26">
        <v>2</v>
      </c>
      <c r="H19" s="24"/>
      <c r="I19" s="28" t="s">
        <v>103</v>
      </c>
    </row>
    <row r="20" spans="2:9" x14ac:dyDescent="0.45">
      <c r="B20" s="31" t="s">
        <v>73</v>
      </c>
      <c r="C20" s="24"/>
      <c r="D20" s="30"/>
      <c r="E20" s="25"/>
      <c r="F20" s="24"/>
      <c r="G20" s="26"/>
      <c r="H20" s="24"/>
      <c r="I20" s="28"/>
    </row>
    <row r="21" spans="2:9" x14ac:dyDescent="0.45">
      <c r="B21" s="31"/>
      <c r="C21" s="24"/>
      <c r="D21" s="30"/>
      <c r="E21" s="25"/>
      <c r="F21" s="24"/>
      <c r="G21" s="26"/>
      <c r="H21" s="24"/>
      <c r="I21" s="28"/>
    </row>
    <row r="22" spans="2:9" x14ac:dyDescent="0.45">
      <c r="B22" s="19"/>
      <c r="C22" s="20"/>
      <c r="D22" s="21"/>
      <c r="E22" s="21"/>
      <c r="F22" s="23" t="s">
        <v>67</v>
      </c>
      <c r="G22" s="35">
        <f>SUM(G3:G20)</f>
        <v>30.6</v>
      </c>
      <c r="H22" s="36"/>
      <c r="I22" s="37"/>
    </row>
    <row r="23" spans="2:9" ht="14.35" thickBot="1" x14ac:dyDescent="0.5">
      <c r="B23" s="15"/>
      <c r="C23" s="16"/>
      <c r="D23" s="17"/>
      <c r="E23" s="17"/>
      <c r="F23" s="22" t="s">
        <v>68</v>
      </c>
      <c r="G23" s="32">
        <v>5</v>
      </c>
      <c r="H23" s="33"/>
      <c r="I23" s="34"/>
    </row>
    <row r="24" spans="2:9" ht="14.35" thickTop="1" x14ac:dyDescent="0.4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hyperlinks>
    <hyperlink ref="D11" r:id="rId1" display="https://tim.woa.com/fof-portfolio/detail/BE2B20B607E64226B2B03DACEAA0103B" xr:uid="{0E3903A3-7043-422E-9E02-A8ED6BD4FECE}"/>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2025-07-04T11:10:07Z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