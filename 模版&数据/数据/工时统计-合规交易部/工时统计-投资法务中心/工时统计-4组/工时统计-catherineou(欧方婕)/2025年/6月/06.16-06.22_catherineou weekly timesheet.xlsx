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F28D32B7-C057-4EDB-B793-41E55A823C97}" xr6:coauthVersionLast="47" xr6:coauthVersionMax="47" xr10:uidLastSave="{00000000-0000-0000-0000-000000000000}"/>
  <bookViews>
    <workbookView xWindow="2880" yWindow="2880" windowWidth="19200" windowHeight="100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<sst xmlns="http://schemas.openxmlformats.org/spreadsheetml/2006/main" count="216" uniqueCount="99">
  <si>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</si>
  <si>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</si>
  <si>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</si>
  <si>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</si>
  <si>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</si>
  <si>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</si>
  <si>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</si>
  <si>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</si>
  <si>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</si>
  <si>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</si>
  <si>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</si>
  <si>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</si>
  <si>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</si>
  <si>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</si>
  <si>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</si>
  <si>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</si>
  <si>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</si>
  <si>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</si>
  <si>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</si>
  <si>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</si>
  <si>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</si>
  <si>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</si>
  <si>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</si>
  <si>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</si>
  <si>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</si>
  <si>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</si>
  <si>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</si>
  <si>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</si>
  <si>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</si>
  <si>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</si>
  <si>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</si>
  <si>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</si>
  <si>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</si>
  <si>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</si>
  <si>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</si>
  <si>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</si>
  <si>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</si>
  <si>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</si>
  <si>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</si>
  <si>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</si>
  <si>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</si>
  <si>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</si>
  <si>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</si>
  <si>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</si>
  <si>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</si>
  <si>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</si>
  <si>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</si>
  <si>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</si>
  <si>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</si>
  <si>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</si>
  <si>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</si>
  <si>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</si>
  <si>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</si>
  <si>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</si>
  <si>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</si>
  <si>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</si>
  <si>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</si>
  <si>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</si>
  <si>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</si>
  <si>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</si>
  <si>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</si>
  <si>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</si>
  <si>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</si>
  <si>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</si>
  <si>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</si>
  <si>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</si>
  <si>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</si>
  <si>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</si>
  <si>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</si>
  <si>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</si>
  <si>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</si>
  <si>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</si>
  <si>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</si>
  <si>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catherineou</t>
    <phoneticPr fontId="7" type="noConversion"/>
  </si>
  <si>
    <t>赛丽科技</t>
    <phoneticPr fontId="7" type="noConversion"/>
  </si>
  <si>
    <t>控股和重点投资公司法务风险管理 Legal risk management for controlled and key invested portfolios</t>
  </si>
  <si>
    <t>Recording/reviewing deals updates/weekly time reports/other team summaries</t>
  </si>
  <si>
    <t>Project Manhattan</t>
    <phoneticPr fontId="7" type="noConversion"/>
  </si>
  <si>
    <t>Fund of One</t>
    <phoneticPr fontId="7" type="noConversion"/>
  </si>
  <si>
    <t>Internal discussion with Ning re the deal status</t>
    <phoneticPr fontId="7" type="noConversion"/>
  </si>
  <si>
    <t>PAQ Therapeutics</t>
    <phoneticPr fontId="7" type="noConversion"/>
  </si>
  <si>
    <t>境内外主体/办公室合规管理 Compliance management for domestic and overseas entities/offices</t>
  </si>
  <si>
    <t>Reviewing the revised SSV PPT slides and discussing with Jed</t>
    <phoneticPr fontId="7" type="noConversion"/>
  </si>
  <si>
    <t>Arranging for the deal handover during Huanhao's annual leave</t>
    <phoneticPr fontId="7" type="noConversion"/>
  </si>
  <si>
    <t>Attending the kick-off meeting; internal discussion on the CFIUS analysis</t>
    <phoneticPr fontId="7" type="noConversion"/>
  </si>
  <si>
    <t>Meeting with the legal and management team of key portfolios (Bilibili, Know Yourself)</t>
    <phoneticPr fontId="7" type="noConversion"/>
  </si>
  <si>
    <t>Internal discussion with MA re the TS status</t>
    <phoneticPr fontId="7" type="noConversion"/>
  </si>
  <si>
    <t>Commenting to the quarterly report materials</t>
    <phoneticPr fontId="7" type="noConversion"/>
  </si>
  <si>
    <t>Meeting with the legal and management team of key portfolios (腾竞, 销售易)</t>
    <phoneticPr fontId="7" type="noConversion"/>
  </si>
  <si>
    <t>Monthly meeting</t>
    <phoneticPr fontId="7" type="noConversion"/>
  </si>
  <si>
    <t>Bi-weekly management meeting</t>
    <phoneticPr fontId="7" type="noConversion"/>
  </si>
  <si>
    <t>H1 self review</t>
    <phoneticPr fontId="7" type="noConversion"/>
  </si>
  <si>
    <t>Pre-deal assessment</t>
    <phoneticPr fontId="7" type="noConversion"/>
  </si>
  <si>
    <t>Reviewing the draft board resolutions and discussin with FIN and Nanshan</t>
    <phoneticPr fontId="7" type="noConversion"/>
  </si>
  <si>
    <t>Reviewing and moving online the ILC's portfolios list</t>
    <phoneticPr fontId="7" type="noConversion"/>
  </si>
  <si>
    <t>Discussing on H1 performance review</t>
    <phoneticPr fontId="7" type="noConversion"/>
  </si>
  <si>
    <t>Meeting with the legal and management team of key portfolios (橘朵)</t>
    <phoneticPr fontId="7" type="noConversion"/>
  </si>
  <si>
    <t>Pre-deal assessment on Databricks and discussion with Jed; reverting to MA and staffing for further assessment</t>
    <phoneticPr fontId="7" type="noConversion"/>
  </si>
  <si>
    <t>Discussing with tax team and Lucy re the deal structure; attending the discussion with Lucy and Jed</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</si>
</sst>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176" fontId="10" fillId="0" borderId="4" xfId="0" applyNumberFormat="1"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zoomScale="85" zoomScaleNormal="85" workbookViewId="0">
      <selection activeCell="I15" sqref="I15"/>
    </sheetView>
  </sheetViews>
  <sheetFormatPr defaultColWidth="9" defaultRowHeight="14" x14ac:dyDescent="0.45"/>
  <cols>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8" customHeight="1" x14ac:dyDescent="0.45">
      <c r="B3" s="6" t="s">
        <v>7</v>
      </c>
      <c r="C3" s="7" t="s">
        <v>8</v>
      </c>
      <c r="D3" s="7" t="s">
        <v>9</v>
      </c>
      <c r="E3" s="7" t="s">
        <v>59</v>
      </c>
      <c r="F3" s="7" t="s">
        <v>57</v>
      </c>
      <c r="G3" s="7" t="s">
        <v>10</v>
      </c>
      <c r="H3" s="7" t="s">
        <v>11</v>
      </c>
      <c r="I3" s="9" t="s">
        <v>12</v>
      </c>
    </row>
    <row r="4" spans="2:9" ht="25.35" x14ac:dyDescent="0.45">
      <c r="B4" s="31" t="s">
        <v>73</v>
      </c>
      <c r="C4" s="24" t="s">
        <v>14</v>
      </c>
      <c r="D4" s="30" t="s">
        <v>78</v>
      </c>
      <c r="E4" s="25" t="s">
        <v>40</v>
      </c>
      <c r="F4" s="27" t="s">
        <v>72</v>
      </c>
      <c r="G4" s="29">
        <v>0.5</v>
      </c>
      <c r="H4" s="27" t="s">
        <v>20</v>
      </c>
      <c r="I4" s="28" t="s">
        <v>79</v>
      </c>
    </row>
    <row r="5" spans="2:9" ht="25.35" x14ac:dyDescent="0.45">
      <c r="B5" s="31" t="s">
        <v>73</v>
      </c>
      <c r="C5" s="24" t="s">
        <v>14</v>
      </c>
      <c r="D5" s="30" t="s">
        <v>80</v>
      </c>
      <c r="E5" s="25" t="s">
        <v>40</v>
      </c>
      <c r="F5" s="27" t="s">
        <v>72</v>
      </c>
      <c r="G5" s="29">
        <v>1</v>
      </c>
      <c r="H5" s="27" t="s">
        <v>20</v>
      </c>
      <c r="I5" s="28" t="s">
        <v>84</v>
      </c>
    </row>
    <row r="6" spans="2:9" ht="38" x14ac:dyDescent="0.45">
      <c r="B6" s="31" t="s">
        <v>73</v>
      </c>
      <c r="C6" s="24" t="s">
        <v>18</v>
      </c>
      <c r="D6" s="30"/>
      <c r="E6" s="25" t="s">
        <v>40</v>
      </c>
      <c r="F6" s="27" t="s">
        <v>81</v>
      </c>
      <c r="G6" s="29">
        <v>0.8</v>
      </c>
      <c r="H6" s="27" t="s">
        <v>27</v>
      </c>
      <c r="I6" s="28" t="s">
        <v>82</v>
      </c>
    </row>
    <row r="7" spans="2:9" ht="25.35" x14ac:dyDescent="0.45">
      <c r="B7" s="31" t="s">
        <v>73</v>
      </c>
      <c r="C7" s="24" t="s">
        <v>18</v>
      </c>
      <c r="D7" s="30"/>
      <c r="E7" s="25" t="s">
        <v>27</v>
      </c>
      <c r="F7" s="24"/>
      <c r="G7" s="26">
        <v>0.5</v>
      </c>
      <c r="H7" s="24" t="s">
        <v>27</v>
      </c>
      <c r="I7" s="28" t="s">
        <v>83</v>
      </c>
    </row>
    <row r="8" spans="2:9" ht="38" x14ac:dyDescent="0.45">
      <c r="B8" s="31" t="s">
        <v>73</v>
      </c>
      <c r="C8" s="24" t="s">
        <v>18</v>
      </c>
      <c r="D8" s="30"/>
      <c r="E8" s="25" t="s">
        <v>40</v>
      </c>
      <c r="F8" s="24" t="s">
        <v>75</v>
      </c>
      <c r="G8" s="26">
        <v>5</v>
      </c>
      <c r="H8" s="24" t="s">
        <v>27</v>
      </c>
      <c r="I8" s="28" t="s">
        <v>85</v>
      </c>
    </row>
    <row r="9" spans="2:9" ht="25.35" x14ac:dyDescent="0.45">
      <c r="B9" s="31" t="s">
        <v>73</v>
      </c>
      <c r="C9" s="24" t="s">
        <v>14</v>
      </c>
      <c r="D9" s="30" t="s">
        <v>78</v>
      </c>
      <c r="E9" s="25" t="s">
        <v>40</v>
      </c>
      <c r="F9" s="24" t="s">
        <v>72</v>
      </c>
      <c r="G9" s="26">
        <v>1</v>
      </c>
      <c r="H9" s="24" t="s">
        <v>20</v>
      </c>
      <c r="I9" s="28" t="s">
        <v>86</v>
      </c>
    </row>
    <row r="10" spans="2:9" x14ac:dyDescent="0.45">
      <c r="B10" s="31" t="s">
        <v>73</v>
      </c>
      <c r="C10" s="24" t="s">
        <v>18</v>
      </c>
      <c r="D10" s="30"/>
      <c r="E10" s="25" t="s">
        <v>27</v>
      </c>
      <c r="F10" s="24"/>
      <c r="G10" s="26">
        <v>0.8</v>
      </c>
      <c r="H10" s="24" t="s">
        <v>27</v>
      </c>
      <c r="I10" s="28" t="s">
        <v>87</v>
      </c>
    </row>
    <row r="11" spans="2:9" ht="38" x14ac:dyDescent="0.45">
      <c r="B11" s="31" t="s">
        <v>73</v>
      </c>
      <c r="C11" s="24" t="s">
        <v>18</v>
      </c>
      <c r="D11" s="30"/>
      <c r="E11" s="25" t="s">
        <v>40</v>
      </c>
      <c r="F11" s="24" t="s">
        <v>75</v>
      </c>
      <c r="G11" s="26">
        <v>3.5</v>
      </c>
      <c r="H11" s="24" t="s">
        <v>27</v>
      </c>
      <c r="I11" s="28" t="s">
        <v>88</v>
      </c>
    </row>
    <row r="12" spans="2:9" x14ac:dyDescent="0.45">
      <c r="B12" s="31" t="s">
        <v>73</v>
      </c>
      <c r="C12" s="24" t="s">
        <v>18</v>
      </c>
      <c r="D12" s="30"/>
      <c r="E12" s="25" t="s">
        <v>27</v>
      </c>
      <c r="F12" s="24"/>
      <c r="G12" s="26">
        <v>1</v>
      </c>
      <c r="H12" s="27" t="s">
        <v>24</v>
      </c>
      <c r="I12" s="28" t="s">
        <v>89</v>
      </c>
    </row>
    <row r="13" spans="2:9" x14ac:dyDescent="0.45">
      <c r="B13" s="31" t="s">
        <v>73</v>
      </c>
      <c r="C13" s="24" t="s">
        <v>18</v>
      </c>
      <c r="D13" s="30"/>
      <c r="E13" s="25" t="s">
        <v>27</v>
      </c>
      <c r="F13" s="24"/>
      <c r="G13" s="26">
        <v>1.3</v>
      </c>
      <c r="H13" s="24" t="s">
        <v>24</v>
      </c>
      <c r="I13" s="28" t="s">
        <v>90</v>
      </c>
    </row>
    <row r="14" spans="2:9" x14ac:dyDescent="0.45">
      <c r="B14" s="31" t="s">
        <v>73</v>
      </c>
      <c r="C14" s="24" t="s">
        <v>18</v>
      </c>
      <c r="D14" s="30"/>
      <c r="E14" s="25" t="s">
        <v>27</v>
      </c>
      <c r="F14" s="24"/>
      <c r="G14" s="26">
        <v>0.5</v>
      </c>
      <c r="H14" s="24" t="s">
        <v>27</v>
      </c>
      <c r="I14" s="28" t="s">
        <v>91</v>
      </c>
    </row>
    <row r="15" spans="2:9" ht="38" x14ac:dyDescent="0.45">
      <c r="B15" s="31" t="s">
        <v>73</v>
      </c>
      <c r="C15" s="24" t="s">
        <v>16</v>
      </c>
      <c r="D15" s="30" t="s">
        <v>92</v>
      </c>
      <c r="E15" s="25" t="s">
        <v>40</v>
      </c>
      <c r="F15" s="24" t="s">
        <v>72</v>
      </c>
      <c r="G15" s="26">
        <v>1</v>
      </c>
      <c r="H15" s="24" t="s">
        <v>36</v>
      </c>
      <c r="I15" s="28" t="s">
        <v>97</v>
      </c>
    </row>
    <row r="16" spans="2:9" ht="25.35" x14ac:dyDescent="0.45">
      <c r="B16" s="31" t="s">
        <v>73</v>
      </c>
      <c r="C16" s="24" t="s">
        <v>16</v>
      </c>
      <c r="D16" s="30" t="s">
        <v>77</v>
      </c>
      <c r="E16" s="25" t="s">
        <v>40</v>
      </c>
      <c r="F16" s="24" t="s">
        <v>72</v>
      </c>
      <c r="G16" s="26">
        <v>2</v>
      </c>
      <c r="H16" s="24" t="s">
        <v>20</v>
      </c>
      <c r="I16" s="28" t="s">
        <v>93</v>
      </c>
    </row>
    <row r="17" spans="2:9" ht="38" x14ac:dyDescent="0.45">
      <c r="B17" s="31" t="s">
        <v>73</v>
      </c>
      <c r="C17" s="24" t="s">
        <v>18</v>
      </c>
      <c r="D17" s="30"/>
      <c r="E17" s="25" t="s">
        <v>40</v>
      </c>
      <c r="F17" s="24" t="s">
        <v>75</v>
      </c>
      <c r="G17" s="26">
        <v>3.3</v>
      </c>
      <c r="H17" s="24" t="s">
        <v>76</v>
      </c>
      <c r="I17" s="28" t="s">
        <v>94</v>
      </c>
    </row>
    <row r="18" spans="2:9" x14ac:dyDescent="0.45">
      <c r="B18" s="31" t="s">
        <v>73</v>
      </c>
      <c r="C18" s="24" t="s">
        <v>18</v>
      </c>
      <c r="D18" s="30"/>
      <c r="E18" s="25" t="s">
        <v>27</v>
      </c>
      <c r="F18" s="24"/>
      <c r="G18" s="32">
        <v>2.5</v>
      </c>
      <c r="H18" s="24" t="s">
        <v>27</v>
      </c>
      <c r="I18" s="28" t="s">
        <v>95</v>
      </c>
    </row>
    <row r="19" spans="2:9" ht="38" x14ac:dyDescent="0.45">
      <c r="B19" s="31" t="s">
        <v>73</v>
      </c>
      <c r="C19" s="24" t="s">
        <v>18</v>
      </c>
      <c r="D19" s="30"/>
      <c r="E19" s="25" t="s">
        <v>40</v>
      </c>
      <c r="F19" s="24" t="s">
        <v>75</v>
      </c>
      <c r="G19" s="32">
        <v>2</v>
      </c>
      <c r="H19" s="24" t="s">
        <v>27</v>
      </c>
      <c r="I19" s="28" t="s">
        <v>96</v>
      </c>
    </row>
    <row r="20" spans="2:9" ht="38" x14ac:dyDescent="0.45">
      <c r="B20" s="31" t="s">
        <v>73</v>
      </c>
      <c r="C20" s="24" t="s">
        <v>14</v>
      </c>
      <c r="D20" s="30" t="s">
        <v>74</v>
      </c>
      <c r="E20" s="25" t="s">
        <v>40</v>
      </c>
      <c r="F20" s="24" t="s">
        <v>72</v>
      </c>
      <c r="G20" s="26">
        <v>1</v>
      </c>
      <c r="H20" s="24" t="s">
        <v>27</v>
      </c>
      <c r="I20" s="28" t="s">
        <v>98</v>
      </c>
    </row>
    <row r="21" spans="2:9" x14ac:dyDescent="0.45">
      <c r="B21" s="31"/>
      <c r="C21" s="24"/>
      <c r="D21" s="30"/>
      <c r="E21" s="25"/>
      <c r="F21" s="24"/>
      <c r="G21" s="26"/>
      <c r="H21" s="24"/>
      <c r="I21" s="28"/>
    </row>
    <row r="22" spans="2:9" x14ac:dyDescent="0.45">
      <c r="B22" s="31"/>
      <c r="C22" s="24"/>
      <c r="D22" s="30"/>
      <c r="E22" s="25"/>
      <c r="F22" s="24"/>
      <c r="G22" s="26"/>
      <c r="H22" s="24"/>
      <c r="I22" s="28"/>
    </row>
    <row r="23" spans="2:9" x14ac:dyDescent="0.45">
      <c r="B23" s="19"/>
      <c r="C23" s="20"/>
      <c r="D23" s="21"/>
      <c r="E23" s="21"/>
      <c r="F23" s="23" t="s">
        <v>67</v>
      </c>
      <c r="G23" s="36">
        <f>SUM(G3:G20)</f>
        <v>27.700000000000003</v>
      </c>
      <c r="H23" s="37"/>
      <c r="I23" s="38"/>
    </row>
    <row r="24" spans="2:9" ht="14.35" thickBot="1" x14ac:dyDescent="0.5">
      <c r="B24" s="15"/>
      <c r="C24" s="16"/>
      <c r="D24" s="17"/>
      <c r="E24" s="17"/>
      <c r="F24" s="22" t="s">
        <v>68</v>
      </c>
      <c r="G24" s="33">
        <v>5</v>
      </c>
      <c r="H24" s="34"/>
      <c r="I24" s="35"/>
    </row>
    <row r="25" spans="2:9" ht="14.35" thickTop="1" x14ac:dyDescent="0.45"/>
  </sheetData>
  <mergeCells count="2">
    <mergeCell ref="G24:I24"/>
    <mergeCell ref="G23:I23"/>
  </mergeCells>
  <phoneticPr fontId="7" type="noConversion"/>
  <dataValidations count="2">
    <dataValidation type="list" allowBlank="1" showInputMessage="1" showErrorMessage="1" sqref="H4:H20 H22" xr:uid="{00000000-0002-0000-0000-000000000000}">
      <formula1>hh</formula1>
    </dataValidation>
    <dataValidation type="list" allowBlank="1" showInputMessage="1" showErrorMessage="1" sqref="F4:F20 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 E22:E24</xm:sqref>
        </x14:dataValidation>
        <x14:dataValidation type="list" allowBlank="1" showInputMessage="1" showErrorMessage="1" xr:uid="{00000000-0002-0000-0000-000002000000}">
          <x14:formula1>
            <xm:f>数据标签!$B$2:$H$2</xm:f>
          </x14:formula1>
          <xm:sqref>C4:C20 C22:C24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workbookViewId="0">
      <selection activeCell="B22" sqref="B22"/>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2025-06-30T02:27:06Z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