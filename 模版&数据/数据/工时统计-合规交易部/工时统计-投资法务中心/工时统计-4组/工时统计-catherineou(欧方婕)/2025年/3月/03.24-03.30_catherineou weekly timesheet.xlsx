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5BDB67EB-1EEC-46AB-A575-B2833F4FD63B}" xr6:coauthVersionLast="47" xr6:coauthVersionMax="47" xr10:uidLastSave="{00000000-0000-0000-0000-000000000000}"/>
  <bookViews>
    <workbookView xWindow="4327" yWindow="1940" windowWidth="25600" windowHeight="111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<sst xmlns="http://schemas.openxmlformats.org/spreadsheetml/2006/main" count="147" uniqueCount="83">
  <si>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</si>
  <si>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</si>
  <si>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</si>
  <si>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</si>
  <si>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</si>
  <si>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</si>
  <si>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</si>
  <si>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</si>
  <si>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</si>
  <si>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</si>
  <si>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</si>
  <si>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</si>
  <si>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</si>
  <si>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</si>
  <si>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</si>
  <si>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</si>
  <si>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</si>
  <si>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</si>
  <si>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</si>
  <si>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</si>
  <si>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</si>
  <si>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</si>
  <si>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</si>
  <si>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</si>
  <si>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</si>
  <si>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</si>
  <si>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</si>
  <si>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</si>
  <si>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</si>
  <si>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</si>
  <si>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</si>
  <si>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</si>
  <si>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</si>
  <si>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</si>
  <si>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</si>
  <si>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</si>
  <si>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</si>
  <si>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</si>
  <si>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</si>
  <si>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</si>
  <si>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</si>
  <si>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</si>
  <si>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</si>
  <si>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</si>
  <si>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</si>
  <si>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</si>
  <si>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</si>
  <si>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</si>
  <si>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</si>
  <si>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</si>
  <si>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</si>
  <si>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</si>
  <si>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</si>
  <si>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</si>
  <si>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</si>
  <si>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</si>
  <si>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</si>
  <si>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</si>
  <si>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</si>
  <si>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</si>
  <si>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</si>
  <si>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</si>
  <si>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</si>
  <si>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</si>
  <si>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</si>
  <si>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</si>
  <si>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</si>
  <si>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</si>
  <si>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</si>
  <si>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</si>
  <si>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</si>
  <si>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</si>
  <si>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</si>
  <si>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投资项目全流程法务支持 Full-process legal support for investments</t>
  </si>
  <si>
    <t>Public - Infrastructure &amp; Guidance</t>
  </si>
  <si>
    <t>Communicating with Hankun re the market practice; reviewing the licensing summary of fund managers</t>
    <phoneticPr fontId="7" type="noConversion"/>
  </si>
  <si>
    <t>Catching up with MA 智能应用投资组 re investment plans</t>
    <phoneticPr fontId="7" type="noConversion"/>
  </si>
  <si>
    <t>Discussing on the legal fees usage and relevant internal forms</t>
    <phoneticPr fontId="7" type="noConversion"/>
  </si>
  <si>
    <t>Attending the QA meeting with James; attending regular team meeting</t>
    <phoneticPr fontId="7" type="noConversion"/>
  </si>
  <si>
    <t xml:space="preserve">Reviewing and supplementing the BSC form and internally discuss </t>
    <phoneticPr fontId="7" type="noConversion"/>
  </si>
  <si>
    <t>FOF</t>
    <phoneticPr fontId="7" type="noConversion"/>
  </si>
  <si>
    <t>控股和重点投资公司法务风险管理 Legal risk management for controlled and key invested portfolios</t>
  </si>
  <si>
    <t xml:space="preserve">Meeting with portfolio's legal team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</si>
</sst>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8" xfId="0" applyFont="1" applyBorder="1">
      <alignment vertical="center"/>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0" fillId="0"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topLeftCell="B3" zoomScaleNormal="100" workbookViewId="0">
      <selection activeCell="I9" sqref="I9"/>
    </sheetView>
  </sheetViews>
  <sheetFormatPr defaultColWidth="9" defaultRowHeight="14.1" x14ac:dyDescent="0.5"/>
  <cols>
    <col min="2" max="2" width="10" bestFit="1"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s="37" customFormat="1" ht="25.2" x14ac:dyDescent="0.5">
      <c r="B4" s="31" t="s">
        <v>72</v>
      </c>
      <c r="C4" s="32" t="s">
        <v>14</v>
      </c>
      <c r="D4" s="33" t="s">
        <v>80</v>
      </c>
      <c r="E4" s="34" t="s">
        <v>40</v>
      </c>
      <c r="F4" s="32" t="s">
        <v>73</v>
      </c>
      <c r="G4" s="35">
        <v>1.5</v>
      </c>
      <c r="H4" s="32" t="s">
        <v>27</v>
      </c>
      <c r="I4" s="36" t="s">
        <v>75</v>
      </c>
    </row>
    <row r="5" spans="2:9" s="37" customFormat="1" ht="25.2" x14ac:dyDescent="0.5">
      <c r="B5" s="31" t="s">
        <v>72</v>
      </c>
      <c r="C5" s="32" t="s">
        <v>18</v>
      </c>
      <c r="D5" s="33"/>
      <c r="E5" s="34" t="s">
        <v>27</v>
      </c>
      <c r="F5" s="32"/>
      <c r="G5" s="35">
        <v>0.5</v>
      </c>
      <c r="H5" s="32" t="s">
        <v>27</v>
      </c>
      <c r="I5" s="36" t="s">
        <v>76</v>
      </c>
    </row>
    <row r="6" spans="2:9" ht="25.2" x14ac:dyDescent="0.5">
      <c r="B6" s="31" t="s">
        <v>72</v>
      </c>
      <c r="C6" s="12" t="s">
        <v>74</v>
      </c>
      <c r="D6" s="28"/>
      <c r="E6" s="34" t="s">
        <v>27</v>
      </c>
      <c r="F6" s="32"/>
      <c r="G6" s="27">
        <v>1.5</v>
      </c>
      <c r="H6" s="12" t="s">
        <v>27</v>
      </c>
      <c r="I6" s="29" t="s">
        <v>77</v>
      </c>
    </row>
    <row r="7" spans="2:9" ht="25.2" x14ac:dyDescent="0.5">
      <c r="B7" s="31" t="s">
        <v>72</v>
      </c>
      <c r="C7" s="12" t="s">
        <v>18</v>
      </c>
      <c r="D7" s="28"/>
      <c r="E7" s="8" t="s">
        <v>27</v>
      </c>
      <c r="F7" s="12"/>
      <c r="G7" s="27">
        <v>3</v>
      </c>
      <c r="H7" s="12" t="s">
        <v>24</v>
      </c>
      <c r="I7" s="29" t="s">
        <v>78</v>
      </c>
    </row>
    <row r="8" spans="2:9" ht="25.2" x14ac:dyDescent="0.5">
      <c r="B8" s="31" t="s">
        <v>72</v>
      </c>
      <c r="C8" s="12" t="s">
        <v>18</v>
      </c>
      <c r="D8" s="28"/>
      <c r="E8" s="8" t="s">
        <v>27</v>
      </c>
      <c r="F8" s="12"/>
      <c r="G8" s="27">
        <v>1</v>
      </c>
      <c r="H8" s="12" t="s">
        <v>27</v>
      </c>
      <c r="I8" s="29" t="s">
        <v>79</v>
      </c>
    </row>
    <row r="9" spans="2:9" ht="37.799999999999997" x14ac:dyDescent="0.5">
      <c r="B9" s="31" t="s">
        <v>72</v>
      </c>
      <c r="C9" s="12" t="s">
        <v>18</v>
      </c>
      <c r="D9" s="28"/>
      <c r="E9" s="8" t="s">
        <v>40</v>
      </c>
      <c r="F9" s="12" t="s">
        <v>81</v>
      </c>
      <c r="G9" s="27">
        <v>1.5</v>
      </c>
      <c r="H9" s="12" t="s">
        <v>27</v>
      </c>
      <c r="I9" s="29" t="s">
        <v>82</v>
      </c>
    </row>
    <row r="10" spans="2:9" x14ac:dyDescent="0.5">
      <c r="B10" s="14"/>
      <c r="C10" s="12"/>
      <c r="D10" s="8"/>
      <c r="E10" s="8"/>
      <c r="F10" s="12"/>
      <c r="G10" s="27"/>
      <c r="H10" s="12"/>
      <c r="I10" s="30"/>
    </row>
    <row r="11" spans="2:9" x14ac:dyDescent="0.5">
      <c r="B11" s="22"/>
      <c r="C11" s="23"/>
      <c r="D11" s="24"/>
      <c r="E11" s="24"/>
      <c r="F11" s="26" t="s">
        <v>67</v>
      </c>
      <c r="G11" s="41">
        <f>SUM(G3:G10)</f>
        <v>9</v>
      </c>
      <c r="H11" s="42"/>
      <c r="I11" s="43"/>
    </row>
    <row r="12" spans="2:9" ht="14.4" thickBot="1" x14ac:dyDescent="0.55000000000000004">
      <c r="B12" s="18"/>
      <c r="C12" s="19"/>
      <c r="D12" s="20"/>
      <c r="E12" s="20"/>
      <c r="F12" s="25" t="s">
        <v>68</v>
      </c>
      <c r="G12" s="38">
        <v>4</v>
      </c>
      <c r="H12" s="39"/>
      <c r="I12" s="40"/>
    </row>
    <row r="13" spans="2:9" ht="14.4" thickTop="1" x14ac:dyDescent="0.5"/>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C4:C12</xm:sqref>
        </x14:dataValidation>
        <x14:dataValidation type="list" allowBlank="1" showInputMessage="1" showErrorMessage="1" xr:uid="{00000000-0002-0000-0000-000003000000}">
          <x14:formula1>
            <xm:f>数据标签!$B$11:$D$11</xm:f>
          </x14:formula1>
          <xm:sqref>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E25" sqref="E25"/>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2025-04-08T10:31:36Z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