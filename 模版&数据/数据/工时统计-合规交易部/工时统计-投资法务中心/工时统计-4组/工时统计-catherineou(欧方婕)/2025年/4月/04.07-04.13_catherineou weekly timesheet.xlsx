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D2DDDE9E-DCE8-4D1F-BCC4-2EC4F6D4C8C3}"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<sst xmlns="http://schemas.openxmlformats.org/spreadsheetml/2006/main" count="180" uniqueCount="93">
  <si>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</si>
  <si>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</si>
  <si>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</si>
  <si>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</si>
  <si>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</si>
  <si>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</si>
  <si>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</si>
  <si>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</si>
  <si>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</si>
  <si>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</si>
  <si>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</si>
  <si>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</si>
  <si>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</si>
  <si>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</si>
  <si>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</si>
  <si>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</si>
  <si>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</si>
  <si>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</si>
  <si>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</si>
  <si>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</si>
  <si>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</si>
  <si>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</si>
  <si>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</si>
  <si>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</si>
  <si>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</si>
  <si>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</si>
  <si>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</si>
  <si>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</si>
  <si>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</si>
  <si>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</si>
  <si>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</si>
  <si>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</si>
  <si>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</si>
  <si>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</si>
  <si>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</si>
  <si>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</si>
  <si>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</si>
  <si>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</si>
  <si>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</si>
  <si>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</si>
  <si>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</si>
  <si>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</si>
  <si>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</si>
  <si>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</si>
  <si>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</si>
  <si>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</si>
  <si>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</si>
  <si>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</si>
  <si>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</si>
  <si>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</si>
  <si>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</si>
  <si>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</si>
  <si>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</si>
  <si>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</si>
  <si>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</si>
  <si>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</si>
  <si>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</si>
  <si>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</si>
  <si>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</si>
  <si>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</si>
  <si>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</si>
  <si>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</si>
  <si>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</si>
  <si>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</si>
  <si>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</si>
  <si>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</si>
  <si>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</si>
  <si>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</si>
  <si>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</si>
  <si>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</si>
  <si>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</si>
  <si>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</si>
  <si>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</si>
  <si>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</si>
  <si>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 xml:space="preserve"> SSV structuring related discussion and research</t>
    <phoneticPr fontId="7" type="noConversion"/>
  </si>
  <si>
    <t>精细化管理工具搭建 Adoption of refined management tools</t>
  </si>
  <si>
    <t>Recording/reviewing deals updates/weekly time reports/other team summaries</t>
  </si>
  <si>
    <t xml:space="preserve"> Reviewing consolidated ILC's timesheets, overview data and update the reporting materials</t>
    <phoneticPr fontId="7" type="noConversion"/>
  </si>
  <si>
    <t>Flipkart</t>
    <phoneticPr fontId="7" type="noConversion"/>
  </si>
  <si>
    <t>Catching up with Jia</t>
    <phoneticPr fontId="7" type="noConversion"/>
  </si>
  <si>
    <t>Discussing with Mandavi re the PN3 application</t>
    <phoneticPr fontId="7" type="noConversion"/>
  </si>
  <si>
    <t>优化Hotdesk和专家组制度 Optimization of Hotdesk and expert panel system</t>
  </si>
  <si>
    <t>Preparing the draft notice of new fund hotdesk; discussion with committee leadersre the follow-ups</t>
    <phoneticPr fontId="7" type="noConversion"/>
  </si>
  <si>
    <t>执业管理平台体系完善 Perfection of the professional management platform</t>
  </si>
  <si>
    <t xml:space="preserve"> Internal discussion re Scarlett's rotation arrangements; catching-up with Scarlett accordingly</t>
    <phoneticPr fontId="7" type="noConversion"/>
  </si>
  <si>
    <t xml:space="preserve"> Team meeting; bi-weekly management meeting; monthly management committee meeting; VOC-related discussion</t>
    <phoneticPr fontId="7" type="noConversion"/>
  </si>
  <si>
    <t>BVNK</t>
    <phoneticPr fontId="7" type="noConversion"/>
  </si>
  <si>
    <t>Internal discussion on deal status and staffing adjustment</t>
    <phoneticPr fontId="7" type="noConversion"/>
  </si>
  <si>
    <t>Sirius</t>
    <phoneticPr fontId="7" type="noConversion"/>
  </si>
  <si>
    <t>Kick off meeting and discussion on TS draft; internal discussion on the engagement of law firms</t>
    <phoneticPr fontId="7" type="noConversion"/>
  </si>
  <si>
    <t>控股和重点投资公司法务风险管理 Legal risk management for controlled and key invested portfolios</t>
  </si>
  <si>
    <t>Designing the online questionnaires for legal review of key portfolios</t>
    <phoneticPr fontId="7" type="noConversion"/>
  </si>
  <si>
    <t>Approving the payment of legal fees; responding to team members' queries re Q1 fee summary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</si>
</sst>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85" zoomScaleNormal="85" workbookViewId="0">
      <selection activeCell="I23" sqref="I23"/>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x14ac:dyDescent="0.45">
      <c r="B4" s="31" t="s">
        <v>73</v>
      </c>
      <c r="C4" s="24" t="s">
        <v>18</v>
      </c>
      <c r="D4" s="30"/>
      <c r="E4" s="25" t="s">
        <v>27</v>
      </c>
      <c r="F4" s="27"/>
      <c r="G4" s="29">
        <v>4</v>
      </c>
      <c r="H4" s="27" t="s">
        <v>27</v>
      </c>
      <c r="I4" s="28" t="s">
        <v>74</v>
      </c>
    </row>
    <row r="5" spans="2:9" ht="38" x14ac:dyDescent="0.45">
      <c r="B5" s="31" t="s">
        <v>73</v>
      </c>
      <c r="C5" s="24" t="s">
        <v>18</v>
      </c>
      <c r="D5" s="30"/>
      <c r="E5" s="25" t="s">
        <v>27</v>
      </c>
      <c r="F5" s="27"/>
      <c r="G5" s="29">
        <v>5.6</v>
      </c>
      <c r="H5" s="27" t="s">
        <v>24</v>
      </c>
      <c r="I5" s="28" t="s">
        <v>85</v>
      </c>
    </row>
    <row r="6" spans="2:9" ht="25.35" x14ac:dyDescent="0.45">
      <c r="B6" s="31" t="s">
        <v>73</v>
      </c>
      <c r="C6" s="24" t="s">
        <v>18</v>
      </c>
      <c r="D6" s="30"/>
      <c r="E6" s="25" t="s">
        <v>40</v>
      </c>
      <c r="F6" s="27" t="s">
        <v>75</v>
      </c>
      <c r="G6" s="29">
        <v>3</v>
      </c>
      <c r="H6" s="27" t="s">
        <v>76</v>
      </c>
      <c r="I6" s="28" t="s">
        <v>77</v>
      </c>
    </row>
    <row r="7" spans="2:9" ht="25.35" x14ac:dyDescent="0.45">
      <c r="B7" s="31" t="s">
        <v>73</v>
      </c>
      <c r="C7" s="24" t="s">
        <v>14</v>
      </c>
      <c r="D7" s="30" t="s">
        <v>78</v>
      </c>
      <c r="E7" s="25" t="s">
        <v>40</v>
      </c>
      <c r="F7" s="24" t="s">
        <v>72</v>
      </c>
      <c r="G7" s="26">
        <v>1.5</v>
      </c>
      <c r="H7" s="24" t="s">
        <v>32</v>
      </c>
      <c r="I7" s="28" t="s">
        <v>80</v>
      </c>
    </row>
    <row r="8" spans="2:9" ht="25.35" x14ac:dyDescent="0.45">
      <c r="B8" s="31" t="s">
        <v>73</v>
      </c>
      <c r="C8" s="24" t="s">
        <v>14</v>
      </c>
      <c r="D8" s="30" t="s">
        <v>86</v>
      </c>
      <c r="E8" s="25" t="s">
        <v>40</v>
      </c>
      <c r="F8" s="24" t="s">
        <v>72</v>
      </c>
      <c r="G8" s="26">
        <v>0.5</v>
      </c>
      <c r="H8" s="24" t="s">
        <v>27</v>
      </c>
      <c r="I8" s="28" t="s">
        <v>87</v>
      </c>
    </row>
    <row r="9" spans="2:9" ht="25.35" x14ac:dyDescent="0.45">
      <c r="B9" s="31" t="s">
        <v>73</v>
      </c>
      <c r="C9" s="24" t="s">
        <v>14</v>
      </c>
      <c r="D9" s="30" t="s">
        <v>88</v>
      </c>
      <c r="E9" s="25" t="s">
        <v>40</v>
      </c>
      <c r="F9" s="24" t="s">
        <v>72</v>
      </c>
      <c r="G9" s="26">
        <v>0.7</v>
      </c>
      <c r="H9" s="24" t="s">
        <v>20</v>
      </c>
      <c r="I9" s="28" t="s">
        <v>89</v>
      </c>
    </row>
    <row r="10" spans="2:9" x14ac:dyDescent="0.45">
      <c r="B10" s="31" t="s">
        <v>73</v>
      </c>
      <c r="C10" s="24" t="s">
        <v>18</v>
      </c>
      <c r="D10" s="30"/>
      <c r="E10" s="25" t="s">
        <v>27</v>
      </c>
      <c r="F10" s="24"/>
      <c r="G10" s="26">
        <v>0.5</v>
      </c>
      <c r="H10" s="24" t="s">
        <v>27</v>
      </c>
      <c r="I10" s="28" t="s">
        <v>79</v>
      </c>
    </row>
    <row r="11" spans="2:9" ht="38" x14ac:dyDescent="0.45">
      <c r="B11" s="31" t="s">
        <v>73</v>
      </c>
      <c r="C11" s="24" t="s">
        <v>18</v>
      </c>
      <c r="D11" s="30"/>
      <c r="E11" s="25" t="s">
        <v>40</v>
      </c>
      <c r="F11" s="24" t="s">
        <v>81</v>
      </c>
      <c r="G11" s="26">
        <v>1.5</v>
      </c>
      <c r="H11" s="24" t="s">
        <v>27</v>
      </c>
      <c r="I11" s="28" t="s">
        <v>82</v>
      </c>
    </row>
    <row r="12" spans="2:9" ht="25.35" x14ac:dyDescent="0.45">
      <c r="B12" s="31" t="s">
        <v>73</v>
      </c>
      <c r="C12" s="24" t="s">
        <v>18</v>
      </c>
      <c r="D12" s="30"/>
      <c r="E12" s="25" t="s">
        <v>40</v>
      </c>
      <c r="F12" s="24" t="s">
        <v>75</v>
      </c>
      <c r="G12" s="26">
        <v>2</v>
      </c>
      <c r="H12" s="24" t="s">
        <v>38</v>
      </c>
      <c r="I12" s="28" t="s">
        <v>92</v>
      </c>
    </row>
    <row r="13" spans="2:9" ht="38" x14ac:dyDescent="0.45">
      <c r="B13" s="31" t="s">
        <v>73</v>
      </c>
      <c r="C13" s="24" t="s">
        <v>18</v>
      </c>
      <c r="D13" s="30"/>
      <c r="E13" s="25" t="s">
        <v>40</v>
      </c>
      <c r="F13" s="24" t="s">
        <v>90</v>
      </c>
      <c r="G13" s="26">
        <v>3</v>
      </c>
      <c r="H13" s="24" t="s">
        <v>27</v>
      </c>
      <c r="I13" s="28" t="s">
        <v>91</v>
      </c>
    </row>
    <row r="14" spans="2:9" ht="38" x14ac:dyDescent="0.45">
      <c r="B14" s="31" t="s">
        <v>73</v>
      </c>
      <c r="C14" s="24" t="s">
        <v>18</v>
      </c>
      <c r="D14" s="30"/>
      <c r="E14" s="25" t="s">
        <v>40</v>
      </c>
      <c r="F14" s="24" t="s">
        <v>83</v>
      </c>
      <c r="G14" s="26">
        <v>1.5</v>
      </c>
      <c r="H14" s="24" t="s">
        <v>27</v>
      </c>
      <c r="I14" s="28" t="s">
        <v>84</v>
      </c>
    </row>
    <row r="15" spans="2:9" x14ac:dyDescent="0.45">
      <c r="B15" s="19"/>
      <c r="C15" s="20"/>
      <c r="D15" s="21"/>
      <c r="E15" s="21"/>
      <c r="F15" s="23" t="s">
        <v>67</v>
      </c>
      <c r="G15" s="35">
        <f>SUM(G3:G14)</f>
        <v>23.799999999999997</v>
      </c>
      <c r="H15" s="36"/>
      <c r="I15" s="37"/>
    </row>
    <row r="16" spans="2:9" ht="14.35" thickBot="1" x14ac:dyDescent="0.5">
      <c r="B16" s="15"/>
      <c r="C16" s="16"/>
      <c r="D16" s="17"/>
      <c r="E16" s="17"/>
      <c r="F16" s="22" t="s">
        <v>68</v>
      </c>
      <c r="G16" s="32">
        <v>5</v>
      </c>
      <c r="H16" s="33"/>
      <c r="I16" s="34"/>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2025-04-15T06:59:54Z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