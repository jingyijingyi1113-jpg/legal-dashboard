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AAA9BE1F-7828-4DEB-913E-8220FAFA94CD}"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<sst xmlns="http://schemas.openxmlformats.org/spreadsheetml/2006/main" count="187" uniqueCount="97">
  <si>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</si>
  <si>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</si>
  <si>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</si>
  <si>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</si>
  <si>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</si>
  <si>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</si>
  <si>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</si>
  <si>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</si>
  <si>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</si>
  <si>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</si>
  <si>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</si>
  <si>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</si>
  <si>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</si>
  <si>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</si>
  <si>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</si>
  <si>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</si>
  <si>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</si>
  <si>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</si>
  <si>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</si>
  <si>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</si>
  <si>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</si>
  <si>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</si>
  <si>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</si>
  <si>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</si>
  <si>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</si>
  <si>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</si>
  <si>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</si>
  <si>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</si>
  <si>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</si>
  <si>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</si>
  <si>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</si>
  <si>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</si>
  <si>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</si>
  <si>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</si>
  <si>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</si>
  <si>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</si>
  <si>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</si>
  <si>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</si>
  <si>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</si>
  <si>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</si>
  <si>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</si>
  <si>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</si>
  <si>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</si>
  <si>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</si>
  <si>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</si>
  <si>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</si>
  <si>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</si>
  <si>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</si>
  <si>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</si>
  <si>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</si>
  <si>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</si>
  <si>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</si>
  <si>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</si>
  <si>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</si>
  <si>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</si>
  <si>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</si>
  <si>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</si>
  <si>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</si>
  <si>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</si>
  <si>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</si>
  <si>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</si>
  <si>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</si>
  <si>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</si>
  <si>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</si>
  <si>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</si>
  <si>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</si>
  <si>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</si>
  <si>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</si>
  <si>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</si>
  <si>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</si>
  <si>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</si>
  <si>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</si>
  <si>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</si>
  <si>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catherineou</t>
    <phoneticPr fontId="7" type="noConversion"/>
  </si>
  <si>
    <t>Recording/reviewing deals updates/weekly time reports/other team summaries</t>
  </si>
  <si>
    <t>精细化管理工具搭建 Adoption of refined management tools</t>
  </si>
  <si>
    <t>敏感投资领域投资指引 Guidance for sensitive investment fields</t>
  </si>
  <si>
    <t>Public - Infrastructure &amp; Guidance</t>
  </si>
  <si>
    <t>境内外主体/办公室合规管理 Compliance management for domestic and overseas entities/offices</t>
  </si>
  <si>
    <t>国际监管趋势监测、预判 Monitoring and forecasting international regulatory trends</t>
  </si>
  <si>
    <t>神州医疗</t>
    <phoneticPr fontId="7" type="noConversion"/>
  </si>
  <si>
    <t>控股和重点投资公司法务风险管理 Legal risk management for controlled and key invested portfolios</t>
  </si>
  <si>
    <t>麓鹏制药</t>
    <phoneticPr fontId="7" type="noConversion"/>
  </si>
  <si>
    <t>CFIUS and DSP related analysis; discussion internally; reviewing Covington's email response</t>
    <phoneticPr fontId="7" type="noConversion"/>
  </si>
  <si>
    <t>Attending MA portfolio's review and relevant discussions</t>
    <phoneticPr fontId="7" type="noConversion"/>
  </si>
  <si>
    <t xml:space="preserve">Discussion with Ivy and Scarlett re the IPO status update; </t>
    <phoneticPr fontId="7" type="noConversion"/>
  </si>
  <si>
    <t>Discussion on CFIUS/DSP evaluation matrix form; discussion on recusal policy revisions</t>
    <phoneticPr fontId="7" type="noConversion"/>
  </si>
  <si>
    <t>Dream11</t>
    <phoneticPr fontId="7" type="noConversion"/>
  </si>
  <si>
    <t>Internal discussion on the regulatory change and potential imfluence</t>
    <phoneticPr fontId="7" type="noConversion"/>
  </si>
  <si>
    <t xml:space="preserve">Attending the discussion on the board resolutions and board meeting </t>
    <phoneticPr fontId="7" type="noConversion"/>
  </si>
  <si>
    <t>Relevant discussion on review meeting; internal communication with Jia and Mandavi</t>
    <phoneticPr fontId="7" type="noConversion"/>
  </si>
  <si>
    <t>Quino</t>
    <phoneticPr fontId="7" type="noConversion"/>
  </si>
  <si>
    <t>Reviewing the BP and discussing with SD business team for deal background</t>
    <phoneticPr fontId="7" type="noConversion"/>
  </si>
  <si>
    <t>Internally discussing with Alice, Jed, Erin and Annie re the Q2 fee summary and 2026 budget</t>
    <phoneticPr fontId="7" type="noConversion"/>
  </si>
  <si>
    <t>Deal staffing and relevant communications; catch-up call with Jed; internal discussion on visit plan with MA teams</t>
    <phoneticPr fontId="7" type="noConversion"/>
  </si>
  <si>
    <t>SSV structuring relevant discussions and follow-ups</t>
    <phoneticPr fontId="7" type="noConversion"/>
  </si>
  <si>
    <t>Relevant discussion related to the review meeting on key portfolios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</si>
</sst>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4" zoomScale="85" zoomScaleNormal="85" workbookViewId="0">
      <selection activeCell="K18" sqref="K18"/>
    </sheetView>
  </sheetViews>
  <sheetFormatPr defaultColWidth="9" defaultRowHeight="14" x14ac:dyDescent="0.45"/>
  <cols>
    <col min="2" max="2" width="12.46875" customWidth="1"/>
    <col min="3" max="3" width="34.41015625" style="11" customWidth="1"/>
    <col min="4" max="4" width="15.1171875" customWidth="1"/>
    <col min="5" max="5" width="10.52734375" customWidth="1"/>
    <col min="6" max="6" width="29.87890625" style="11" customWidth="1"/>
    <col min="8" max="8" width="41.52734375" style="11" customWidth="1"/>
    <col min="9" max="9" width="44.1171875" customWidth="1"/>
  </cols>
  <sheetData>
    <row r="2" spans="2:9" ht="25.35" x14ac:dyDescent="0.45">
      <c r="B2" s="4" t="s">
        <v>0</v>
      </c>
      <c r="C2" s="5" t="s">
        <v>70</v>
      </c>
      <c r="D2" s="5" t="s">
        <v>1</v>
      </c>
      <c r="E2" s="5" t="s">
        <v>2</v>
      </c>
      <c r="F2" s="5" t="s">
        <v>3</v>
      </c>
      <c r="G2" s="5" t="s">
        <v>4</v>
      </c>
      <c r="H2" s="5" t="s">
        <v>5</v>
      </c>
      <c r="I2" s="8" t="s">
        <v>6</v>
      </c>
    </row>
    <row r="3" spans="2:9" ht="208" customHeight="1" x14ac:dyDescent="0.45">
      <c r="B3" s="6" t="s">
        <v>7</v>
      </c>
      <c r="C3" s="7" t="s">
        <v>8</v>
      </c>
      <c r="D3" s="7" t="s">
        <v>9</v>
      </c>
      <c r="E3" s="7" t="s">
        <v>59</v>
      </c>
      <c r="F3" s="7" t="s">
        <v>57</v>
      </c>
      <c r="G3" s="7" t="s">
        <v>10</v>
      </c>
      <c r="H3" s="7" t="s">
        <v>11</v>
      </c>
      <c r="I3" s="9" t="s">
        <v>12</v>
      </c>
    </row>
    <row r="4" spans="2:9" ht="42.7" customHeight="1" x14ac:dyDescent="0.45">
      <c r="B4" s="29" t="s">
        <v>73</v>
      </c>
      <c r="C4" s="24" t="s">
        <v>18</v>
      </c>
      <c r="D4" s="28"/>
      <c r="E4" s="25" t="s">
        <v>40</v>
      </c>
      <c r="F4" s="24" t="s">
        <v>81</v>
      </c>
      <c r="G4" s="26">
        <v>22</v>
      </c>
      <c r="H4" s="24" t="s">
        <v>27</v>
      </c>
      <c r="I4" s="27" t="s">
        <v>84</v>
      </c>
    </row>
    <row r="5" spans="2:9" ht="40.700000000000003" customHeight="1" x14ac:dyDescent="0.45">
      <c r="B5" s="29" t="s">
        <v>73</v>
      </c>
      <c r="C5" s="24" t="s">
        <v>14</v>
      </c>
      <c r="D5" s="28" t="s">
        <v>82</v>
      </c>
      <c r="E5" s="25" t="s">
        <v>40</v>
      </c>
      <c r="F5" s="24" t="s">
        <v>72</v>
      </c>
      <c r="G5" s="26">
        <v>3</v>
      </c>
      <c r="H5" s="24" t="s">
        <v>25</v>
      </c>
      <c r="I5" s="27" t="s">
        <v>83</v>
      </c>
    </row>
    <row r="6" spans="2:9" ht="25.35" x14ac:dyDescent="0.45">
      <c r="B6" s="29" t="s">
        <v>73</v>
      </c>
      <c r="C6" s="24" t="s">
        <v>18</v>
      </c>
      <c r="D6" s="28"/>
      <c r="E6" s="25" t="s">
        <v>40</v>
      </c>
      <c r="F6" s="24" t="s">
        <v>75</v>
      </c>
      <c r="G6" s="26">
        <v>2</v>
      </c>
      <c r="H6" s="24" t="s">
        <v>74</v>
      </c>
      <c r="I6" s="27" t="s">
        <v>85</v>
      </c>
    </row>
    <row r="7" spans="2:9" ht="56.35" customHeight="1" x14ac:dyDescent="0.45">
      <c r="B7" s="29" t="s">
        <v>73</v>
      </c>
      <c r="C7" s="24" t="s">
        <v>77</v>
      </c>
      <c r="D7" s="28"/>
      <c r="E7" s="25" t="s">
        <v>40</v>
      </c>
      <c r="F7" s="24" t="s">
        <v>76</v>
      </c>
      <c r="G7" s="26">
        <v>2</v>
      </c>
      <c r="H7" s="24" t="s">
        <v>22</v>
      </c>
      <c r="I7" s="27" t="s">
        <v>86</v>
      </c>
    </row>
    <row r="8" spans="2:9" ht="25.35" x14ac:dyDescent="0.45">
      <c r="B8" s="29" t="s">
        <v>73</v>
      </c>
      <c r="C8" s="24" t="s">
        <v>18</v>
      </c>
      <c r="D8" s="28"/>
      <c r="E8" s="25" t="s">
        <v>27</v>
      </c>
      <c r="F8" s="24"/>
      <c r="G8" s="26">
        <v>3</v>
      </c>
      <c r="H8" s="24" t="s">
        <v>27</v>
      </c>
      <c r="I8" s="27" t="s">
        <v>94</v>
      </c>
    </row>
    <row r="9" spans="2:9" ht="59" customHeight="1" x14ac:dyDescent="0.45">
      <c r="B9" s="29" t="s">
        <v>73</v>
      </c>
      <c r="C9" s="24" t="s">
        <v>16</v>
      </c>
      <c r="D9" s="28" t="s">
        <v>87</v>
      </c>
      <c r="E9" s="25" t="s">
        <v>40</v>
      </c>
      <c r="F9" s="24" t="s">
        <v>79</v>
      </c>
      <c r="G9" s="26">
        <v>1</v>
      </c>
      <c r="H9" s="24" t="s">
        <v>27</v>
      </c>
      <c r="I9" s="27" t="s">
        <v>88</v>
      </c>
    </row>
    <row r="10" spans="2:9" ht="38" x14ac:dyDescent="0.45">
      <c r="B10" s="29" t="s">
        <v>73</v>
      </c>
      <c r="C10" s="24" t="s">
        <v>18</v>
      </c>
      <c r="D10" s="28"/>
      <c r="E10" s="25" t="s">
        <v>40</v>
      </c>
      <c r="F10" s="24" t="s">
        <v>81</v>
      </c>
      <c r="G10" s="26">
        <v>2</v>
      </c>
      <c r="H10" s="24"/>
      <c r="I10" s="27" t="s">
        <v>90</v>
      </c>
    </row>
    <row r="11" spans="2:9" ht="25.35" x14ac:dyDescent="0.45">
      <c r="B11" s="29" t="s">
        <v>73</v>
      </c>
      <c r="C11" s="24" t="s">
        <v>16</v>
      </c>
      <c r="D11" s="28" t="s">
        <v>80</v>
      </c>
      <c r="E11" s="25" t="s">
        <v>40</v>
      </c>
      <c r="F11" s="24" t="s">
        <v>72</v>
      </c>
      <c r="G11" s="26">
        <v>0.5</v>
      </c>
      <c r="H11" s="24" t="s">
        <v>20</v>
      </c>
      <c r="I11" s="27" t="s">
        <v>89</v>
      </c>
    </row>
    <row r="12" spans="2:9" ht="25.35" x14ac:dyDescent="0.45">
      <c r="B12" s="29" t="s">
        <v>73</v>
      </c>
      <c r="C12" s="24" t="s">
        <v>16</v>
      </c>
      <c r="D12" s="28" t="s">
        <v>91</v>
      </c>
      <c r="E12" s="25" t="s">
        <v>40</v>
      </c>
      <c r="F12" s="24" t="s">
        <v>72</v>
      </c>
      <c r="G12" s="26">
        <v>1</v>
      </c>
      <c r="H12" s="24" t="s">
        <v>36</v>
      </c>
      <c r="I12" s="27" t="s">
        <v>92</v>
      </c>
    </row>
    <row r="13" spans="2:9" ht="25.35" x14ac:dyDescent="0.45">
      <c r="B13" s="29" t="s">
        <v>73</v>
      </c>
      <c r="C13" s="24" t="s">
        <v>18</v>
      </c>
      <c r="D13" s="28"/>
      <c r="E13" s="25" t="s">
        <v>40</v>
      </c>
      <c r="F13" s="24" t="s">
        <v>75</v>
      </c>
      <c r="G13" s="26">
        <v>2</v>
      </c>
      <c r="H13" s="24" t="s">
        <v>38</v>
      </c>
      <c r="I13" s="27" t="s">
        <v>93</v>
      </c>
    </row>
    <row r="14" spans="2:9" ht="38" x14ac:dyDescent="0.45">
      <c r="B14" s="29" t="s">
        <v>73</v>
      </c>
      <c r="C14" s="24" t="s">
        <v>18</v>
      </c>
      <c r="D14" s="28"/>
      <c r="E14" s="25" t="s">
        <v>40</v>
      </c>
      <c r="F14" s="24" t="s">
        <v>81</v>
      </c>
      <c r="G14" s="26">
        <v>1.5</v>
      </c>
      <c r="H14" s="24" t="s">
        <v>74</v>
      </c>
      <c r="I14" s="27" t="s">
        <v>96</v>
      </c>
    </row>
    <row r="15" spans="2:9" ht="38" x14ac:dyDescent="0.45">
      <c r="B15" s="29" t="s">
        <v>73</v>
      </c>
      <c r="C15" s="24" t="s">
        <v>18</v>
      </c>
      <c r="D15" s="28"/>
      <c r="E15" s="25" t="s">
        <v>40</v>
      </c>
      <c r="F15" s="24" t="s">
        <v>78</v>
      </c>
      <c r="G15" s="26">
        <v>3.5</v>
      </c>
      <c r="H15" s="24"/>
      <c r="I15" s="27" t="s">
        <v>95</v>
      </c>
    </row>
    <row r="16" spans="2:9" x14ac:dyDescent="0.45">
      <c r="B16" s="19"/>
      <c r="C16" s="20"/>
      <c r="D16" s="21"/>
      <c r="E16" s="21"/>
      <c r="F16" s="23" t="s">
        <v>67</v>
      </c>
      <c r="G16" s="33">
        <f>SUM(G3:G15)</f>
        <v>43.5</v>
      </c>
      <c r="H16" s="34"/>
      <c r="I16" s="35"/>
    </row>
    <row r="17" spans="2:9" ht="14.35" thickBot="1" x14ac:dyDescent="0.5">
      <c r="B17" s="15"/>
      <c r="C17" s="16"/>
      <c r="D17" s="17"/>
      <c r="E17" s="17"/>
      <c r="F17" s="22" t="s">
        <v>68</v>
      </c>
      <c r="G17" s="30">
        <v>5</v>
      </c>
      <c r="H17" s="31"/>
      <c r="I17" s="32"/>
    </row>
    <row r="18" spans="2:9" ht="14.35" thickTop="1" x14ac:dyDescent="0.45"/>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4" workbookViewId="0">
      <selection activeCell="B19" sqref="B19"/>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2025-09-01T02:45:24Z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