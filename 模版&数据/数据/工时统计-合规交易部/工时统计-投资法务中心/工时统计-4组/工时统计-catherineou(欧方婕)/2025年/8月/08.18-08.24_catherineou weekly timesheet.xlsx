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5C5F17CA-22C6-4EFF-9596-24DA3245A3D0}" xr6:coauthVersionLast="47" xr6:coauthVersionMax="47" xr10:uidLastSave="{00000000-0000-0000-0000-000000000000}"/>
  <bookViews>
    <workbookView xWindow="-107" yWindow="-107" windowWidth="25814" windowHeight="14014"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<sst xmlns="http://schemas.openxmlformats.org/spreadsheetml/2006/main" count="197" uniqueCount="101">
  <si>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</si>
  <si>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</si>
  <si>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</si>
  <si>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</si>
  <si>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</si>
  <si>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</si>
  <si>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</si>
  <si>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</si>
  <si>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</si>
  <si>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</si>
  <si>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</si>
  <si>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</si>
  <si>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</si>
  <si>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</si>
  <si>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</si>
  <si>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</si>
  <si>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</si>
  <si>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</si>
  <si>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</si>
  <si>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</si>
  <si>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</si>
  <si>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</si>
  <si>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</si>
  <si>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</si>
  <si>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</si>
  <si>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</si>
  <si>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</si>
  <si>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</si>
  <si>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</si>
  <si>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</si>
  <si>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</si>
  <si>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</si>
  <si>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</si>
  <si>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</si>
  <si>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</si>
  <si>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</si>
  <si>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</si>
  <si>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</si>
  <si>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</si>
  <si>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</si>
  <si>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</si>
  <si>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</si>
  <si>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</si>
  <si>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</si>
  <si>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</si>
  <si>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</si>
  <si>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</si>
  <si>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</si>
  <si>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</si>
  <si>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</si>
  <si>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</si>
  <si>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</si>
  <si>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</si>
  <si>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</si>
  <si>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</si>
  <si>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</si>
  <si>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</si>
  <si>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</si>
  <si>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</si>
  <si>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</si>
  <si>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</si>
  <si>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</si>
  <si>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</si>
  <si>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</si>
  <si>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</si>
  <si>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</si>
  <si>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</si>
  <si>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</si>
  <si>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</si>
  <si>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</si>
  <si>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</si>
  <si>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</si>
  <si>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</si>
  <si>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</si>
  <si>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Recording/reviewing deals updates/weekly time reports/other team summaries</t>
  </si>
  <si>
    <t>精细化管理工具搭建 Adoption of refined management tools</t>
  </si>
  <si>
    <t>敏感投资领域投资指引 Guidance for sensitive investment fields</t>
  </si>
  <si>
    <t>国际业务(投资)监管应对Interaction with regulators for international investments</t>
  </si>
  <si>
    <t>Public - Infrastructure &amp; Guidance</t>
  </si>
  <si>
    <t>Project Manhattan</t>
    <phoneticPr fontId="7" type="noConversion"/>
  </si>
  <si>
    <t>境内外主体/办公室合规管理 Compliance management for domestic and overseas entities/offices</t>
  </si>
  <si>
    <t>控股和重点投资公司法务风险管理 Legal risk management for controlled and key invested portfolios</t>
  </si>
  <si>
    <t>Discussing on the recusal policy wording revisions</t>
    <phoneticPr fontId="7" type="noConversion"/>
  </si>
  <si>
    <t>Discussing with MA ops team re the PD support mailbox for highly sensitive deals</t>
    <phoneticPr fontId="7" type="noConversion"/>
  </si>
  <si>
    <t>Discussing with Scarlett re the visible presentation of IPO deal status</t>
    <phoneticPr fontId="7" type="noConversion"/>
  </si>
  <si>
    <t>Coordinating on the AML review materials</t>
    <phoneticPr fontId="7" type="noConversion"/>
  </si>
  <si>
    <t>Reviewing the revised PPT of SSV structuring issued by treasury team and discussing with tax team for further plan</t>
    <phoneticPr fontId="7" type="noConversion"/>
  </si>
  <si>
    <t>Preparing and attending the update call with ILC for the steps going forward</t>
    <phoneticPr fontId="7" type="noConversion"/>
  </si>
  <si>
    <t>Neo Finance</t>
    <phoneticPr fontId="7" type="noConversion"/>
  </si>
  <si>
    <t>Attending the call with legal team and longview re the future steps</t>
    <phoneticPr fontId="7" type="noConversion"/>
  </si>
  <si>
    <t>Mgmt matters; reverting responses to Chambers awards; internal discussion on the split of FDD and legal fees in the case of company reinbursement</t>
    <phoneticPr fontId="7" type="noConversion"/>
  </si>
  <si>
    <t>Fund of One</t>
    <phoneticPr fontId="7" type="noConversion"/>
  </si>
  <si>
    <t>GoStudent</t>
    <phoneticPr fontId="7" type="noConversion"/>
  </si>
  <si>
    <t>资本市场、投融资活动创新突破 Innovative breakthroughs in investments and capital market transactions</t>
  </si>
  <si>
    <t xml:space="preserve">Discussing on the consolidation of FO1 structures with anti-trust team.  </t>
    <phoneticPr fontId="7" type="noConversion"/>
  </si>
  <si>
    <t>麓鹏制药</t>
    <phoneticPr fontId="7" type="noConversion"/>
  </si>
  <si>
    <t>Notarization of POA related matters</t>
    <phoneticPr fontId="7" type="noConversion"/>
  </si>
  <si>
    <t>Internal discussion</t>
    <phoneticPr fontId="7" type="noConversion"/>
  </si>
  <si>
    <t>Deal staffing and others</t>
    <phoneticPr fontId="7" type="noConversion"/>
  </si>
  <si>
    <t>Public - Knowledge Accumulation &amp; Sharing</t>
  </si>
  <si>
    <t>Communication with Rui re urgent matters; relevant internal discussion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</si>
</sst>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xf numFmtId="0" fontId="1" fillId="0" borderId="3" xfId="0" applyFont="1" applyBorder="1">
      <alignment vertical="center"/>
    </xf>
    <xf numFmtId="0" fontId="1" fillId="0" borderId="4" xfId="0" applyFont="1" applyBorder="1" applyAlignment="1">
      <alignment vertical="center" wrapText="1"/>
    </xf>
    <xf numFmtId="0" fontId="9" fillId="0" borderId="4" xfId="0" applyFont="1" applyBorder="1" applyAlignment="1">
      <alignment vertical="center" wrapText="1"/>
    </xf>
    <xf numFmtId="0" fontId="1" fillId="0" borderId="4" xfId="0" applyFont="1" applyBorder="1">
      <alignment vertical="center"/>
    </xf>
    <xf numFmtId="176" fontId="1" fillId="0" borderId="4" xfId="0" applyNumberFormat="1" applyFont="1" applyBorder="1">
      <alignment vertical="center"/>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6" zoomScale="85" zoomScaleNormal="85" workbookViewId="0">
      <selection activeCell="H24" sqref="H24"/>
    </sheetView>
  </sheetViews>
  <sheetFormatPr defaultColWidth="9" defaultRowHeight="14" x14ac:dyDescent="0.45"/>
  <cols>
    <col min="2" max="2" width="12.46875" customWidth="1"/>
    <col min="3" max="3" width="34.41015625" style="11" customWidth="1"/>
    <col min="4" max="4" width="15.1171875" customWidth="1"/>
    <col min="5" max="5" width="10.52734375" customWidth="1"/>
    <col min="6" max="6" width="29.87890625" style="11" customWidth="1"/>
    <col min="8" max="8" width="41.52734375" style="11" customWidth="1"/>
    <col min="9" max="9" width="44.1171875" customWidth="1"/>
  </cols>
  <sheetData>
    <row r="2" spans="2:9" ht="25.35" x14ac:dyDescent="0.45">
      <c r="B2" s="4" t="s">
        <v>0</v>
      </c>
      <c r="C2" s="5" t="s">
        <v>70</v>
      </c>
      <c r="D2" s="5" t="s">
        <v>1</v>
      </c>
      <c r="E2" s="5" t="s">
        <v>2</v>
      </c>
      <c r="F2" s="5" t="s">
        <v>3</v>
      </c>
      <c r="G2" s="5" t="s">
        <v>4</v>
      </c>
      <c r="H2" s="5" t="s">
        <v>5</v>
      </c>
      <c r="I2" s="8" t="s">
        <v>6</v>
      </c>
    </row>
    <row r="3" spans="2:9" ht="208" customHeight="1" x14ac:dyDescent="0.45">
      <c r="B3" s="6" t="s">
        <v>7</v>
      </c>
      <c r="C3" s="7" t="s">
        <v>8</v>
      </c>
      <c r="D3" s="7" t="s">
        <v>9</v>
      </c>
      <c r="E3" s="7" t="s">
        <v>59</v>
      </c>
      <c r="F3" s="7" t="s">
        <v>57</v>
      </c>
      <c r="G3" s="7" t="s">
        <v>10</v>
      </c>
      <c r="H3" s="7" t="s">
        <v>11</v>
      </c>
      <c r="I3" s="9" t="s">
        <v>12</v>
      </c>
    </row>
    <row r="4" spans="2:9" ht="42.7" customHeight="1" x14ac:dyDescent="0.45">
      <c r="B4" s="29" t="s">
        <v>73</v>
      </c>
      <c r="C4" s="24" t="s">
        <v>78</v>
      </c>
      <c r="D4" s="28"/>
      <c r="E4" s="25" t="s">
        <v>27</v>
      </c>
      <c r="F4" s="24"/>
      <c r="G4" s="26">
        <v>2.2000000000000002</v>
      </c>
      <c r="H4" s="24" t="s">
        <v>22</v>
      </c>
      <c r="I4" s="27" t="s">
        <v>83</v>
      </c>
    </row>
    <row r="5" spans="2:9" ht="40.700000000000003" customHeight="1" x14ac:dyDescent="0.45">
      <c r="B5" s="29" t="s">
        <v>73</v>
      </c>
      <c r="C5" s="24" t="s">
        <v>16</v>
      </c>
      <c r="D5" s="28" t="s">
        <v>79</v>
      </c>
      <c r="E5" s="25" t="s">
        <v>40</v>
      </c>
      <c r="F5" s="24" t="s">
        <v>72</v>
      </c>
      <c r="G5" s="26">
        <v>2.5</v>
      </c>
      <c r="H5" s="24" t="s">
        <v>27</v>
      </c>
      <c r="I5" s="27" t="s">
        <v>85</v>
      </c>
    </row>
    <row r="6" spans="2:9" ht="25.35" x14ac:dyDescent="0.45">
      <c r="B6" s="29" t="s">
        <v>73</v>
      </c>
      <c r="C6" s="24" t="s">
        <v>18</v>
      </c>
      <c r="D6" s="28"/>
      <c r="E6" s="25" t="s">
        <v>40</v>
      </c>
      <c r="F6" s="24" t="s">
        <v>75</v>
      </c>
      <c r="G6" s="26">
        <v>1</v>
      </c>
      <c r="H6" s="24" t="s">
        <v>74</v>
      </c>
      <c r="I6" s="27" t="s">
        <v>84</v>
      </c>
    </row>
    <row r="7" spans="2:9" ht="56.35" customHeight="1" x14ac:dyDescent="0.45">
      <c r="B7" s="29" t="s">
        <v>73</v>
      </c>
      <c r="C7" s="24" t="s">
        <v>18</v>
      </c>
      <c r="D7" s="28"/>
      <c r="E7" s="25" t="s">
        <v>40</v>
      </c>
      <c r="F7" s="24" t="s">
        <v>80</v>
      </c>
      <c r="G7" s="26">
        <v>2</v>
      </c>
      <c r="H7" s="24" t="s">
        <v>27</v>
      </c>
      <c r="I7" s="27" t="s">
        <v>86</v>
      </c>
    </row>
    <row r="8" spans="2:9" ht="38" x14ac:dyDescent="0.45">
      <c r="B8" s="29" t="s">
        <v>73</v>
      </c>
      <c r="C8" s="24" t="s">
        <v>18</v>
      </c>
      <c r="D8" s="28"/>
      <c r="E8" s="25" t="s">
        <v>40</v>
      </c>
      <c r="F8" s="24" t="s">
        <v>81</v>
      </c>
      <c r="G8" s="26">
        <v>2</v>
      </c>
      <c r="H8" s="24" t="s">
        <v>74</v>
      </c>
      <c r="I8" s="27" t="s">
        <v>87</v>
      </c>
    </row>
    <row r="9" spans="2:9" ht="59" customHeight="1" x14ac:dyDescent="0.45">
      <c r="B9" s="29" t="s">
        <v>73</v>
      </c>
      <c r="C9" s="24" t="s">
        <v>78</v>
      </c>
      <c r="D9" s="28"/>
      <c r="E9" s="25" t="s">
        <v>40</v>
      </c>
      <c r="F9" s="24" t="s">
        <v>76</v>
      </c>
      <c r="G9" s="26">
        <v>0.5</v>
      </c>
      <c r="H9" s="24" t="s">
        <v>22</v>
      </c>
      <c r="I9" s="27" t="s">
        <v>82</v>
      </c>
    </row>
    <row r="10" spans="2:9" ht="38" x14ac:dyDescent="0.45">
      <c r="B10" s="29" t="s">
        <v>73</v>
      </c>
      <c r="C10" s="24" t="s">
        <v>16</v>
      </c>
      <c r="D10" s="28" t="s">
        <v>88</v>
      </c>
      <c r="E10" s="25" t="s">
        <v>40</v>
      </c>
      <c r="F10" s="24" t="s">
        <v>77</v>
      </c>
      <c r="G10" s="26">
        <v>1</v>
      </c>
      <c r="H10" s="24" t="s">
        <v>32</v>
      </c>
      <c r="I10" s="27" t="s">
        <v>89</v>
      </c>
    </row>
    <row r="11" spans="2:9" ht="38" x14ac:dyDescent="0.45">
      <c r="B11" s="29" t="s">
        <v>73</v>
      </c>
      <c r="C11" s="24" t="s">
        <v>18</v>
      </c>
      <c r="D11" s="28"/>
      <c r="E11" s="25" t="s">
        <v>27</v>
      </c>
      <c r="F11" s="24"/>
      <c r="G11" s="26">
        <v>2</v>
      </c>
      <c r="H11" s="24" t="s">
        <v>27</v>
      </c>
      <c r="I11" s="27" t="s">
        <v>90</v>
      </c>
    </row>
    <row r="12" spans="2:9" x14ac:dyDescent="0.45">
      <c r="B12" s="29" t="s">
        <v>73</v>
      </c>
      <c r="C12" s="24" t="s">
        <v>18</v>
      </c>
      <c r="D12" s="28"/>
      <c r="E12" s="25" t="s">
        <v>27</v>
      </c>
      <c r="F12" s="24"/>
      <c r="G12" s="26">
        <v>2</v>
      </c>
      <c r="H12" s="24" t="s">
        <v>27</v>
      </c>
      <c r="I12" s="27" t="s">
        <v>98</v>
      </c>
    </row>
    <row r="13" spans="2:9" ht="50.7" x14ac:dyDescent="0.45">
      <c r="B13" s="29" t="s">
        <v>73</v>
      </c>
      <c r="C13" s="24" t="s">
        <v>14</v>
      </c>
      <c r="D13" s="28" t="s">
        <v>91</v>
      </c>
      <c r="E13" s="25" t="s">
        <v>40</v>
      </c>
      <c r="F13" s="24" t="s">
        <v>93</v>
      </c>
      <c r="G13" s="26">
        <v>0.3</v>
      </c>
      <c r="H13" s="24" t="s">
        <v>36</v>
      </c>
      <c r="I13" s="27" t="s">
        <v>94</v>
      </c>
    </row>
    <row r="14" spans="2:9" ht="25.35" x14ac:dyDescent="0.45">
      <c r="B14" s="36" t="s">
        <v>73</v>
      </c>
      <c r="C14" s="37" t="s">
        <v>14</v>
      </c>
      <c r="D14" s="38" t="s">
        <v>95</v>
      </c>
      <c r="E14" s="39" t="s">
        <v>40</v>
      </c>
      <c r="F14" s="37" t="s">
        <v>72</v>
      </c>
      <c r="G14" s="40">
        <v>0.5</v>
      </c>
      <c r="H14" s="37" t="s">
        <v>25</v>
      </c>
      <c r="I14" s="41" t="s">
        <v>97</v>
      </c>
    </row>
    <row r="15" spans="2:9" ht="25.35" x14ac:dyDescent="0.45">
      <c r="B15" s="29" t="s">
        <v>73</v>
      </c>
      <c r="C15" s="24" t="s">
        <v>18</v>
      </c>
      <c r="D15" s="28"/>
      <c r="E15" s="25" t="s">
        <v>27</v>
      </c>
      <c r="F15" s="24"/>
      <c r="G15" s="26">
        <v>3</v>
      </c>
      <c r="H15" s="24" t="s">
        <v>27</v>
      </c>
      <c r="I15" s="27" t="s">
        <v>100</v>
      </c>
    </row>
    <row r="16" spans="2:9" ht="30" customHeight="1" x14ac:dyDescent="0.45">
      <c r="B16" s="36" t="s">
        <v>73</v>
      </c>
      <c r="C16" s="24" t="s">
        <v>99</v>
      </c>
      <c r="D16" s="38"/>
      <c r="E16" s="25" t="s">
        <v>27</v>
      </c>
      <c r="F16" s="37"/>
      <c r="G16" s="40">
        <v>2</v>
      </c>
      <c r="H16" s="37" t="s">
        <v>34</v>
      </c>
      <c r="I16" s="41"/>
    </row>
    <row r="17" spans="2:9" ht="25.35" x14ac:dyDescent="0.45">
      <c r="B17" s="29" t="s">
        <v>73</v>
      </c>
      <c r="C17" s="24" t="s">
        <v>16</v>
      </c>
      <c r="D17" s="28" t="s">
        <v>92</v>
      </c>
      <c r="E17" s="25" t="s">
        <v>40</v>
      </c>
      <c r="F17" s="24" t="s">
        <v>72</v>
      </c>
      <c r="G17" s="26">
        <v>2</v>
      </c>
      <c r="H17" s="24" t="s">
        <v>20</v>
      </c>
      <c r="I17" s="27" t="s">
        <v>96</v>
      </c>
    </row>
    <row r="18" spans="2:9" x14ac:dyDescent="0.45">
      <c r="B18" s="19"/>
      <c r="C18" s="20"/>
      <c r="D18" s="21"/>
      <c r="E18" s="21"/>
      <c r="F18" s="23" t="s">
        <v>67</v>
      </c>
      <c r="G18" s="33">
        <f>SUM(G3:G17)</f>
        <v>23</v>
      </c>
      <c r="H18" s="34"/>
      <c r="I18" s="35"/>
    </row>
    <row r="19" spans="2:9" ht="14.35" thickBot="1" x14ac:dyDescent="0.5">
      <c r="B19" s="15"/>
      <c r="C19" s="16"/>
      <c r="D19" s="17"/>
      <c r="E19" s="17"/>
      <c r="F19" s="22" t="s">
        <v>68</v>
      </c>
      <c r="G19" s="30">
        <v>4</v>
      </c>
      <c r="H19" s="31"/>
      <c r="I19" s="32"/>
    </row>
    <row r="20" spans="2:9" ht="14.35" thickTop="1" x14ac:dyDescent="0.4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 E15:E19</xm:sqref>
        </x14:dataValidation>
        <x14:dataValidation type="list" allowBlank="1" showInputMessage="1" showErrorMessage="1" xr:uid="{00000000-0002-0000-0000-000002000000}">
          <x14:formula1>
            <xm:f>数据标签!$B$2:$H$2</xm:f>
          </x14:formula1>
          <xm:sqref>C4:C13 C15:C19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B19" sqref="B19"/>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2025-09-01T11:42:07Z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