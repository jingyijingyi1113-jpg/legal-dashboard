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53D4B0C5-A883-4EEB-A844-9836A93CC781}"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<sst xmlns="http://schemas.openxmlformats.org/spreadsheetml/2006/main" count="146" uniqueCount="84">
  <si>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</si>
  <si>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</si>
  <si>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</si>
  <si>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</si>
  <si>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</si>
  <si>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</si>
  <si>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</si>
  <si>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</si>
  <si>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</si>
  <si>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</si>
  <si>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</si>
  <si>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</si>
  <si>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</si>
  <si>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</si>
  <si>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</si>
  <si>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</si>
  <si>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</si>
  <si>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</si>
  <si>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</si>
  <si>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</si>
  <si>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</si>
  <si>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</si>
  <si>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</si>
  <si>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</si>
  <si>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</si>
  <si>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</si>
  <si>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</si>
  <si>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</si>
  <si>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</si>
  <si>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</si>
  <si>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</si>
  <si>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</si>
  <si>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</si>
  <si>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</si>
  <si>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</si>
  <si>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</si>
  <si>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</si>
  <si>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</si>
  <si>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</si>
  <si>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</si>
  <si>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</si>
  <si>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</si>
  <si>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</si>
  <si>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</si>
  <si>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</si>
  <si>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</si>
  <si>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</si>
  <si>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</si>
  <si>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</si>
  <si>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</si>
  <si>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</si>
  <si>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</si>
  <si>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</si>
  <si>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</si>
  <si>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</si>
  <si>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</si>
  <si>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</si>
  <si>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</si>
  <si>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</si>
  <si>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</si>
  <si>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</si>
  <si>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</si>
  <si>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</si>
  <si>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</si>
  <si>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</si>
  <si>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</si>
  <si>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</si>
  <si>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</si>
  <si>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</si>
  <si>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</si>
  <si>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</si>
  <si>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</si>
  <si>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</si>
  <si>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投资项目全流程法务支持 Full-process legal support for investments</t>
  </si>
  <si>
    <t>Project Manhattan</t>
    <phoneticPr fontId="7" type="noConversion"/>
  </si>
  <si>
    <t>Public - Infrastructure &amp; Guidance</t>
  </si>
  <si>
    <t>Public - Knowledge Accumulation &amp; Sharing</t>
  </si>
  <si>
    <t>敏感投资领域投资指引 Guidance for sensitive investment fields</t>
  </si>
  <si>
    <t>Discussing with CC re the alternative structures for FOF investments; internal discussion</t>
    <phoneticPr fontId="7" type="noConversion"/>
  </si>
  <si>
    <t>Discussing with DPW</t>
    <phoneticPr fontId="7" type="noConversion"/>
  </si>
  <si>
    <t>Discussing with FIN and TAX re the domestic investment structure and entities</t>
    <phoneticPr fontId="7" type="noConversion"/>
  </si>
  <si>
    <t>Reviewing and revising the translation of report PPT</t>
    <phoneticPr fontId="7" type="noConversion"/>
  </si>
  <si>
    <t>控股和重点投资公司法务风险管理 Legal risk management for controlled and key invested portfolios</t>
  </si>
  <si>
    <t>Combining key portfolios list and preparing the overview</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</si>
</sst>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B1" zoomScaleNormal="100" workbookViewId="0">
      <selection activeCell="G16" sqref="G16"/>
    </sheetView>
  </sheetViews>
  <sheetFormatPr defaultColWidth="9" defaultRowHeight="14.1" x14ac:dyDescent="0.5"/>
  <cols>
    <col min="2" max="2" width="10" bestFit="1" customWidth="1"/>
    <col min="3" max="3" width="34.3984375" style="14" customWidth="1"/>
    <col min="4" max="4" width="15.09765625" customWidth="1"/>
    <col min="5" max="5" width="10.59765625" customWidth="1"/>
    <col min="6" max="6" width="29.8984375" style="14" customWidth="1"/>
    <col min="8" max="8" width="41.59765625" style="14" customWidth="1"/>
    <col min="9" max="9" width="39.796875" customWidth="1"/>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ht="25.2" x14ac:dyDescent="0.5">
      <c r="B4" s="15" t="s">
        <v>72</v>
      </c>
      <c r="C4" s="13" t="s">
        <v>76</v>
      </c>
      <c r="D4" s="29"/>
      <c r="E4" s="8" t="s">
        <v>40</v>
      </c>
      <c r="F4" s="13" t="s">
        <v>77</v>
      </c>
      <c r="G4" s="28">
        <v>3</v>
      </c>
      <c r="H4" s="13" t="s">
        <v>27</v>
      </c>
      <c r="I4" s="30" t="s">
        <v>78</v>
      </c>
    </row>
    <row r="5" spans="2:9" ht="25.2" x14ac:dyDescent="0.5">
      <c r="B5" s="15" t="s">
        <v>72</v>
      </c>
      <c r="C5" s="13" t="s">
        <v>14</v>
      </c>
      <c r="D5" s="29" t="s">
        <v>74</v>
      </c>
      <c r="E5" s="8" t="s">
        <v>40</v>
      </c>
      <c r="F5" s="13" t="s">
        <v>73</v>
      </c>
      <c r="G5" s="28">
        <v>0.5</v>
      </c>
      <c r="H5" s="13" t="s">
        <v>36</v>
      </c>
      <c r="I5" s="30" t="s">
        <v>79</v>
      </c>
    </row>
    <row r="6" spans="2:9" ht="25.2" x14ac:dyDescent="0.5">
      <c r="B6" s="15" t="s">
        <v>72</v>
      </c>
      <c r="C6" s="13" t="s">
        <v>18</v>
      </c>
      <c r="D6" s="8"/>
      <c r="E6" s="8" t="s">
        <v>27</v>
      </c>
      <c r="F6" s="13"/>
      <c r="G6" s="28">
        <v>2.5</v>
      </c>
      <c r="H6" s="13"/>
      <c r="I6" s="30" t="s">
        <v>80</v>
      </c>
    </row>
    <row r="7" spans="2:9" x14ac:dyDescent="0.5">
      <c r="B7" s="15" t="s">
        <v>72</v>
      </c>
      <c r="C7" s="13" t="s">
        <v>18</v>
      </c>
      <c r="D7" s="8"/>
      <c r="E7" s="8" t="s">
        <v>27</v>
      </c>
      <c r="F7" s="13"/>
      <c r="G7" s="28">
        <v>3.5</v>
      </c>
      <c r="H7" s="13" t="s">
        <v>24</v>
      </c>
      <c r="I7" s="11"/>
    </row>
    <row r="8" spans="2:9" ht="37.799999999999997" x14ac:dyDescent="0.5">
      <c r="B8" s="15" t="s">
        <v>72</v>
      </c>
      <c r="C8" s="13" t="s">
        <v>75</v>
      </c>
      <c r="D8" s="8"/>
      <c r="E8" s="8" t="s">
        <v>40</v>
      </c>
      <c r="F8" s="13" t="s">
        <v>82</v>
      </c>
      <c r="G8" s="28">
        <v>2</v>
      </c>
      <c r="H8" s="13" t="s">
        <v>27</v>
      </c>
      <c r="I8" s="30" t="s">
        <v>83</v>
      </c>
    </row>
    <row r="9" spans="2:9" x14ac:dyDescent="0.5">
      <c r="B9" s="15" t="s">
        <v>72</v>
      </c>
      <c r="C9" s="13" t="s">
        <v>18</v>
      </c>
      <c r="D9" s="8"/>
      <c r="E9" s="8" t="s">
        <v>27</v>
      </c>
      <c r="F9" s="13"/>
      <c r="G9" s="28">
        <v>3</v>
      </c>
      <c r="H9" s="13" t="s">
        <v>27</v>
      </c>
      <c r="I9" s="30" t="s">
        <v>81</v>
      </c>
    </row>
    <row r="10" spans="2:9" x14ac:dyDescent="0.5">
      <c r="B10" s="23"/>
      <c r="C10" s="24"/>
      <c r="D10" s="25"/>
      <c r="E10" s="25"/>
      <c r="F10" s="27" t="s">
        <v>67</v>
      </c>
      <c r="G10" s="34">
        <f>SUM(G3:G9)</f>
        <v>14.5</v>
      </c>
      <c r="H10" s="35"/>
      <c r="I10" s="36"/>
    </row>
    <row r="11" spans="2:9" ht="14.4" thickBot="1" x14ac:dyDescent="0.55000000000000004">
      <c r="B11" s="19"/>
      <c r="C11" s="20"/>
      <c r="D11" s="21"/>
      <c r="E11" s="21"/>
      <c r="F11" s="26" t="s">
        <v>68</v>
      </c>
      <c r="G11" s="31">
        <v>5</v>
      </c>
      <c r="H11" s="32"/>
      <c r="I11" s="33"/>
    </row>
    <row r="12" spans="2:9" ht="14.4" thickTop="1" x14ac:dyDescent="0.5"/>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2025-03-07T08:00:16Z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