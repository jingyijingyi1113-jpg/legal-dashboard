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450F7645-9B4E-419F-BFF9-1FA0A5626D48}"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<sst xmlns="http://schemas.openxmlformats.org/spreadsheetml/2006/main" count="176" uniqueCount="95">
  <si>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</si>
  <si>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</si>
  <si>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</si>
  <si>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</si>
  <si>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</si>
  <si>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</si>
  <si>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</si>
  <si>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</si>
  <si>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</si>
  <si>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</si>
  <si>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</si>
  <si>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</si>
  <si>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</si>
  <si>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</si>
  <si>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</si>
  <si>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</si>
  <si>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</si>
  <si>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</si>
  <si>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</si>
  <si>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</si>
  <si>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</si>
  <si>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</si>
  <si>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</si>
  <si>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</si>
  <si>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</si>
  <si>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</si>
  <si>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</si>
  <si>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</si>
  <si>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</si>
  <si>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</si>
  <si>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</si>
  <si>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</si>
  <si>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</si>
  <si>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</si>
  <si>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</si>
  <si>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</si>
  <si>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</si>
  <si>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</si>
  <si>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</si>
  <si>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</si>
  <si>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</si>
  <si>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</si>
  <si>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</si>
  <si>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</si>
  <si>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</si>
  <si>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</si>
  <si>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</si>
  <si>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</si>
  <si>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</si>
  <si>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</si>
  <si>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</si>
  <si>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</si>
  <si>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</si>
  <si>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</si>
  <si>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</si>
  <si>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</si>
  <si>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</si>
  <si>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</si>
  <si>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</si>
  <si>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</si>
  <si>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</si>
  <si>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</si>
  <si>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</si>
  <si>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</si>
  <si>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</si>
  <si>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</si>
  <si>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</si>
  <si>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</si>
  <si>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</si>
  <si>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</si>
  <si>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</si>
  <si>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</si>
  <si>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</si>
  <si>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控股和重点投资公司法务风险管理 Legal risk management for controlled and key invested portfolios</t>
  </si>
  <si>
    <t>catherineou</t>
    <phoneticPr fontId="7" type="noConversion"/>
  </si>
  <si>
    <t>Fund of One</t>
    <phoneticPr fontId="7" type="noConversion"/>
  </si>
  <si>
    <t>敏感投资领域投资指引 Guidance for sensitive investment fields</t>
  </si>
  <si>
    <t>Public - Knowledge Accumulation &amp; Sharing</t>
  </si>
  <si>
    <t>执业管理平台体系完善 Perfection of the professional management platform</t>
  </si>
  <si>
    <t>精细化管理工具搭建 Adoption of refined management tools</t>
  </si>
  <si>
    <t>境内外主体/办公室合规管理 Compliance management for domestic and overseas entities/offices</t>
  </si>
  <si>
    <t>Providing training sessions/knowledge sharing</t>
  </si>
  <si>
    <t>Coordinating on the sharing session re Indian portfolio cases study; reviewing and revising the outlines</t>
    <phoneticPr fontId="7" type="noConversion"/>
  </si>
  <si>
    <t>燧原科技</t>
    <phoneticPr fontId="7" type="noConversion"/>
  </si>
  <si>
    <t>Project Manhattan</t>
    <phoneticPr fontId="7" type="noConversion"/>
  </si>
  <si>
    <t>Attending the sharing session: 腾讯视频综艺业务的突破之路</t>
    <phoneticPr fontId="7" type="noConversion"/>
  </si>
  <si>
    <t>Various matters re the change to security account and fund's administrator</t>
    <phoneticPr fontId="7" type="noConversion"/>
  </si>
  <si>
    <t>Internal communications re incorporation of SSV entities and relevant approval procedures</t>
    <phoneticPr fontId="7" type="noConversion"/>
  </si>
  <si>
    <t xml:space="preserve">Discussing with Charissa re the pre-deal CFIUS assessment on a pharma company </t>
    <phoneticPr fontId="7" type="noConversion"/>
  </si>
  <si>
    <t>Attending the con call with potential partner and discussing on the draft TS; relevant internal discussions on CFIUS-related points</t>
    <phoneticPr fontId="7" type="noConversion"/>
  </si>
  <si>
    <t>Reviewing the draft reporting email re sanction inspection; internal discussion</t>
    <phoneticPr fontId="7" type="noConversion"/>
  </si>
  <si>
    <t xml:space="preserve">Providing the offline excel form of key portfolio companies to be handled by Jia.  Relevant communications.  </t>
    <phoneticPr fontId="7" type="noConversion"/>
  </si>
  <si>
    <t>Communications with Annie re internal standing book of legal fees payment</t>
    <phoneticPr fontId="7" type="noConversion"/>
  </si>
  <si>
    <t>国际监管趋势监测、预判 Monitoring and forecasting international regulatory trends</t>
  </si>
  <si>
    <t>Preparation of the sharing session to be given by Mandavi</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</si>
</sst>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85" zoomScaleNormal="85" workbookViewId="0">
      <selection activeCell="B14" sqref="B14"/>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38" x14ac:dyDescent="0.45">
      <c r="B4" s="31" t="s">
        <v>74</v>
      </c>
      <c r="C4" s="24" t="s">
        <v>77</v>
      </c>
      <c r="D4" s="30"/>
      <c r="E4" s="25" t="s">
        <v>40</v>
      </c>
      <c r="F4" s="27" t="s">
        <v>78</v>
      </c>
      <c r="G4" s="29">
        <v>0.8</v>
      </c>
      <c r="H4" s="27" t="s">
        <v>81</v>
      </c>
      <c r="I4" s="28" t="s">
        <v>82</v>
      </c>
    </row>
    <row r="5" spans="2:9" ht="38" x14ac:dyDescent="0.45">
      <c r="B5" s="31" t="s">
        <v>74</v>
      </c>
      <c r="C5" s="24" t="s">
        <v>16</v>
      </c>
      <c r="D5" s="30" t="s">
        <v>83</v>
      </c>
      <c r="E5" s="25" t="s">
        <v>40</v>
      </c>
      <c r="F5" s="27" t="s">
        <v>73</v>
      </c>
      <c r="G5" s="29">
        <v>1.5</v>
      </c>
      <c r="H5" s="27" t="s">
        <v>27</v>
      </c>
      <c r="I5" s="28" t="s">
        <v>90</v>
      </c>
    </row>
    <row r="6" spans="2:9" ht="25.35" x14ac:dyDescent="0.45">
      <c r="B6" s="31" t="s">
        <v>74</v>
      </c>
      <c r="C6" s="24" t="s">
        <v>16</v>
      </c>
      <c r="D6" s="30" t="s">
        <v>84</v>
      </c>
      <c r="E6" s="25" t="s">
        <v>40</v>
      </c>
      <c r="F6" s="27" t="s">
        <v>72</v>
      </c>
      <c r="G6" s="29">
        <v>1</v>
      </c>
      <c r="H6" s="27" t="s">
        <v>20</v>
      </c>
      <c r="I6" s="28" t="s">
        <v>86</v>
      </c>
    </row>
    <row r="7" spans="2:9" ht="25.35" x14ac:dyDescent="0.45">
      <c r="B7" s="31" t="s">
        <v>74</v>
      </c>
      <c r="C7" s="24" t="s">
        <v>77</v>
      </c>
      <c r="D7" s="30"/>
      <c r="E7" s="25" t="s">
        <v>27</v>
      </c>
      <c r="F7" s="24"/>
      <c r="G7" s="26">
        <v>2</v>
      </c>
      <c r="H7" s="24" t="s">
        <v>34</v>
      </c>
      <c r="I7" s="28" t="s">
        <v>85</v>
      </c>
    </row>
    <row r="8" spans="2:9" ht="38" x14ac:dyDescent="0.45">
      <c r="B8" s="31" t="s">
        <v>74</v>
      </c>
      <c r="C8" s="24" t="s">
        <v>18</v>
      </c>
      <c r="D8" s="30"/>
      <c r="E8" s="25" t="s">
        <v>40</v>
      </c>
      <c r="F8" s="24" t="s">
        <v>80</v>
      </c>
      <c r="G8" s="26">
        <v>1</v>
      </c>
      <c r="H8" s="24" t="s">
        <v>31</v>
      </c>
      <c r="I8" s="28" t="s">
        <v>87</v>
      </c>
    </row>
    <row r="9" spans="2:9" ht="25.35" x14ac:dyDescent="0.45">
      <c r="B9" s="31" t="s">
        <v>74</v>
      </c>
      <c r="C9" s="24" t="s">
        <v>16</v>
      </c>
      <c r="D9" s="30"/>
      <c r="E9" s="25" t="s">
        <v>40</v>
      </c>
      <c r="F9" s="24" t="s">
        <v>72</v>
      </c>
      <c r="G9" s="26">
        <v>0.4</v>
      </c>
      <c r="H9" s="24" t="s">
        <v>36</v>
      </c>
      <c r="I9" s="28" t="s">
        <v>88</v>
      </c>
    </row>
    <row r="10" spans="2:9" ht="38" x14ac:dyDescent="0.45">
      <c r="B10" s="31" t="s">
        <v>74</v>
      </c>
      <c r="C10" s="24" t="s">
        <v>14</v>
      </c>
      <c r="D10" s="30" t="s">
        <v>75</v>
      </c>
      <c r="E10" s="25" t="s">
        <v>40</v>
      </c>
      <c r="F10" s="24" t="s">
        <v>76</v>
      </c>
      <c r="G10" s="26">
        <v>1.5</v>
      </c>
      <c r="H10" s="24" t="s">
        <v>20</v>
      </c>
      <c r="I10" s="28" t="s">
        <v>89</v>
      </c>
    </row>
    <row r="11" spans="2:9" ht="38" x14ac:dyDescent="0.45">
      <c r="B11" s="31" t="s">
        <v>74</v>
      </c>
      <c r="C11" s="24" t="s">
        <v>18</v>
      </c>
      <c r="D11" s="30"/>
      <c r="E11" s="25" t="s">
        <v>40</v>
      </c>
      <c r="F11" s="24" t="s">
        <v>73</v>
      </c>
      <c r="G11" s="26">
        <v>2</v>
      </c>
      <c r="H11" s="27" t="s">
        <v>61</v>
      </c>
      <c r="I11" s="28" t="s">
        <v>91</v>
      </c>
    </row>
    <row r="12" spans="2:9" ht="25.35" x14ac:dyDescent="0.45">
      <c r="B12" s="31" t="s">
        <v>74</v>
      </c>
      <c r="C12" s="24" t="s">
        <v>18</v>
      </c>
      <c r="D12" s="30"/>
      <c r="E12" s="25" t="s">
        <v>40</v>
      </c>
      <c r="F12" s="24" t="s">
        <v>79</v>
      </c>
      <c r="G12" s="26">
        <v>0.2</v>
      </c>
      <c r="H12" s="24" t="s">
        <v>38</v>
      </c>
      <c r="I12" s="28" t="s">
        <v>92</v>
      </c>
    </row>
    <row r="13" spans="2:9" ht="38" x14ac:dyDescent="0.45">
      <c r="B13" s="31" t="s">
        <v>74</v>
      </c>
      <c r="C13" s="24" t="s">
        <v>77</v>
      </c>
      <c r="D13" s="30"/>
      <c r="E13" s="25" t="s">
        <v>40</v>
      </c>
      <c r="F13" s="24" t="s">
        <v>93</v>
      </c>
      <c r="G13" s="26">
        <v>0.8</v>
      </c>
      <c r="H13" s="24" t="s">
        <v>81</v>
      </c>
      <c r="I13" s="28" t="s">
        <v>94</v>
      </c>
    </row>
    <row r="14" spans="2:9" x14ac:dyDescent="0.45">
      <c r="B14" s="31"/>
      <c r="C14" s="24"/>
      <c r="D14" s="30"/>
      <c r="E14" s="25"/>
      <c r="F14" s="24"/>
      <c r="G14" s="26"/>
      <c r="H14" s="24"/>
      <c r="I14" s="28"/>
    </row>
    <row r="15" spans="2:9" x14ac:dyDescent="0.45">
      <c r="B15" s="31"/>
      <c r="C15" s="24"/>
      <c r="D15" s="30"/>
      <c r="E15" s="25"/>
      <c r="F15" s="24"/>
      <c r="G15" s="26"/>
      <c r="H15" s="24"/>
      <c r="I15" s="28"/>
    </row>
    <row r="16" spans="2:9" x14ac:dyDescent="0.45">
      <c r="B16" s="31"/>
      <c r="C16" s="24"/>
      <c r="D16" s="30"/>
      <c r="E16" s="25"/>
      <c r="F16" s="24"/>
      <c r="G16" s="26"/>
      <c r="H16" s="24"/>
      <c r="I16" s="28"/>
    </row>
    <row r="17" spans="2:9" x14ac:dyDescent="0.45">
      <c r="B17" s="19"/>
      <c r="C17" s="20"/>
      <c r="D17" s="21"/>
      <c r="E17" s="21"/>
      <c r="F17" s="23" t="s">
        <v>67</v>
      </c>
      <c r="G17" s="35">
        <f>SUM(G3:G16)</f>
        <v>11.2</v>
      </c>
      <c r="H17" s="36"/>
      <c r="I17" s="37"/>
    </row>
    <row r="18" spans="2:9" ht="14.35" thickBot="1" x14ac:dyDescent="0.5">
      <c r="B18" s="15"/>
      <c r="C18" s="16"/>
      <c r="D18" s="17"/>
      <c r="E18" s="17"/>
      <c r="F18" s="22" t="s">
        <v>68</v>
      </c>
      <c r="G18" s="32">
        <v>2</v>
      </c>
      <c r="H18" s="33"/>
      <c r="I18" s="34"/>
    </row>
    <row r="19" spans="2:9" ht="14.35" thickTop="1" x14ac:dyDescent="0.4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2025-05-20T02:45:18Z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