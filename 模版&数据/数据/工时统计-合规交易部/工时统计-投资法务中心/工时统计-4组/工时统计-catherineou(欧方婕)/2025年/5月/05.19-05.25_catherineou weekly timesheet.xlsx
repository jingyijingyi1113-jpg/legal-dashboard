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ADFEDE44-2195-49FE-A57F-29189CDEA53D}"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1" l="1"/>
</calcChain>
</file>

<file path=xl/sharedStrings.xml><?xml version="1.0" encoding="utf-8"?>
<sst xmlns="http://schemas.openxmlformats.org/spreadsheetml/2006/main" count="224" uniqueCount="108">
  <si>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</si>
  <si>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</si>
  <si>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</si>
  <si>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</si>
  <si>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</si>
  <si>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</si>
  <si>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</si>
  <si>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</si>
  <si>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</si>
  <si>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</si>
  <si>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</si>
  <si>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</si>
  <si>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</si>
  <si>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</si>
  <si>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</si>
  <si>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</si>
  <si>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</si>
  <si>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</si>
  <si>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</si>
  <si>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</si>
  <si>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</si>
  <si>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</si>
  <si>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</si>
  <si>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</si>
  <si>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</si>
  <si>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</si>
  <si>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</si>
  <si>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</si>
  <si>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</si>
  <si>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</si>
  <si>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</si>
  <si>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</si>
  <si>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</si>
  <si>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</si>
  <si>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</si>
  <si>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</si>
  <si>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</si>
  <si>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</si>
  <si>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</si>
  <si>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</si>
  <si>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</si>
  <si>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</si>
  <si>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</si>
  <si>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</si>
  <si>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</si>
  <si>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</si>
  <si>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</si>
  <si>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</si>
  <si>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</si>
  <si>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</si>
  <si>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</si>
  <si>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</si>
  <si>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</si>
  <si>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</si>
  <si>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</si>
  <si>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</si>
  <si>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</si>
  <si>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</si>
  <si>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</si>
  <si>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</si>
  <si>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</si>
  <si>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</si>
  <si>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</si>
  <si>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</si>
  <si>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</si>
  <si>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</si>
  <si>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</si>
  <si>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</si>
  <si>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</si>
  <si>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</si>
  <si>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</si>
  <si>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</si>
  <si>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</si>
  <si>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Recording/reviewing deals updates/weekly time reports/other team summaries</t>
  </si>
  <si>
    <t>控股和重点投资公司法务风险管理 Legal risk management for controlled and key invested portfolios</t>
  </si>
  <si>
    <t>catherineou</t>
    <phoneticPr fontId="7" type="noConversion"/>
  </si>
  <si>
    <t>敏感投资领域投资指引 Guidance for sensitive investment fields</t>
  </si>
  <si>
    <t>Public - Infrastructure &amp; Guidance</t>
  </si>
  <si>
    <t>Public - Knowledge Accumulation &amp; Sharing</t>
  </si>
  <si>
    <t>执业管理平台体系完善 Perfection of the professional management platform</t>
  </si>
  <si>
    <t>精细化管理工具搭建 Adoption of refined management tools</t>
  </si>
  <si>
    <t>境内外主体/办公室合规管理 Compliance management for domestic and overseas entities/offices</t>
  </si>
  <si>
    <t>Providing training sessions/knowledge sharing</t>
  </si>
  <si>
    <t>Project Manhattan</t>
    <phoneticPr fontId="7" type="noConversion"/>
  </si>
  <si>
    <t>国际监管趋势监测、预判 Monitoring and forecasting international regulatory trends</t>
  </si>
  <si>
    <t>IDG S基金</t>
    <phoneticPr fontId="7" type="noConversion"/>
  </si>
  <si>
    <t>Discussing with Danial re the deal structure</t>
    <phoneticPr fontId="7" type="noConversion"/>
  </si>
  <si>
    <t>Revising the PPT slides and preparation of the session</t>
    <phoneticPr fontId="7" type="noConversion"/>
  </si>
  <si>
    <t>Discussing with MA managers re the potential sharing on industrial investments focus</t>
    <phoneticPr fontId="7" type="noConversion"/>
  </si>
  <si>
    <t>Internal discussion on the fund's directors; discussing on the status of change to administrator and primary broker and custodian; discussing with DPW re the proposed change to the PPM and board resolutions</t>
    <phoneticPr fontId="7" type="noConversion"/>
  </si>
  <si>
    <t>Internal discussion on CFIUS/bulk data/reverse CFIUS questionnaires</t>
    <phoneticPr fontId="7" type="noConversion"/>
  </si>
  <si>
    <t>Pre-deal assessment</t>
    <phoneticPr fontId="7" type="noConversion"/>
  </si>
  <si>
    <t>Discussing with MA re the CFIUS assessment on potential investment in a pharmaceutical company</t>
    <phoneticPr fontId="7" type="noConversion"/>
  </si>
  <si>
    <t>Attending the sharing session of case study on Indian portfolios</t>
    <phoneticPr fontId="7" type="noConversion"/>
  </si>
  <si>
    <t>Internal discussion on the working allocation and selection of external counsels</t>
    <phoneticPr fontId="7" type="noConversion"/>
  </si>
  <si>
    <t>Airtree Fund</t>
    <phoneticPr fontId="7" type="noConversion"/>
  </si>
  <si>
    <t>Discussing with Pingping on the ICM and MNPI procedures</t>
    <phoneticPr fontId="7" type="noConversion"/>
  </si>
  <si>
    <t>discussing on the staffing of new fund deals</t>
    <phoneticPr fontId="7" type="noConversion"/>
  </si>
  <si>
    <t>京东</t>
    <phoneticPr fontId="7" type="noConversion"/>
  </si>
  <si>
    <t>Ozow</t>
    <phoneticPr fontId="7" type="noConversion"/>
  </si>
  <si>
    <t>Internal discussion on case status</t>
    <phoneticPr fontId="7" type="noConversion"/>
  </si>
  <si>
    <t>Con call with Covington and DPW re the recusal policy</t>
    <phoneticPr fontId="7" type="noConversion"/>
  </si>
  <si>
    <t>Internal discussion with Jed and Erin and management committee</t>
    <phoneticPr fontId="7" type="noConversion"/>
  </si>
  <si>
    <t>Discussing and providing dashboard and line chart tendency in PDFs; further discussing with Yeguan</t>
    <phoneticPr fontId="7" type="noConversion"/>
  </si>
  <si>
    <t>Attending monthly meetin and bi-weekly management meeting</t>
    <phoneticPr fontId="7" type="noConversion"/>
  </si>
  <si>
    <t>Reviewing the SSV PPT slides and internal discussion with Jed and Yanjing and corporate legal team; reporting to Richard and Yan re the status and outstanding matters; attending SSV all-hands meetings; following-up discussion on the business diretors of investor entities</t>
    <phoneticPr fontId="7" type="noConversion"/>
  </si>
  <si>
    <t>Attending the meeting re the school enrollment's periodical recap and sharing</t>
    <phoneticPr fontId="7" type="noConversion"/>
  </si>
  <si>
    <t>Walking through the key portflio review form with Mandavi; periodical catch-up; polishing the survey form and reviewing the feedbacks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</si>
</sst>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5"/>
  <sheetViews>
    <sheetView tabSelected="1" zoomScale="85" zoomScaleNormal="85" workbookViewId="0">
      <selection activeCell="A22" sqref="A22:XFD22"/>
    </sheetView>
  </sheetViews>
  <sheetFormatPr defaultColWidth="9" defaultRowHeight="14" x14ac:dyDescent="0.45"/>
  <cols>
    <col min="3" max="3" width="34.41015625" style="11" customWidth="1"/>
    <col min="4" max="4" width="15.1171875" customWidth="1"/>
    <col min="5" max="5" width="10.52734375" customWidth="1"/>
    <col min="6" max="6" width="29.87890625" style="11" customWidth="1"/>
    <col min="8" max="8" width="41.52734375" style="11" customWidth="1"/>
    <col min="9" max="9" width="39.87890625" customWidth="1"/>
  </cols>
  <sheetData>
    <row r="2" spans="2:9" ht="25.35" x14ac:dyDescent="0.45">
      <c r="B2" s="4" t="s">
        <v>0</v>
      </c>
      <c r="C2" s="5" t="s">
        <v>70</v>
      </c>
      <c r="D2" s="5" t="s">
        <v>1</v>
      </c>
      <c r="E2" s="5" t="s">
        <v>2</v>
      </c>
      <c r="F2" s="5" t="s">
        <v>3</v>
      </c>
      <c r="G2" s="5" t="s">
        <v>4</v>
      </c>
      <c r="H2" s="5" t="s">
        <v>5</v>
      </c>
      <c r="I2" s="8" t="s">
        <v>6</v>
      </c>
    </row>
    <row r="3" spans="2:9" ht="207.95" customHeight="1" x14ac:dyDescent="0.45">
      <c r="B3" s="6" t="s">
        <v>7</v>
      </c>
      <c r="C3" s="7" t="s">
        <v>8</v>
      </c>
      <c r="D3" s="7" t="s">
        <v>9</v>
      </c>
      <c r="E3" s="7" t="s">
        <v>59</v>
      </c>
      <c r="F3" s="7" t="s">
        <v>57</v>
      </c>
      <c r="G3" s="7" t="s">
        <v>10</v>
      </c>
      <c r="H3" s="7" t="s">
        <v>11</v>
      </c>
      <c r="I3" s="9" t="s">
        <v>12</v>
      </c>
    </row>
    <row r="4" spans="2:9" ht="76" x14ac:dyDescent="0.45">
      <c r="B4" s="31" t="s">
        <v>75</v>
      </c>
      <c r="C4" s="24" t="s">
        <v>18</v>
      </c>
      <c r="D4" s="30"/>
      <c r="E4" s="25" t="s">
        <v>40</v>
      </c>
      <c r="F4" s="27" t="s">
        <v>81</v>
      </c>
      <c r="G4" s="29">
        <v>7</v>
      </c>
      <c r="H4" s="27" t="s">
        <v>31</v>
      </c>
      <c r="I4" s="28" t="s">
        <v>105</v>
      </c>
    </row>
    <row r="5" spans="2:9" ht="25.35" x14ac:dyDescent="0.45">
      <c r="B5" s="31" t="s">
        <v>75</v>
      </c>
      <c r="C5" s="24" t="s">
        <v>77</v>
      </c>
      <c r="D5" s="30"/>
      <c r="E5" s="25" t="s">
        <v>40</v>
      </c>
      <c r="F5" s="27" t="s">
        <v>76</v>
      </c>
      <c r="G5" s="29">
        <v>1.8</v>
      </c>
      <c r="H5" s="27" t="s">
        <v>22</v>
      </c>
      <c r="I5" s="28" t="s">
        <v>101</v>
      </c>
    </row>
    <row r="6" spans="2:9" ht="38" x14ac:dyDescent="0.45">
      <c r="B6" s="31" t="s">
        <v>75</v>
      </c>
      <c r="C6" s="24" t="s">
        <v>18</v>
      </c>
      <c r="D6" s="30"/>
      <c r="E6" s="25" t="s">
        <v>40</v>
      </c>
      <c r="F6" s="27" t="s">
        <v>74</v>
      </c>
      <c r="G6" s="29">
        <v>3</v>
      </c>
      <c r="H6" s="27" t="s">
        <v>73</v>
      </c>
      <c r="I6" s="28" t="s">
        <v>107</v>
      </c>
    </row>
    <row r="7" spans="2:9" ht="38" x14ac:dyDescent="0.45">
      <c r="B7" s="31" t="s">
        <v>75</v>
      </c>
      <c r="C7" s="24" t="s">
        <v>78</v>
      </c>
      <c r="D7" s="30"/>
      <c r="E7" s="25" t="s">
        <v>40</v>
      </c>
      <c r="F7" s="24" t="s">
        <v>84</v>
      </c>
      <c r="G7" s="26">
        <v>0.8</v>
      </c>
      <c r="H7" s="24" t="s">
        <v>82</v>
      </c>
      <c r="I7" s="28" t="s">
        <v>87</v>
      </c>
    </row>
    <row r="8" spans="2:9" ht="25.35" x14ac:dyDescent="0.45">
      <c r="B8" s="31" t="s">
        <v>75</v>
      </c>
      <c r="C8" s="24" t="s">
        <v>14</v>
      </c>
      <c r="D8" s="30" t="s">
        <v>85</v>
      </c>
      <c r="E8" s="25" t="s">
        <v>40</v>
      </c>
      <c r="F8" s="24" t="s">
        <v>72</v>
      </c>
      <c r="G8" s="26">
        <v>0.5</v>
      </c>
      <c r="H8" s="24" t="s">
        <v>27</v>
      </c>
      <c r="I8" s="28" t="s">
        <v>86</v>
      </c>
    </row>
    <row r="9" spans="2:9" ht="38" x14ac:dyDescent="0.45">
      <c r="B9" s="31" t="s">
        <v>75</v>
      </c>
      <c r="C9" s="24" t="s">
        <v>18</v>
      </c>
      <c r="D9" s="30"/>
      <c r="E9" s="25" t="s">
        <v>40</v>
      </c>
      <c r="F9" s="24" t="s">
        <v>79</v>
      </c>
      <c r="G9" s="26">
        <v>0.8</v>
      </c>
      <c r="H9" s="24" t="s">
        <v>27</v>
      </c>
      <c r="I9" s="28" t="s">
        <v>88</v>
      </c>
    </row>
    <row r="10" spans="2:9" ht="38" x14ac:dyDescent="0.45">
      <c r="B10" s="31" t="s">
        <v>75</v>
      </c>
      <c r="C10" s="24" t="s">
        <v>18</v>
      </c>
      <c r="D10" s="30"/>
      <c r="E10" s="25" t="s">
        <v>40</v>
      </c>
      <c r="F10" s="24" t="s">
        <v>79</v>
      </c>
      <c r="G10" s="26">
        <v>1.5</v>
      </c>
      <c r="H10" s="24" t="s">
        <v>27</v>
      </c>
      <c r="I10" s="28" t="s">
        <v>106</v>
      </c>
    </row>
    <row r="11" spans="2:9" ht="63.35" x14ac:dyDescent="0.45">
      <c r="B11" s="31" t="s">
        <v>75</v>
      </c>
      <c r="C11" s="24" t="s">
        <v>14</v>
      </c>
      <c r="D11" s="30" t="s">
        <v>83</v>
      </c>
      <c r="E11" s="25" t="s">
        <v>40</v>
      </c>
      <c r="F11" s="24" t="s">
        <v>72</v>
      </c>
      <c r="G11" s="26">
        <v>1.5</v>
      </c>
      <c r="H11" s="24" t="s">
        <v>20</v>
      </c>
      <c r="I11" s="28" t="s">
        <v>89</v>
      </c>
    </row>
    <row r="12" spans="2:9" ht="25.35" x14ac:dyDescent="0.45">
      <c r="B12" s="31" t="s">
        <v>75</v>
      </c>
      <c r="C12" s="24" t="s">
        <v>78</v>
      </c>
      <c r="D12" s="30"/>
      <c r="E12" s="25" t="s">
        <v>40</v>
      </c>
      <c r="F12" s="24" t="s">
        <v>76</v>
      </c>
      <c r="G12" s="26">
        <v>0.5</v>
      </c>
      <c r="H12" s="27" t="s">
        <v>30</v>
      </c>
      <c r="I12" s="28" t="s">
        <v>90</v>
      </c>
    </row>
    <row r="13" spans="2:9" ht="25.35" x14ac:dyDescent="0.45">
      <c r="B13" s="31" t="s">
        <v>75</v>
      </c>
      <c r="C13" s="24" t="s">
        <v>18</v>
      </c>
      <c r="D13" s="30"/>
      <c r="E13" s="25" t="s">
        <v>27</v>
      </c>
      <c r="F13" s="24"/>
      <c r="G13" s="26">
        <v>0.5</v>
      </c>
      <c r="H13" s="24" t="s">
        <v>27</v>
      </c>
      <c r="I13" s="28" t="s">
        <v>102</v>
      </c>
    </row>
    <row r="14" spans="2:9" ht="25.35" x14ac:dyDescent="0.45">
      <c r="B14" s="31" t="s">
        <v>75</v>
      </c>
      <c r="C14" s="24" t="s">
        <v>16</v>
      </c>
      <c r="D14" s="30" t="s">
        <v>91</v>
      </c>
      <c r="E14" s="25" t="s">
        <v>40</v>
      </c>
      <c r="F14" s="24" t="s">
        <v>72</v>
      </c>
      <c r="G14" s="26">
        <v>0.5</v>
      </c>
      <c r="H14" s="24" t="s">
        <v>36</v>
      </c>
      <c r="I14" s="28" t="s">
        <v>92</v>
      </c>
    </row>
    <row r="15" spans="2:9" ht="38" x14ac:dyDescent="0.45">
      <c r="B15" s="31" t="s">
        <v>75</v>
      </c>
      <c r="C15" s="24" t="s">
        <v>78</v>
      </c>
      <c r="D15" s="30"/>
      <c r="E15" s="25" t="s">
        <v>40</v>
      </c>
      <c r="F15" s="24" t="s">
        <v>84</v>
      </c>
      <c r="G15" s="26">
        <v>1</v>
      </c>
      <c r="H15" s="24" t="s">
        <v>34</v>
      </c>
      <c r="I15" s="28" t="s">
        <v>93</v>
      </c>
    </row>
    <row r="16" spans="2:9" x14ac:dyDescent="0.45">
      <c r="B16" s="31" t="s">
        <v>75</v>
      </c>
      <c r="C16" s="24" t="s">
        <v>18</v>
      </c>
      <c r="D16" s="30"/>
      <c r="E16" s="25" t="s">
        <v>27</v>
      </c>
      <c r="F16" s="24"/>
      <c r="G16" s="26">
        <v>0.5</v>
      </c>
      <c r="H16" s="24"/>
      <c r="I16" s="28" t="s">
        <v>97</v>
      </c>
    </row>
    <row r="17" spans="2:9" ht="25.35" x14ac:dyDescent="0.45">
      <c r="B17" s="31" t="s">
        <v>75</v>
      </c>
      <c r="C17" s="24" t="s">
        <v>18</v>
      </c>
      <c r="D17" s="30"/>
      <c r="E17" s="25" t="s">
        <v>40</v>
      </c>
      <c r="F17" s="24" t="s">
        <v>80</v>
      </c>
      <c r="G17" s="26">
        <v>0.7</v>
      </c>
      <c r="H17" s="24" t="s">
        <v>73</v>
      </c>
      <c r="I17" s="28" t="s">
        <v>103</v>
      </c>
    </row>
    <row r="18" spans="2:9" ht="25.35" x14ac:dyDescent="0.45">
      <c r="B18" s="31" t="s">
        <v>75</v>
      </c>
      <c r="C18" s="24" t="s">
        <v>18</v>
      </c>
      <c r="D18" s="30"/>
      <c r="E18" s="25" t="s">
        <v>27</v>
      </c>
      <c r="F18" s="24"/>
      <c r="G18" s="26">
        <v>2.8</v>
      </c>
      <c r="H18" s="24" t="s">
        <v>34</v>
      </c>
      <c r="I18" s="28" t="s">
        <v>104</v>
      </c>
    </row>
    <row r="19" spans="2:9" ht="25.35" x14ac:dyDescent="0.45">
      <c r="B19" s="31" t="s">
        <v>75</v>
      </c>
      <c r="C19" s="24" t="s">
        <v>14</v>
      </c>
      <c r="D19" s="30" t="s">
        <v>98</v>
      </c>
      <c r="E19" s="25" t="s">
        <v>40</v>
      </c>
      <c r="F19" s="24" t="s">
        <v>72</v>
      </c>
      <c r="G19" s="26">
        <v>0.5</v>
      </c>
      <c r="H19" s="24" t="s">
        <v>27</v>
      </c>
      <c r="I19" s="28" t="s">
        <v>96</v>
      </c>
    </row>
    <row r="20" spans="2:9" ht="25.35" x14ac:dyDescent="0.45">
      <c r="B20" s="31" t="s">
        <v>75</v>
      </c>
      <c r="C20" s="24" t="s">
        <v>14</v>
      </c>
      <c r="D20" s="30" t="s">
        <v>95</v>
      </c>
      <c r="E20" s="25" t="s">
        <v>40</v>
      </c>
      <c r="F20" s="24" t="s">
        <v>72</v>
      </c>
      <c r="G20" s="26">
        <v>1</v>
      </c>
      <c r="H20" s="24" t="s">
        <v>27</v>
      </c>
      <c r="I20" s="28" t="s">
        <v>94</v>
      </c>
    </row>
    <row r="21" spans="2:9" ht="25.35" x14ac:dyDescent="0.45">
      <c r="B21" s="31" t="s">
        <v>75</v>
      </c>
      <c r="C21" s="24" t="s">
        <v>16</v>
      </c>
      <c r="D21" s="30" t="s">
        <v>99</v>
      </c>
      <c r="E21" s="25" t="s">
        <v>40</v>
      </c>
      <c r="F21" s="24" t="s">
        <v>72</v>
      </c>
      <c r="G21" s="26">
        <v>0.5</v>
      </c>
      <c r="H21" s="24" t="s">
        <v>27</v>
      </c>
      <c r="I21" s="28" t="s">
        <v>100</v>
      </c>
    </row>
    <row r="22" spans="2:9" x14ac:dyDescent="0.45">
      <c r="B22" s="31"/>
      <c r="C22" s="24"/>
      <c r="D22" s="30"/>
      <c r="E22" s="25"/>
      <c r="F22" s="24"/>
      <c r="G22" s="26"/>
      <c r="H22" s="24"/>
      <c r="I22" s="28"/>
    </row>
    <row r="23" spans="2:9" x14ac:dyDescent="0.45">
      <c r="B23" s="19"/>
      <c r="C23" s="20"/>
      <c r="D23" s="21"/>
      <c r="E23" s="21"/>
      <c r="F23" s="23" t="s">
        <v>67</v>
      </c>
      <c r="G23" s="35">
        <f>SUM(G3:G21)</f>
        <v>25.400000000000002</v>
      </c>
      <c r="H23" s="36"/>
      <c r="I23" s="37"/>
    </row>
    <row r="24" spans="2:9" ht="14.35" thickBot="1" x14ac:dyDescent="0.5">
      <c r="B24" s="15"/>
      <c r="C24" s="16"/>
      <c r="D24" s="17"/>
      <c r="E24" s="17"/>
      <c r="F24" s="22" t="s">
        <v>68</v>
      </c>
      <c r="G24" s="32">
        <v>4.5</v>
      </c>
      <c r="H24" s="33"/>
      <c r="I24" s="34"/>
    </row>
    <row r="25" spans="2:9" ht="14.35" thickTop="1" x14ac:dyDescent="0.45"/>
  </sheetData>
  <mergeCells count="2">
    <mergeCell ref="G24:I24"/>
    <mergeCell ref="G23:I23"/>
  </mergeCells>
  <phoneticPr fontId="7" type="noConversion"/>
  <dataValidations count="2">
    <dataValidation type="list" allowBlank="1" showInputMessage="1" showErrorMessage="1" sqref="H4:H22" xr:uid="{00000000-0002-0000-0000-000000000000}">
      <formula1>hh</formula1>
    </dataValidation>
    <dataValidation type="list" allowBlank="1" showInputMessage="1" showErrorMessage="1" sqref="F4:F2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E4:E24</xm:sqref>
        </x14:dataValidation>
        <x14:dataValidation type="list" allowBlank="1" showInputMessage="1" showErrorMessage="1" xr:uid="{00000000-0002-0000-0000-000002000000}">
          <x14:formula1>
            <xm:f>数据标签!$B$2:$H$2</xm:f>
          </x14:formula1>
          <xm:sqref>C4:C24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0" workbookViewId="0">
      <selection activeCell="B22" sqref="B22"/>
    </sheetView>
  </sheetViews>
  <sheetFormatPr defaultColWidth="8.87890625" defaultRowHeight="12.7" x14ac:dyDescent="0.45"/>
  <cols>
    <col min="1" max="1" width="8.87890625" style="1"/>
    <col min="2" max="2" width="26.87890625" style="1" customWidth="1"/>
    <col min="3" max="3" width="21.64453125" style="1" customWidth="1"/>
    <col min="4" max="7" width="28.52734375" style="1" customWidth="1"/>
    <col min="8" max="8" width="27.3515625" style="1" customWidth="1"/>
    <col min="9" max="16384" width="8.87890625" style="1"/>
  </cols>
  <sheetData>
    <row r="2" spans="1:8" ht="25.35" x14ac:dyDescent="0.45">
      <c r="A2" s="2" t="s">
        <v>13</v>
      </c>
      <c r="B2" s="3" t="s">
        <v>14</v>
      </c>
      <c r="C2" s="3" t="s">
        <v>15</v>
      </c>
      <c r="D2" s="3" t="s">
        <v>16</v>
      </c>
      <c r="E2" s="3" t="s">
        <v>17</v>
      </c>
      <c r="F2" s="3" t="s">
        <v>69</v>
      </c>
      <c r="G2" s="3" t="s">
        <v>60</v>
      </c>
      <c r="H2" s="3" t="s">
        <v>18</v>
      </c>
    </row>
    <row r="3" spans="1:8" ht="38" x14ac:dyDescent="0.45">
      <c r="A3" s="2" t="s">
        <v>19</v>
      </c>
      <c r="B3" s="3" t="s">
        <v>20</v>
      </c>
      <c r="C3" s="3" t="s">
        <v>20</v>
      </c>
      <c r="D3" s="3" t="s">
        <v>20</v>
      </c>
      <c r="E3" s="3" t="s">
        <v>21</v>
      </c>
      <c r="F3" s="3" t="s">
        <v>22</v>
      </c>
      <c r="G3" s="3" t="s">
        <v>23</v>
      </c>
      <c r="H3" s="3" t="s">
        <v>24</v>
      </c>
    </row>
    <row r="4" spans="1:8" ht="38" x14ac:dyDescent="0.45">
      <c r="B4" s="3" t="s">
        <v>25</v>
      </c>
      <c r="C4" s="3" t="s">
        <v>25</v>
      </c>
      <c r="D4" s="3" t="s">
        <v>25</v>
      </c>
      <c r="E4" s="3" t="s">
        <v>26</v>
      </c>
      <c r="F4" s="12" t="s">
        <v>62</v>
      </c>
      <c r="G4" s="3" t="s">
        <v>58</v>
      </c>
      <c r="H4" s="3" t="s">
        <v>61</v>
      </c>
    </row>
    <row r="5" spans="1:8" ht="25.35" x14ac:dyDescent="0.45">
      <c r="B5" s="3" t="s">
        <v>28</v>
      </c>
      <c r="C5" s="3" t="s">
        <v>28</v>
      </c>
      <c r="D5" s="3" t="s">
        <v>28</v>
      </c>
      <c r="E5" s="3" t="s">
        <v>29</v>
      </c>
      <c r="F5" s="1" t="s">
        <v>27</v>
      </c>
      <c r="G5" s="3" t="s">
        <v>30</v>
      </c>
      <c r="H5" s="3" t="s">
        <v>31</v>
      </c>
    </row>
    <row r="6" spans="1:8" ht="25.35" x14ac:dyDescent="0.45">
      <c r="B6" s="3" t="s">
        <v>32</v>
      </c>
      <c r="C6" s="3" t="s">
        <v>32</v>
      </c>
      <c r="D6" s="3" t="s">
        <v>32</v>
      </c>
      <c r="E6" s="3" t="s">
        <v>33</v>
      </c>
      <c r="G6" s="3" t="s">
        <v>34</v>
      </c>
      <c r="H6" s="3" t="s">
        <v>35</v>
      </c>
    </row>
    <row r="7" spans="1:8" ht="38" x14ac:dyDescent="0.45">
      <c r="B7" s="3" t="s">
        <v>36</v>
      </c>
      <c r="C7" s="3" t="s">
        <v>36</v>
      </c>
      <c r="D7" s="3" t="s">
        <v>36</v>
      </c>
      <c r="E7" s="3" t="s">
        <v>37</v>
      </c>
      <c r="G7" s="1" t="s">
        <v>27</v>
      </c>
      <c r="H7" s="3" t="s">
        <v>38</v>
      </c>
    </row>
    <row r="8" spans="1:8" x14ac:dyDescent="0.45">
      <c r="B8" s="1" t="s">
        <v>27</v>
      </c>
      <c r="C8" s="1" t="s">
        <v>27</v>
      </c>
      <c r="D8" s="1" t="s">
        <v>27</v>
      </c>
      <c r="E8" s="13"/>
      <c r="F8" s="12"/>
      <c r="G8" s="13"/>
      <c r="H8" s="18" t="s">
        <v>71</v>
      </c>
    </row>
    <row r="9" spans="1:8" x14ac:dyDescent="0.45">
      <c r="C9" s="13"/>
      <c r="D9" s="13"/>
      <c r="H9" s="1" t="s">
        <v>66</v>
      </c>
    </row>
    <row r="11" spans="1:8" x14ac:dyDescent="0.45">
      <c r="A11" s="1" t="s">
        <v>39</v>
      </c>
      <c r="B11" s="1" t="s">
        <v>40</v>
      </c>
      <c r="C11" s="1" t="s">
        <v>41</v>
      </c>
      <c r="D11" s="1" t="s">
        <v>27</v>
      </c>
    </row>
    <row r="12" spans="1:8" ht="50.7" x14ac:dyDescent="0.45">
      <c r="A12" s="1" t="s">
        <v>42</v>
      </c>
      <c r="B12" s="3" t="s">
        <v>43</v>
      </c>
    </row>
    <row r="13" spans="1:8" ht="38" x14ac:dyDescent="0.45">
      <c r="B13" s="14" t="s">
        <v>55</v>
      </c>
      <c r="C13" s="10" t="s">
        <v>56</v>
      </c>
      <c r="D13" s="10" t="s">
        <v>56</v>
      </c>
    </row>
    <row r="14" spans="1:8" ht="25.35" x14ac:dyDescent="0.45">
      <c r="B14" s="14" t="s">
        <v>44</v>
      </c>
      <c r="C14" s="10" t="s">
        <v>56</v>
      </c>
      <c r="D14" s="10" t="s">
        <v>56</v>
      </c>
    </row>
    <row r="15" spans="1:8" ht="50.7" x14ac:dyDescent="0.45">
      <c r="B15" s="14" t="s">
        <v>45</v>
      </c>
      <c r="C15" s="10" t="s">
        <v>56</v>
      </c>
      <c r="D15" s="10" t="s">
        <v>56</v>
      </c>
    </row>
    <row r="16" spans="1:8" ht="50.7" x14ac:dyDescent="0.45">
      <c r="B16" s="14" t="s">
        <v>46</v>
      </c>
      <c r="C16" s="10" t="s">
        <v>56</v>
      </c>
      <c r="D16" s="10" t="s">
        <v>56</v>
      </c>
    </row>
    <row r="17" spans="2:4" ht="50.7" x14ac:dyDescent="0.45">
      <c r="B17" s="14" t="s">
        <v>47</v>
      </c>
      <c r="C17" s="10" t="s">
        <v>56</v>
      </c>
      <c r="D17" s="10" t="s">
        <v>56</v>
      </c>
    </row>
    <row r="18" spans="2:4" ht="50.7" x14ac:dyDescent="0.45">
      <c r="B18" s="14" t="s">
        <v>48</v>
      </c>
      <c r="C18" s="10" t="s">
        <v>56</v>
      </c>
      <c r="D18" s="10" t="s">
        <v>56</v>
      </c>
    </row>
    <row r="19" spans="2:4" ht="50.7" x14ac:dyDescent="0.45">
      <c r="B19" s="14" t="s">
        <v>49</v>
      </c>
      <c r="C19" s="10" t="s">
        <v>56</v>
      </c>
      <c r="D19" s="10" t="s">
        <v>56</v>
      </c>
    </row>
    <row r="20" spans="2:4" ht="38" x14ac:dyDescent="0.45">
      <c r="B20" s="14" t="s">
        <v>63</v>
      </c>
      <c r="C20" s="10" t="s">
        <v>56</v>
      </c>
      <c r="D20" s="10" t="s">
        <v>56</v>
      </c>
    </row>
    <row r="21" spans="2:4" ht="38" x14ac:dyDescent="0.45">
      <c r="B21" s="14" t="s">
        <v>50</v>
      </c>
      <c r="C21" s="10" t="s">
        <v>56</v>
      </c>
      <c r="D21" s="10" t="s">
        <v>56</v>
      </c>
    </row>
    <row r="22" spans="2:4" ht="38" x14ac:dyDescent="0.45">
      <c r="B22" s="14" t="s">
        <v>64</v>
      </c>
      <c r="C22" s="10" t="s">
        <v>56</v>
      </c>
      <c r="D22" s="10" t="s">
        <v>56</v>
      </c>
    </row>
    <row r="23" spans="2:4" ht="38" x14ac:dyDescent="0.45">
      <c r="B23" s="14" t="s">
        <v>65</v>
      </c>
      <c r="C23" s="10"/>
      <c r="D23" s="10"/>
    </row>
    <row r="24" spans="2:4" ht="76" x14ac:dyDescent="0.45">
      <c r="B24" s="14" t="s">
        <v>54</v>
      </c>
      <c r="C24" s="10" t="s">
        <v>56</v>
      </c>
      <c r="D24" s="10" t="s">
        <v>56</v>
      </c>
    </row>
    <row r="25" spans="2:4" ht="38" x14ac:dyDescent="0.45">
      <c r="B25" s="14" t="s">
        <v>51</v>
      </c>
      <c r="C25" s="10" t="s">
        <v>56</v>
      </c>
      <c r="D25" s="10" t="s">
        <v>56</v>
      </c>
    </row>
    <row r="26" spans="2:4" ht="38" x14ac:dyDescent="0.45">
      <c r="B26" s="14" t="s">
        <v>52</v>
      </c>
      <c r="C26" s="10" t="s">
        <v>56</v>
      </c>
      <c r="D26" s="10" t="s">
        <v>56</v>
      </c>
    </row>
    <row r="27" spans="2:4" ht="25.35" x14ac:dyDescent="0.4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2025-05-26T07:24:46Z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