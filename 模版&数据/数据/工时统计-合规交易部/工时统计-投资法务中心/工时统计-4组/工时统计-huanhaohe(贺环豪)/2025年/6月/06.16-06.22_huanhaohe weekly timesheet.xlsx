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hehuanhao/Desktop/1.工作/2.腾讯项目/Timesheet/2024.12起新模板/2025年/6月/"/>
    </mc:Choice>
  </mc:AlternateContent>
  <xr:revisionPtr revIDLastSave="0" documentId="13_ncr:1_{4904C1F9-917C-D34A-97E7-F8050EC45191}" xr6:coauthVersionLast="47" xr6:coauthVersionMax="47" xr10:uidLastSave="{00000000-0000-0000-0000-000000000000}"/>
  <bookViews>
    <workbookView xWindow="15640" yWindow="2520" windowWidth="33280" windowHeight="22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<sst xmlns="http://schemas.openxmlformats.org/spreadsheetml/2006/main" count="183" uniqueCount="94">
  <si>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</si>
  <si>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</si>
  <si>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</si>
  <si>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</si>
  <si>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</si>
  <si>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</si>
  <si>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</si>
  <si>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</si>
  <si>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</si>
  <si>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</si>
  <si>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</si>
  <si>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</si>
  <si>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</si>
  <si>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</si>
  <si>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</si>
  <si>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</si>
  <si>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</si>
  <si>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</si>
  <si>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</si>
  <si>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</si>
  <si>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</si>
  <si>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</si>
  <si>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</si>
  <si>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</si>
  <si>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</si>
  <si>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</si>
  <si>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</si>
  <si>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</si>
  <si>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</si>
  <si>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</si>
  <si>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</si>
  <si>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</si>
  <si>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</si>
  <si>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</si>
  <si>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</si>
  <si>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</si>
  <si>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</si>
  <si>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</si>
  <si>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</si>
  <si>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</si>
  <si>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</si>
  <si>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</si>
  <si>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</si>
  <si>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</si>
  <si>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</si>
  <si>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</si>
  <si>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</si>
  <si>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</si>
  <si>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</si>
  <si>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</si>
  <si>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</si>
  <si>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</si>
  <si>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</si>
  <si>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</si>
  <si>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</si>
  <si>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</si>
  <si>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</si>
  <si>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</si>
  <si>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</si>
  <si>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</si>
  <si>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</si>
  <si>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</si>
  <si>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</si>
  <si>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</si>
  <si>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</si>
  <si>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</si>
  <si>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</si>
  <si>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</si>
  <si>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</si>
  <si>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</si>
  <si>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</si>
  <si>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</si>
  <si>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</si>
  <si>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</si>
  <si>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</si>
  <si>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Investment Related - Corporate Matter</t>
    <phoneticPr fontId="7" type="noConversion"/>
  </si>
  <si>
    <t>再融资 - 追加</t>
    <phoneticPr fontId="7" type="noConversion"/>
  </si>
  <si>
    <t>Project Orange</t>
    <phoneticPr fontId="7" type="noConversion"/>
  </si>
  <si>
    <t>常规决议</t>
    <phoneticPr fontId="7" type="noConversion"/>
  </si>
  <si>
    <t>普渡科技</t>
    <phoneticPr fontId="7" type="noConversion"/>
  </si>
  <si>
    <t>Public - Knowledge Accumulation &amp; Sharing</t>
  </si>
  <si>
    <t>IPO</t>
    <phoneticPr fontId="7" type="noConversion"/>
  </si>
  <si>
    <t>Project Alchemist</t>
    <phoneticPr fontId="7" type="noConversion"/>
  </si>
  <si>
    <t>Tenways</t>
    <phoneticPr fontId="7" type="noConversion"/>
  </si>
  <si>
    <t>timesheet</t>
    <phoneticPr fontId="7" type="noConversion"/>
  </si>
  <si>
    <t>项目整理</t>
    <phoneticPr fontId="7" type="noConversion"/>
  </si>
  <si>
    <t>红筹重组</t>
    <phoneticPr fontId="7" type="noConversion"/>
  </si>
  <si>
    <t>云鲸</t>
    <phoneticPr fontId="7" type="noConversion"/>
  </si>
  <si>
    <t>账单事宜</t>
    <phoneticPr fontId="7" type="noConversion"/>
  </si>
  <si>
    <t>制裁合规</t>
    <phoneticPr fontId="7" type="noConversion"/>
  </si>
  <si>
    <t>反洗钱及制裁法务支持 Legal support for anti-money laundering and sanctions compliance</t>
  </si>
  <si>
    <t>合规专项：集团制裁与国际反洗钱合规作业与风险监测系统搭建的数据隐私合规论证</t>
    <phoneticPr fontId="7" type="noConversion"/>
  </si>
  <si>
    <t>知识库更新</t>
    <phoneticPr fontId="7" type="noConversion"/>
  </si>
  <si>
    <t>广州地铁JV</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</si>
</sst>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4" xfId="0" applyFont="1" applyBorder="1" applyAlignment="1">
      <alignment horizontal="right" vertical="center"/>
    </xf>
    <xf numFmtId="0" fontId="5" fillId="0" borderId="16"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6" xfId="0" applyFont="1" applyBorder="1" applyAlignment="1">
      <alignment vertical="center" wrapText="1"/>
    </xf>
    <xf numFmtId="0" fontId="5" fillId="0" borderId="16" xfId="0" applyFont="1" applyBorder="1" applyAlignment="1">
      <alignment vertical="center" wrapText="1"/>
    </xf>
    <xf numFmtId="0" fontId="1" fillId="0" borderId="11"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120" zoomScaleNormal="120" workbookViewId="0">
      <selection activeCell="E25" sqref="E25"/>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77</v>
      </c>
      <c r="E4" s="8" t="s">
        <v>40</v>
      </c>
      <c r="F4" s="12" t="s">
        <v>73</v>
      </c>
      <c r="G4" s="31">
        <v>0.5</v>
      </c>
      <c r="H4" s="28" t="s">
        <v>20</v>
      </c>
      <c r="I4" s="26" t="s">
        <v>76</v>
      </c>
    </row>
    <row r="5" spans="2:9" ht="28">
      <c r="B5" s="14" t="s">
        <v>72</v>
      </c>
      <c r="C5" s="28" t="s">
        <v>14</v>
      </c>
      <c r="D5" s="25" t="s">
        <v>87</v>
      </c>
      <c r="E5" s="8" t="s">
        <v>40</v>
      </c>
      <c r="F5" s="28" t="s">
        <v>73</v>
      </c>
      <c r="G5" s="25">
        <v>0.6</v>
      </c>
      <c r="H5" s="28" t="s">
        <v>20</v>
      </c>
      <c r="I5" s="26" t="s">
        <v>76</v>
      </c>
    </row>
    <row r="6" spans="2:9" ht="28">
      <c r="B6" s="14" t="s">
        <v>72</v>
      </c>
      <c r="C6" s="28" t="s">
        <v>14</v>
      </c>
      <c r="D6" s="25" t="s">
        <v>83</v>
      </c>
      <c r="E6" s="8" t="s">
        <v>40</v>
      </c>
      <c r="F6" s="28" t="s">
        <v>73</v>
      </c>
      <c r="G6" s="25">
        <v>0.1</v>
      </c>
      <c r="H6" s="28" t="s">
        <v>20</v>
      </c>
      <c r="I6" s="26" t="s">
        <v>86</v>
      </c>
    </row>
    <row r="7" spans="2:9" ht="28">
      <c r="B7" s="14" t="s">
        <v>72</v>
      </c>
      <c r="C7" s="12" t="s">
        <v>14</v>
      </c>
      <c r="D7" s="25" t="s">
        <v>82</v>
      </c>
      <c r="E7" s="8" t="s">
        <v>40</v>
      </c>
      <c r="F7" s="12" t="s">
        <v>73</v>
      </c>
      <c r="G7" s="8">
        <v>5.3</v>
      </c>
      <c r="H7" s="12" t="s">
        <v>20</v>
      </c>
      <c r="I7" s="26" t="s">
        <v>81</v>
      </c>
    </row>
    <row r="8" spans="2:9" ht="28">
      <c r="B8" s="14" t="s">
        <v>72</v>
      </c>
      <c r="C8" s="12" t="s">
        <v>14</v>
      </c>
      <c r="D8" s="25" t="s">
        <v>79</v>
      </c>
      <c r="E8" s="8" t="s">
        <v>40</v>
      </c>
      <c r="F8" s="12" t="s">
        <v>73</v>
      </c>
      <c r="G8" s="8">
        <v>0.4</v>
      </c>
      <c r="H8" s="12" t="s">
        <v>20</v>
      </c>
      <c r="I8" s="26" t="s">
        <v>81</v>
      </c>
    </row>
    <row r="9" spans="2:9" ht="28">
      <c r="B9" s="29" t="s">
        <v>72</v>
      </c>
      <c r="C9" s="28" t="s">
        <v>75</v>
      </c>
      <c r="D9" s="30" t="s">
        <v>93</v>
      </c>
      <c r="E9" s="8" t="s">
        <v>40</v>
      </c>
      <c r="F9" s="12" t="s">
        <v>73</v>
      </c>
      <c r="G9" s="30">
        <v>0.2</v>
      </c>
      <c r="H9" s="12" t="s">
        <v>20</v>
      </c>
      <c r="I9" s="26" t="s">
        <v>78</v>
      </c>
    </row>
    <row r="10" spans="2:9" ht="42">
      <c r="B10" s="29" t="s">
        <v>72</v>
      </c>
      <c r="C10" s="39" t="s">
        <v>17</v>
      </c>
      <c r="D10" s="30" t="s">
        <v>89</v>
      </c>
      <c r="E10" s="32" t="s">
        <v>40</v>
      </c>
      <c r="F10" s="40" t="s">
        <v>90</v>
      </c>
      <c r="G10" s="30">
        <v>1.8</v>
      </c>
      <c r="H10" s="40" t="s">
        <v>26</v>
      </c>
      <c r="I10" s="41" t="s">
        <v>91</v>
      </c>
    </row>
    <row r="11" spans="2:9">
      <c r="B11" s="14" t="s">
        <v>72</v>
      </c>
      <c r="C11" s="12" t="s">
        <v>80</v>
      </c>
      <c r="D11" s="25"/>
      <c r="E11" s="25" t="s">
        <v>27</v>
      </c>
      <c r="F11" s="28"/>
      <c r="G11" s="25">
        <v>0.5</v>
      </c>
      <c r="H11" s="28" t="s">
        <v>27</v>
      </c>
      <c r="I11" s="27" t="s">
        <v>92</v>
      </c>
    </row>
    <row r="12" spans="2:9">
      <c r="B12" s="14" t="s">
        <v>72</v>
      </c>
      <c r="C12" s="28" t="s">
        <v>18</v>
      </c>
      <c r="D12" s="25"/>
      <c r="E12" s="25" t="s">
        <v>27</v>
      </c>
      <c r="F12" s="28"/>
      <c r="G12" s="25">
        <v>3.4</v>
      </c>
      <c r="H12" s="28" t="s">
        <v>35</v>
      </c>
      <c r="I12" s="27" t="s">
        <v>85</v>
      </c>
    </row>
    <row r="13" spans="2:9" ht="28">
      <c r="B13" s="14" t="s">
        <v>72</v>
      </c>
      <c r="C13" s="28" t="s">
        <v>18</v>
      </c>
      <c r="D13" s="25"/>
      <c r="E13" s="25" t="s">
        <v>27</v>
      </c>
      <c r="F13" s="28"/>
      <c r="G13" s="25">
        <v>1</v>
      </c>
      <c r="H13" s="28" t="s">
        <v>38</v>
      </c>
      <c r="I13" s="27" t="s">
        <v>88</v>
      </c>
    </row>
    <row r="14" spans="2:9" ht="28">
      <c r="B14" s="14" t="s">
        <v>72</v>
      </c>
      <c r="C14" s="28" t="s">
        <v>18</v>
      </c>
      <c r="D14" s="25"/>
      <c r="E14" s="25" t="s">
        <v>27</v>
      </c>
      <c r="F14" s="28"/>
      <c r="G14" s="25">
        <v>1.3</v>
      </c>
      <c r="H14" s="28" t="s">
        <v>74</v>
      </c>
      <c r="I14" s="27" t="s">
        <v>84</v>
      </c>
    </row>
    <row r="15" spans="2:9">
      <c r="B15" s="20"/>
      <c r="C15" s="21"/>
      <c r="D15" s="22"/>
      <c r="E15" s="22"/>
      <c r="F15" s="24" t="s">
        <v>67</v>
      </c>
      <c r="G15" s="36">
        <f>SUM(G3:G14)</f>
        <v>15.100000000000001</v>
      </c>
      <c r="H15" s="37"/>
      <c r="I15" s="38"/>
    </row>
    <row r="16" spans="2:9" ht="16" thickBot="1">
      <c r="B16" s="17"/>
      <c r="C16" s="18"/>
      <c r="D16" s="19"/>
      <c r="E16" s="19"/>
      <c r="F16" s="23" t="s">
        <v>68</v>
      </c>
      <c r="G16" s="33">
        <v>2</v>
      </c>
      <c r="H16" s="34"/>
      <c r="I16" s="35"/>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C15:C16 C4 C7:C11</xm:sqref>
        </x14:dataValidation>
        <x14:dataValidation type="list" allowBlank="1" showInputMessage="1" showErrorMessage="1" xr:uid="{00000000-0002-0000-0000-000003000000}">
          <x14:formula1>
            <xm:f>数据标签!$B$11:$D$11</xm:f>
          </x14:formula1>
          <xm:sqref>E15:E16 E4:E10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C15" sqref="C15"/>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2025-07-07T00:07:30Z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