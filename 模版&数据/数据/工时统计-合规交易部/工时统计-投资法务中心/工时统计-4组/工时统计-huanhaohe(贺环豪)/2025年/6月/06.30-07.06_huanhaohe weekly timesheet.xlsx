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608"/>
  <workbookPr/>
  <mc:AlternateContent xmlns:mc="http://schemas.openxmlformats.org/markup-compatibility/2006">
    <mc:Choice Requires="x15">
      <x15ac:absPath xmlns:x15ac="http://schemas.microsoft.com/office/spreadsheetml/2010/11/ac" url="/Users/hehuanhao/Desktop/1.工作/2.腾讯项目/Timesheet/2024.12起新模板/2025年/6月/"/>
    </mc:Choice>
  </mc:AlternateContent>
  <xr:revisionPtr revIDLastSave="0" documentId="13_ncr:1_{D35028DD-5CD0-EA4C-A432-517D12A9D305}" xr6:coauthVersionLast="47" xr6:coauthVersionMax="47" xr10:uidLastSave="{00000000-0000-0000-0000-000000000000}"/>
  <bookViews>
    <workbookView xWindow="15640" yWindow="2520" windowWidth="33280" windowHeight="221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7" i="1" l="1"/>
</calcChain>
</file>

<file path=xl/sharedStrings.xml><?xml version="1.0" encoding="utf-8"?>
<sst xmlns="http://schemas.openxmlformats.org/spreadsheetml/2006/main" count="259" uniqueCount="112">
  <si>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</si>
  <si>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</si>
  <si>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</si>
  <si>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</si>
  <si>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</si>
  <si>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</si>
  <si>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</si>
  <si>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</si>
  <si>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</si>
  <si>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</si>
  <si>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</si>
  <si>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</si>
  <si>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</si>
  <si>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</si>
  <si>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</si>
  <si>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</si>
  <si>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</si>
  <si>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</si>
  <si>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</si>
  <si>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</si>
  <si>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</si>
  <si>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</si>
  <si>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</si>
  <si>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</si>
  <si>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</si>
  <si>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</si>
  <si>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</si>
  <si>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</si>
  <si>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</si>
  <si>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</si>
  <si>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</si>
  <si>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</si>
  <si>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</si>
  <si>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</si>
  <si>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</si>
  <si>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</si>
  <si>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</si>
  <si>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</si>
  <si>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</si>
  <si>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</si>
  <si>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</si>
  <si>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</si>
  <si>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</si>
  <si>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</si>
  <si>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</si>
  <si>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</si>
  <si>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</si>
  <si>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</si>
  <si>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</si>
  <si>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</si>
  <si>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</si>
  <si>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</si>
  <si>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</si>
  <si>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</si>
  <si>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</si>
  <si>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</si>
  <si>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</si>
  <si>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</si>
  <si>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</si>
  <si>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</si>
  <si>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</si>
  <si>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</si>
  <si>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</si>
  <si>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</si>
  <si>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</si>
  <si>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</si>
  <si>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</si>
  <si>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</si>
  <si>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</si>
  <si>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</si>
  <si>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</si>
  <si>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</si>
  <si>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huanhaohe</t>
    <phoneticPr fontId="7" type="noConversion"/>
  </si>
  <si>
    <t>投资项目全流程法务支持 Full-process legal support for investments</t>
  </si>
  <si>
    <t>Recording/reviewing deals updates/weekly time reports/other team summaries</t>
  </si>
  <si>
    <t>Investment Related - Corporate Matter</t>
    <phoneticPr fontId="7" type="noConversion"/>
  </si>
  <si>
    <t>再融资 - 追加</t>
    <phoneticPr fontId="7" type="noConversion"/>
  </si>
  <si>
    <t>常规决议</t>
    <phoneticPr fontId="7" type="noConversion"/>
  </si>
  <si>
    <t>普渡科技</t>
    <phoneticPr fontId="7" type="noConversion"/>
  </si>
  <si>
    <t>Public - Knowledge Accumulation &amp; Sharing</t>
  </si>
  <si>
    <t>IPO</t>
    <phoneticPr fontId="7" type="noConversion"/>
  </si>
  <si>
    <t>Tenways</t>
    <phoneticPr fontId="7" type="noConversion"/>
  </si>
  <si>
    <t>timesheet</t>
    <phoneticPr fontId="7" type="noConversion"/>
  </si>
  <si>
    <t>红筹重组</t>
    <phoneticPr fontId="7" type="noConversion"/>
  </si>
  <si>
    <t>云鲸</t>
    <phoneticPr fontId="7" type="noConversion"/>
  </si>
  <si>
    <t>账单事宜</t>
    <phoneticPr fontId="7" type="noConversion"/>
  </si>
  <si>
    <t>制裁合规</t>
    <phoneticPr fontId="7" type="noConversion"/>
  </si>
  <si>
    <t>反洗钱及制裁法务支持 Legal support for anti-money laundering and sanctions compliance</t>
  </si>
  <si>
    <t>合规专项：集团制裁与国际反洗钱合规作业与风险监测系统搭建的数据隐私合规论证</t>
    <phoneticPr fontId="7" type="noConversion"/>
  </si>
  <si>
    <t>博迈医疗</t>
    <phoneticPr fontId="7" type="noConversion"/>
  </si>
  <si>
    <t>首次投资</t>
    <phoneticPr fontId="7" type="noConversion"/>
  </si>
  <si>
    <t>Minimax</t>
    <phoneticPr fontId="7" type="noConversion"/>
  </si>
  <si>
    <t>再融资 - 不追加</t>
    <phoneticPr fontId="7" type="noConversion"/>
  </si>
  <si>
    <t>原启</t>
    <phoneticPr fontId="7" type="noConversion"/>
  </si>
  <si>
    <t>乐聚机器人</t>
    <phoneticPr fontId="7" type="noConversion"/>
  </si>
  <si>
    <t>部分退出</t>
    <phoneticPr fontId="7" type="noConversion"/>
  </si>
  <si>
    <t>SkyCell</t>
    <phoneticPr fontId="7" type="noConversion"/>
  </si>
  <si>
    <t>合规专项：集团制裁IP/域名封禁项目</t>
    <phoneticPr fontId="7" type="noConversion"/>
  </si>
  <si>
    <t>微芯感知</t>
    <phoneticPr fontId="7" type="noConversion"/>
  </si>
  <si>
    <t>涉密资质申请</t>
    <phoneticPr fontId="7" type="noConversion"/>
  </si>
  <si>
    <t>人社部PPP项目</t>
    <phoneticPr fontId="7" type="noConversion"/>
  </si>
  <si>
    <t>数字广东</t>
    <phoneticPr fontId="7" type="noConversion"/>
  </si>
  <si>
    <t>例会</t>
    <phoneticPr fontId="7" type="noConversion"/>
  </si>
  <si>
    <t>Lucy: CFIUS/数据新规分析统计</t>
    <phoneticPr fontId="7" type="noConversion"/>
  </si>
  <si>
    <t>Tina: 利通统计</t>
    <phoneticPr fontId="7" type="noConversion"/>
  </si>
  <si>
    <t>海南高朋</t>
    <phoneticPr fontId="7" type="noConversion"/>
  </si>
  <si>
    <t>重大资产重组</t>
    <phoneticPr fontId="7" type="noConversion"/>
  </si>
  <si>
    <t>1CE</t>
    <phoneticPr fontId="7" type="noConversion"/>
  </si>
  <si>
    <t>put option</t>
    <phoneticPr fontId="7" type="noConversion"/>
  </si>
  <si>
    <t>Daniel: 投资公司红线事项统计</t>
    <phoneticPr fontId="7" type="noConversion"/>
  </si>
  <si>
    <t>参加培训：proxy voting与股票电子化</t>
    <phoneticPr fontId="7" type="noConversion"/>
  </si>
  <si>
    <t>知识库更新、五部门知识激励奖项月度统计数据</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</si>
</sst>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rgb="FF000000"/>
      <name val="等线"/>
      <family val="4"/>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2">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0" fontId="1" fillId="0" borderId="8" xfId="0" applyFont="1" applyBorder="1" applyAlignment="1">
      <alignment vertical="center" wrapText="1"/>
    </xf>
    <xf numFmtId="0" fontId="1" fillId="0" borderId="4" xfId="0" applyFont="1" applyBorder="1" applyAlignment="1">
      <alignment vertical="center" wrapText="1"/>
    </xf>
    <xf numFmtId="0" fontId="9" fillId="0" borderId="3" xfId="0" applyFont="1" applyBorder="1">
      <alignment vertical="center"/>
    </xf>
    <xf numFmtId="0" fontId="9" fillId="0" borderId="16" xfId="0" applyFont="1" applyBorder="1">
      <alignment vertical="center"/>
    </xf>
    <xf numFmtId="0" fontId="1" fillId="0" borderId="4" xfId="0" applyFont="1" applyBorder="1" applyAlignment="1">
      <alignment horizontal="right" vertical="center"/>
    </xf>
    <xf numFmtId="0" fontId="5" fillId="0" borderId="16" xfId="0" applyFont="1" applyBorder="1">
      <alignment vertical="center"/>
    </xf>
    <xf numFmtId="0" fontId="1" fillId="0" borderId="16" xfId="0" applyFont="1" applyBorder="1" applyAlignment="1">
      <alignment vertical="center" wrapText="1"/>
    </xf>
    <xf numFmtId="0" fontId="5" fillId="0" borderId="16" xfId="0" applyFont="1" applyBorder="1" applyAlignment="1">
      <alignment vertical="center" wrapText="1"/>
    </xf>
    <xf numFmtId="0" fontId="1" fillId="0" borderId="11"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9"/>
  <sheetViews>
    <sheetView tabSelected="1" zoomScale="120" zoomScaleNormal="120" workbookViewId="0">
      <selection activeCell="I23" sqref="I23"/>
    </sheetView>
  </sheetViews>
  <sheetFormatPr baseColWidth="10" defaultColWidth="9" defaultRowHeight="15"/>
  <cols>
    <col min="2" max="2" width="10.5" bestFit="1" customWidth="1"/>
    <col min="3" max="3" width="34.33203125" style="13" customWidth="1"/>
    <col min="4" max="4" width="15.1640625" customWidth="1"/>
    <col min="5" max="5" width="10.6640625" customWidth="1"/>
    <col min="6" max="6" width="29.83203125" style="13" customWidth="1"/>
    <col min="8" max="8" width="41.6640625" style="13" customWidth="1"/>
    <col min="9" max="9" width="39.83203125" customWidth="1"/>
  </cols>
  <sheetData>
    <row r="2" spans="2:9" ht="28">
      <c r="B2" s="4" t="s">
        <v>0</v>
      </c>
      <c r="C2" s="5" t="s">
        <v>70</v>
      </c>
      <c r="D2" s="5" t="s">
        <v>1</v>
      </c>
      <c r="E2" s="5" t="s">
        <v>2</v>
      </c>
      <c r="F2" s="5" t="s">
        <v>3</v>
      </c>
      <c r="G2" s="5" t="s">
        <v>4</v>
      </c>
      <c r="H2" s="5" t="s">
        <v>5</v>
      </c>
      <c r="I2" s="9" t="s">
        <v>6</v>
      </c>
    </row>
    <row r="3" spans="2:9" ht="208" customHeight="1">
      <c r="B3" s="6" t="s">
        <v>7</v>
      </c>
      <c r="C3" s="7" t="s">
        <v>8</v>
      </c>
      <c r="D3" s="7" t="s">
        <v>9</v>
      </c>
      <c r="E3" s="7" t="s">
        <v>59</v>
      </c>
      <c r="F3" s="7" t="s">
        <v>57</v>
      </c>
      <c r="G3" s="7" t="s">
        <v>10</v>
      </c>
      <c r="H3" s="7" t="s">
        <v>11</v>
      </c>
      <c r="I3" s="10" t="s">
        <v>12</v>
      </c>
    </row>
    <row r="4" spans="2:9" ht="28">
      <c r="B4" s="14" t="s">
        <v>72</v>
      </c>
      <c r="C4" s="12" t="s">
        <v>14</v>
      </c>
      <c r="D4" s="25" t="s">
        <v>89</v>
      </c>
      <c r="E4" s="8" t="s">
        <v>40</v>
      </c>
      <c r="F4" s="12" t="s">
        <v>73</v>
      </c>
      <c r="G4" s="31">
        <v>23.5</v>
      </c>
      <c r="H4" s="28" t="s">
        <v>20</v>
      </c>
      <c r="I4" s="26" t="s">
        <v>90</v>
      </c>
    </row>
    <row r="5" spans="2:9" ht="28">
      <c r="B5" s="14" t="s">
        <v>72</v>
      </c>
      <c r="C5" s="12" t="s">
        <v>14</v>
      </c>
      <c r="D5" s="25" t="s">
        <v>96</v>
      </c>
      <c r="E5" s="8" t="s">
        <v>40</v>
      </c>
      <c r="F5" s="12" t="s">
        <v>73</v>
      </c>
      <c r="G5" s="31">
        <v>0.4</v>
      </c>
      <c r="H5" s="28" t="s">
        <v>20</v>
      </c>
      <c r="I5" s="26" t="s">
        <v>90</v>
      </c>
    </row>
    <row r="6" spans="2:9" ht="28">
      <c r="B6" s="14" t="s">
        <v>72</v>
      </c>
      <c r="C6" s="28" t="s">
        <v>14</v>
      </c>
      <c r="D6" s="25" t="s">
        <v>84</v>
      </c>
      <c r="E6" s="8" t="s">
        <v>40</v>
      </c>
      <c r="F6" s="28" t="s">
        <v>73</v>
      </c>
      <c r="G6" s="25">
        <v>0.3</v>
      </c>
      <c r="H6" s="28" t="s">
        <v>20</v>
      </c>
      <c r="I6" s="26" t="s">
        <v>76</v>
      </c>
    </row>
    <row r="7" spans="2:9" ht="28">
      <c r="B7" s="14" t="s">
        <v>72</v>
      </c>
      <c r="C7" s="28" t="s">
        <v>14</v>
      </c>
      <c r="D7" s="25" t="s">
        <v>93</v>
      </c>
      <c r="E7" s="8" t="s">
        <v>40</v>
      </c>
      <c r="F7" s="28" t="s">
        <v>73</v>
      </c>
      <c r="G7" s="25">
        <v>4.5</v>
      </c>
      <c r="H7" s="28" t="s">
        <v>20</v>
      </c>
      <c r="I7" s="26" t="s">
        <v>76</v>
      </c>
    </row>
    <row r="8" spans="2:9" ht="28">
      <c r="B8" s="14" t="s">
        <v>72</v>
      </c>
      <c r="C8" s="28" t="s">
        <v>14</v>
      </c>
      <c r="D8" s="25" t="s">
        <v>91</v>
      </c>
      <c r="E8" s="8" t="s">
        <v>40</v>
      </c>
      <c r="F8" s="28" t="s">
        <v>73</v>
      </c>
      <c r="G8" s="25">
        <v>5.5</v>
      </c>
      <c r="H8" s="28" t="s">
        <v>20</v>
      </c>
      <c r="I8" s="26" t="s">
        <v>92</v>
      </c>
    </row>
    <row r="9" spans="2:9" ht="28">
      <c r="B9" s="14" t="s">
        <v>72</v>
      </c>
      <c r="C9" s="12" t="s">
        <v>14</v>
      </c>
      <c r="D9" s="25" t="s">
        <v>107</v>
      </c>
      <c r="E9" s="8" t="s">
        <v>40</v>
      </c>
      <c r="F9" s="12" t="s">
        <v>73</v>
      </c>
      <c r="G9" s="8">
        <v>1.1000000000000001</v>
      </c>
      <c r="H9" s="12" t="s">
        <v>20</v>
      </c>
      <c r="I9" s="26" t="s">
        <v>108</v>
      </c>
    </row>
    <row r="10" spans="2:9" ht="28">
      <c r="B10" s="14" t="s">
        <v>72</v>
      </c>
      <c r="C10" s="28" t="s">
        <v>14</v>
      </c>
      <c r="D10" s="25" t="s">
        <v>94</v>
      </c>
      <c r="E10" s="8" t="s">
        <v>40</v>
      </c>
      <c r="F10" s="28" t="s">
        <v>73</v>
      </c>
      <c r="G10" s="25">
        <v>3</v>
      </c>
      <c r="H10" s="28" t="s">
        <v>20</v>
      </c>
      <c r="I10" s="26" t="s">
        <v>95</v>
      </c>
    </row>
    <row r="11" spans="2:9" ht="28">
      <c r="B11" s="14" t="s">
        <v>72</v>
      </c>
      <c r="C11" s="28" t="s">
        <v>14</v>
      </c>
      <c r="D11" s="25" t="s">
        <v>81</v>
      </c>
      <c r="E11" s="8" t="s">
        <v>40</v>
      </c>
      <c r="F11" s="28" t="s">
        <v>73</v>
      </c>
      <c r="G11" s="25">
        <v>0.1</v>
      </c>
      <c r="H11" s="28" t="s">
        <v>20</v>
      </c>
      <c r="I11" s="26" t="s">
        <v>83</v>
      </c>
    </row>
    <row r="12" spans="2:9" ht="28">
      <c r="B12" s="14" t="s">
        <v>72</v>
      </c>
      <c r="C12" s="12" t="s">
        <v>14</v>
      </c>
      <c r="D12" s="25" t="s">
        <v>105</v>
      </c>
      <c r="E12" s="8" t="s">
        <v>40</v>
      </c>
      <c r="F12" s="12" t="s">
        <v>73</v>
      </c>
      <c r="G12" s="8">
        <v>0.1</v>
      </c>
      <c r="H12" s="12" t="s">
        <v>20</v>
      </c>
      <c r="I12" s="26" t="s">
        <v>106</v>
      </c>
    </row>
    <row r="13" spans="2:9" ht="28">
      <c r="B13" s="14" t="s">
        <v>72</v>
      </c>
      <c r="C13" s="12" t="s">
        <v>14</v>
      </c>
      <c r="D13" s="25" t="s">
        <v>78</v>
      </c>
      <c r="E13" s="8" t="s">
        <v>40</v>
      </c>
      <c r="F13" s="12" t="s">
        <v>73</v>
      </c>
      <c r="G13" s="8">
        <v>4.0999999999999996</v>
      </c>
      <c r="H13" s="12" t="s">
        <v>20</v>
      </c>
      <c r="I13" s="26" t="s">
        <v>80</v>
      </c>
    </row>
    <row r="14" spans="2:9" ht="28">
      <c r="B14" s="29" t="s">
        <v>72</v>
      </c>
      <c r="C14" s="28" t="s">
        <v>75</v>
      </c>
      <c r="D14" s="30" t="s">
        <v>98</v>
      </c>
      <c r="E14" s="8" t="s">
        <v>40</v>
      </c>
      <c r="F14" s="12" t="s">
        <v>73</v>
      </c>
      <c r="G14" s="30">
        <v>0.6</v>
      </c>
      <c r="H14" s="12" t="s">
        <v>20</v>
      </c>
      <c r="I14" s="26" t="s">
        <v>99</v>
      </c>
    </row>
    <row r="15" spans="2:9" ht="28">
      <c r="B15" s="29" t="s">
        <v>72</v>
      </c>
      <c r="C15" s="28" t="s">
        <v>75</v>
      </c>
      <c r="D15" s="30" t="s">
        <v>100</v>
      </c>
      <c r="E15" s="8" t="s">
        <v>40</v>
      </c>
      <c r="F15" s="12" t="s">
        <v>73</v>
      </c>
      <c r="G15" s="30">
        <v>0.3</v>
      </c>
      <c r="H15" s="12" t="s">
        <v>20</v>
      </c>
      <c r="I15" s="26" t="s">
        <v>77</v>
      </c>
    </row>
    <row r="16" spans="2:9" ht="28">
      <c r="B16" s="29" t="s">
        <v>72</v>
      </c>
      <c r="C16" s="28" t="s">
        <v>75</v>
      </c>
      <c r="D16" s="30" t="s">
        <v>101</v>
      </c>
      <c r="E16" s="8" t="s">
        <v>40</v>
      </c>
      <c r="F16" s="12" t="s">
        <v>73</v>
      </c>
      <c r="G16" s="30">
        <v>0.1</v>
      </c>
      <c r="H16" s="12" t="s">
        <v>20</v>
      </c>
      <c r="I16" s="26" t="s">
        <v>77</v>
      </c>
    </row>
    <row r="17" spans="2:9" ht="42">
      <c r="B17" s="29" t="s">
        <v>72</v>
      </c>
      <c r="C17" s="33" t="s">
        <v>17</v>
      </c>
      <c r="D17" s="30" t="s">
        <v>86</v>
      </c>
      <c r="E17" s="32" t="s">
        <v>40</v>
      </c>
      <c r="F17" s="34" t="s">
        <v>87</v>
      </c>
      <c r="G17" s="30">
        <v>4.0999999999999996</v>
      </c>
      <c r="H17" s="34" t="s">
        <v>26</v>
      </c>
      <c r="I17" s="35" t="s">
        <v>88</v>
      </c>
    </row>
    <row r="18" spans="2:9" ht="42">
      <c r="B18" s="29" t="s">
        <v>72</v>
      </c>
      <c r="C18" s="33" t="s">
        <v>17</v>
      </c>
      <c r="D18" s="30" t="s">
        <v>86</v>
      </c>
      <c r="E18" s="32" t="s">
        <v>40</v>
      </c>
      <c r="F18" s="34" t="s">
        <v>87</v>
      </c>
      <c r="G18" s="30">
        <v>2.6</v>
      </c>
      <c r="H18" s="34" t="s">
        <v>26</v>
      </c>
      <c r="I18" s="35" t="s">
        <v>97</v>
      </c>
    </row>
    <row r="19" spans="2:9">
      <c r="B19" s="14" t="s">
        <v>72</v>
      </c>
      <c r="C19" s="12" t="s">
        <v>79</v>
      </c>
      <c r="D19" s="25"/>
      <c r="E19" s="25" t="s">
        <v>27</v>
      </c>
      <c r="F19" s="28"/>
      <c r="G19" s="25">
        <v>1.2</v>
      </c>
      <c r="H19" s="28" t="s">
        <v>34</v>
      </c>
      <c r="I19" s="27" t="s">
        <v>110</v>
      </c>
    </row>
    <row r="20" spans="2:9">
      <c r="B20" s="14" t="s">
        <v>72</v>
      </c>
      <c r="C20" s="12" t="s">
        <v>79</v>
      </c>
      <c r="D20" s="25"/>
      <c r="E20" s="25" t="s">
        <v>27</v>
      </c>
      <c r="F20" s="28"/>
      <c r="G20" s="25">
        <v>1.7</v>
      </c>
      <c r="H20" s="28" t="s">
        <v>27</v>
      </c>
      <c r="I20" s="27" t="s">
        <v>111</v>
      </c>
    </row>
    <row r="21" spans="2:9">
      <c r="B21" s="14" t="s">
        <v>72</v>
      </c>
      <c r="C21" s="28" t="s">
        <v>18</v>
      </c>
      <c r="D21" s="25"/>
      <c r="E21" s="25" t="s">
        <v>27</v>
      </c>
      <c r="F21" s="28"/>
      <c r="G21" s="25">
        <v>1.2</v>
      </c>
      <c r="H21" s="28" t="s">
        <v>24</v>
      </c>
      <c r="I21" s="27" t="s">
        <v>102</v>
      </c>
    </row>
    <row r="22" spans="2:9" ht="28">
      <c r="B22" s="14" t="s">
        <v>72</v>
      </c>
      <c r="C22" s="28" t="s">
        <v>18</v>
      </c>
      <c r="D22" s="25"/>
      <c r="E22" s="25" t="s">
        <v>27</v>
      </c>
      <c r="F22" s="28"/>
      <c r="G22" s="25">
        <v>2</v>
      </c>
      <c r="H22" s="28" t="s">
        <v>38</v>
      </c>
      <c r="I22" s="27" t="s">
        <v>85</v>
      </c>
    </row>
    <row r="23" spans="2:9" ht="28">
      <c r="B23" s="14" t="s">
        <v>72</v>
      </c>
      <c r="C23" s="28" t="s">
        <v>18</v>
      </c>
      <c r="D23" s="25"/>
      <c r="E23" s="25" t="s">
        <v>27</v>
      </c>
      <c r="F23" s="28"/>
      <c r="G23" s="25">
        <v>0.1</v>
      </c>
      <c r="H23" s="28" t="s">
        <v>74</v>
      </c>
      <c r="I23" s="27" t="s">
        <v>104</v>
      </c>
    </row>
    <row r="24" spans="2:9" ht="28">
      <c r="B24" s="14" t="s">
        <v>72</v>
      </c>
      <c r="C24" s="28" t="s">
        <v>18</v>
      </c>
      <c r="D24" s="25"/>
      <c r="E24" s="25" t="s">
        <v>27</v>
      </c>
      <c r="F24" s="28"/>
      <c r="G24" s="25">
        <v>0.8</v>
      </c>
      <c r="H24" s="28" t="s">
        <v>74</v>
      </c>
      <c r="I24" s="27" t="s">
        <v>109</v>
      </c>
    </row>
    <row r="25" spans="2:9" ht="28">
      <c r="B25" s="14" t="s">
        <v>72</v>
      </c>
      <c r="C25" s="28" t="s">
        <v>18</v>
      </c>
      <c r="D25" s="25"/>
      <c r="E25" s="25" t="s">
        <v>27</v>
      </c>
      <c r="F25" s="28"/>
      <c r="G25" s="25">
        <v>0.8</v>
      </c>
      <c r="H25" s="28" t="s">
        <v>74</v>
      </c>
      <c r="I25" s="27" t="s">
        <v>103</v>
      </c>
    </row>
    <row r="26" spans="2:9" ht="28">
      <c r="B26" s="14" t="s">
        <v>72</v>
      </c>
      <c r="C26" s="28" t="s">
        <v>18</v>
      </c>
      <c r="D26" s="25"/>
      <c r="E26" s="25" t="s">
        <v>27</v>
      </c>
      <c r="F26" s="28"/>
      <c r="G26" s="25">
        <v>1.4</v>
      </c>
      <c r="H26" s="28" t="s">
        <v>74</v>
      </c>
      <c r="I26" s="27" t="s">
        <v>82</v>
      </c>
    </row>
    <row r="27" spans="2:9">
      <c r="B27" s="20"/>
      <c r="C27" s="21"/>
      <c r="D27" s="22"/>
      <c r="E27" s="22"/>
      <c r="F27" s="24" t="s">
        <v>67</v>
      </c>
      <c r="G27" s="39">
        <f>SUM(G3:G26)</f>
        <v>59.500000000000014</v>
      </c>
      <c r="H27" s="40"/>
      <c r="I27" s="41"/>
    </row>
    <row r="28" spans="2:9" ht="16" thickBot="1">
      <c r="B28" s="17"/>
      <c r="C28" s="18"/>
      <c r="D28" s="19"/>
      <c r="E28" s="19"/>
      <c r="F28" s="23" t="s">
        <v>68</v>
      </c>
      <c r="G28" s="36">
        <v>5</v>
      </c>
      <c r="H28" s="37"/>
      <c r="I28" s="38"/>
    </row>
    <row r="29" spans="2:9" ht="16" thickTop="1"/>
  </sheetData>
  <mergeCells count="2">
    <mergeCell ref="G28:I28"/>
    <mergeCell ref="G27:I27"/>
  </mergeCells>
  <phoneticPr fontId="7" type="noConversion"/>
  <dataValidations count="2">
    <dataValidation type="list" allowBlank="1" showInputMessage="1" showErrorMessage="1" sqref="H14:H26 H4:H13" xr:uid="{00000000-0002-0000-0000-000000000000}">
      <formula1>hh</formula1>
    </dataValidation>
    <dataValidation type="list" allowBlank="1" showInputMessage="1" showErrorMessage="1" sqref="F14:F26 F4:F13"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C27:C28 C4:C5 C9 C12:C13 C14:C20</xm:sqref>
        </x14:dataValidation>
        <x14:dataValidation type="list" allowBlank="1" showInputMessage="1" showErrorMessage="1" xr:uid="{00000000-0002-0000-0000-000003000000}">
          <x14:formula1>
            <xm:f>数据标签!$B$11:$D$11</xm:f>
          </x14:formula1>
          <xm:sqref>E27:E28 E14:E18 E4:E13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zoomScale="140" zoomScaleNormal="140" workbookViewId="0">
      <selection activeCell="C15" sqref="C15"/>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5"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42">
      <c r="A12" s="1" t="s">
        <v>42</v>
      </c>
      <c r="B12" s="3" t="s">
        <v>43</v>
      </c>
    </row>
    <row r="13" spans="1:8" ht="42">
      <c r="B13" s="3" t="s">
        <v>55</v>
      </c>
      <c r="C13" s="11" t="s">
        <v>56</v>
      </c>
      <c r="D13" s="11" t="s">
        <v>56</v>
      </c>
    </row>
    <row r="14" spans="1:8" ht="28">
      <c r="B14" s="3" t="s">
        <v>44</v>
      </c>
      <c r="C14" s="11" t="s">
        <v>56</v>
      </c>
      <c r="D14" s="11" t="s">
        <v>56</v>
      </c>
    </row>
    <row r="15" spans="1:8" ht="56">
      <c r="B15" s="3" t="s">
        <v>45</v>
      </c>
      <c r="C15" s="11" t="s">
        <v>56</v>
      </c>
      <c r="D15" s="11" t="s">
        <v>56</v>
      </c>
    </row>
    <row r="16" spans="1:8" ht="56">
      <c r="B16" s="3" t="s">
        <v>46</v>
      </c>
      <c r="C16" s="11" t="s">
        <v>56</v>
      </c>
      <c r="D16" s="11" t="s">
        <v>56</v>
      </c>
    </row>
    <row r="17" spans="2:4" ht="42">
      <c r="B17" s="3" t="s">
        <v>47</v>
      </c>
      <c r="C17" s="11" t="s">
        <v>56</v>
      </c>
      <c r="D17" s="11" t="s">
        <v>56</v>
      </c>
    </row>
    <row r="18" spans="2:4" ht="56">
      <c r="B18" s="3" t="s">
        <v>48</v>
      </c>
      <c r="C18" s="11" t="s">
        <v>56</v>
      </c>
      <c r="D18" s="11" t="s">
        <v>56</v>
      </c>
    </row>
    <row r="19" spans="2:4" ht="56">
      <c r="B19" s="3" t="s">
        <v>49</v>
      </c>
      <c r="C19" s="11" t="s">
        <v>56</v>
      </c>
      <c r="D19" s="11" t="s">
        <v>56</v>
      </c>
    </row>
    <row r="20" spans="2:4" ht="42">
      <c r="B20" s="3" t="s">
        <v>63</v>
      </c>
      <c r="C20" s="11" t="s">
        <v>56</v>
      </c>
      <c r="D20" s="11" t="s">
        <v>56</v>
      </c>
    </row>
    <row r="21" spans="2:4" ht="42">
      <c r="B21" s="3" t="s">
        <v>50</v>
      </c>
      <c r="C21" s="11" t="s">
        <v>56</v>
      </c>
      <c r="D21" s="11" t="s">
        <v>56</v>
      </c>
    </row>
    <row r="22" spans="2:4" ht="42">
      <c r="B22" s="3" t="s">
        <v>64</v>
      </c>
      <c r="C22" s="11" t="s">
        <v>56</v>
      </c>
      <c r="D22" s="11" t="s">
        <v>56</v>
      </c>
    </row>
    <row r="23" spans="2:4" ht="42">
      <c r="B23" s="3" t="s">
        <v>65</v>
      </c>
      <c r="C23" s="11"/>
      <c r="D23" s="11"/>
    </row>
    <row r="24" spans="2:4" ht="84">
      <c r="B24" s="3" t="s">
        <v>54</v>
      </c>
      <c r="C24" s="11" t="s">
        <v>56</v>
      </c>
      <c r="D24" s="11" t="s">
        <v>56</v>
      </c>
    </row>
    <row r="25" spans="2:4" ht="42">
      <c r="B25" s="3" t="s">
        <v>51</v>
      </c>
      <c r="C25" s="11" t="s">
        <v>56</v>
      </c>
      <c r="D25" s="11" t="s">
        <v>56</v>
      </c>
    </row>
    <row r="26" spans="2:4" ht="42">
      <c r="B26" s="3" t="s">
        <v>52</v>
      </c>
      <c r="C26" s="11" t="s">
        <v>56</v>
      </c>
      <c r="D26" s="11" t="s">
        <v>56</v>
      </c>
    </row>
    <row r="27" spans="2:4" ht="28">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Huanhao He</cp:lastModifiedBy>
  <dcterms:created xsi:type="dcterms:W3CDTF">2024-12-10T02:24:00Z</dcterms:created>
  <dcterms:modified xsi:type="dcterms:W3CDTF">2025-07-07T00:34:56Z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