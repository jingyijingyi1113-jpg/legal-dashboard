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hehuanhao/Desktop/1.工作/2.腾讯项目/Timesheet/2024.12起新模板/2025年/6月/"/>
    </mc:Choice>
  </mc:AlternateContent>
  <xr:revisionPtr revIDLastSave="0" documentId="13_ncr:1_{F9895910-5FAB-F14D-82E0-188D55C4425E}" xr6:coauthVersionLast="47" xr6:coauthVersionMax="47" xr10:uidLastSave="{00000000-0000-0000-0000-000000000000}"/>
  <bookViews>
    <workbookView xWindow="15640" yWindow="252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<sst xmlns="http://schemas.openxmlformats.org/spreadsheetml/2006/main" count="156" uniqueCount="85">
  <si>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</si>
  <si>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</si>
  <si>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</si>
  <si>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</si>
  <si>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</si>
  <si>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</si>
  <si>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</si>
  <si>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</si>
  <si>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</si>
  <si>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</si>
  <si>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</si>
  <si>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</si>
  <si>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</si>
  <si>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</si>
  <si>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</si>
  <si>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</si>
  <si>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</si>
  <si>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</si>
  <si>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</si>
  <si>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</si>
  <si>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</si>
  <si>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</si>
  <si>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</si>
  <si>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</si>
  <si>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</si>
  <si>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</si>
  <si>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</si>
  <si>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</si>
  <si>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</si>
  <si>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</si>
  <si>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</si>
  <si>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</si>
  <si>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</si>
  <si>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</si>
  <si>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</si>
  <si>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</si>
  <si>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</si>
  <si>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</si>
  <si>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</si>
  <si>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</si>
  <si>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</si>
  <si>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</si>
  <si>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</si>
  <si>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</si>
  <si>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</si>
  <si>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</si>
  <si>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</si>
  <si>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</si>
  <si>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</si>
  <si>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</si>
  <si>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</si>
  <si>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</si>
  <si>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</si>
  <si>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</si>
  <si>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</si>
  <si>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</si>
  <si>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</si>
  <si>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</si>
  <si>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</si>
  <si>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</si>
  <si>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</si>
  <si>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</si>
  <si>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</si>
  <si>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</si>
  <si>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</si>
  <si>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</si>
  <si>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</si>
  <si>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</si>
  <si>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</si>
  <si>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</si>
  <si>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</si>
  <si>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</si>
  <si>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</si>
  <si>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</si>
  <si>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再融资 - 追加</t>
    <phoneticPr fontId="7" type="noConversion"/>
  </si>
  <si>
    <t>普渡科技</t>
    <phoneticPr fontId="7" type="noConversion"/>
  </si>
  <si>
    <t>IPO</t>
    <phoneticPr fontId="7" type="noConversion"/>
  </si>
  <si>
    <t>Project Alchemist</t>
    <phoneticPr fontId="7" type="noConversion"/>
  </si>
  <si>
    <t>云鲸</t>
    <phoneticPr fontId="7" type="noConversion"/>
  </si>
  <si>
    <t>制裁合规</t>
    <phoneticPr fontId="7" type="noConversion"/>
  </si>
  <si>
    <t>反洗钱及制裁法务支持 Legal support for anti-money laundering and sanctions compliance</t>
  </si>
  <si>
    <t>合规专项：集团制裁与国际反洗钱合规作业与风险监测系统搭建的数据隐私合规论证</t>
    <phoneticPr fontId="7" type="noConversion"/>
  </si>
  <si>
    <t>原启生物</t>
    <phoneticPr fontId="7" type="noConversion"/>
  </si>
  <si>
    <t>乐聚机器人</t>
    <phoneticPr fontId="7" type="noConversion"/>
  </si>
  <si>
    <t>再融资 - 不追加</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</si>
</sst>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120" zoomScaleNormal="120" workbookViewId="0">
      <selection activeCell="F21" sqref="F21"/>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82</v>
      </c>
      <c r="E4" s="8" t="s">
        <v>40</v>
      </c>
      <c r="F4" s="12" t="s">
        <v>73</v>
      </c>
      <c r="G4" s="30">
        <v>1.5</v>
      </c>
      <c r="H4" s="27" t="s">
        <v>20</v>
      </c>
      <c r="I4" s="26" t="s">
        <v>74</v>
      </c>
    </row>
    <row r="5" spans="2:9" ht="28">
      <c r="B5" s="14" t="s">
        <v>72</v>
      </c>
      <c r="C5" s="27" t="s">
        <v>14</v>
      </c>
      <c r="D5" s="25" t="s">
        <v>78</v>
      </c>
      <c r="E5" s="8" t="s">
        <v>40</v>
      </c>
      <c r="F5" s="27" t="s">
        <v>73</v>
      </c>
      <c r="G5" s="25">
        <v>1</v>
      </c>
      <c r="H5" s="27" t="s">
        <v>20</v>
      </c>
      <c r="I5" s="26" t="s">
        <v>74</v>
      </c>
    </row>
    <row r="6" spans="2:9" ht="28">
      <c r="B6" s="14" t="s">
        <v>72</v>
      </c>
      <c r="C6" s="27" t="s">
        <v>14</v>
      </c>
      <c r="D6" s="25" t="s">
        <v>83</v>
      </c>
      <c r="E6" s="8" t="s">
        <v>40</v>
      </c>
      <c r="F6" s="27" t="s">
        <v>73</v>
      </c>
      <c r="G6" s="25">
        <v>0.5</v>
      </c>
      <c r="H6" s="27" t="s">
        <v>20</v>
      </c>
      <c r="I6" s="26" t="s">
        <v>84</v>
      </c>
    </row>
    <row r="7" spans="2:9" ht="28">
      <c r="B7" s="14" t="s">
        <v>72</v>
      </c>
      <c r="C7" s="12" t="s">
        <v>14</v>
      </c>
      <c r="D7" s="25" t="s">
        <v>77</v>
      </c>
      <c r="E7" s="8" t="s">
        <v>40</v>
      </c>
      <c r="F7" s="12" t="s">
        <v>73</v>
      </c>
      <c r="G7" s="8">
        <v>1.2</v>
      </c>
      <c r="H7" s="12" t="s">
        <v>20</v>
      </c>
      <c r="I7" s="26" t="s">
        <v>76</v>
      </c>
    </row>
    <row r="8" spans="2:9" ht="28">
      <c r="B8" s="14" t="s">
        <v>72</v>
      </c>
      <c r="C8" s="12" t="s">
        <v>14</v>
      </c>
      <c r="D8" s="25" t="s">
        <v>75</v>
      </c>
      <c r="E8" s="8" t="s">
        <v>40</v>
      </c>
      <c r="F8" s="12" t="s">
        <v>73</v>
      </c>
      <c r="G8" s="8">
        <v>1</v>
      </c>
      <c r="H8" s="12" t="s">
        <v>20</v>
      </c>
      <c r="I8" s="26" t="s">
        <v>76</v>
      </c>
    </row>
    <row r="9" spans="2:9" ht="42">
      <c r="B9" s="28" t="s">
        <v>72</v>
      </c>
      <c r="C9" s="32" t="s">
        <v>17</v>
      </c>
      <c r="D9" s="29" t="s">
        <v>79</v>
      </c>
      <c r="E9" s="31" t="s">
        <v>40</v>
      </c>
      <c r="F9" s="33" t="s">
        <v>80</v>
      </c>
      <c r="G9" s="29">
        <v>5.5</v>
      </c>
      <c r="H9" s="33" t="s">
        <v>26</v>
      </c>
      <c r="I9" s="34" t="s">
        <v>81</v>
      </c>
    </row>
    <row r="10" spans="2:9">
      <c r="B10" s="20"/>
      <c r="C10" s="21"/>
      <c r="D10" s="22"/>
      <c r="E10" s="22"/>
      <c r="F10" s="24" t="s">
        <v>67</v>
      </c>
      <c r="G10" s="38">
        <f>SUM(G3:G9)</f>
        <v>10.7</v>
      </c>
      <c r="H10" s="39"/>
      <c r="I10" s="40"/>
    </row>
    <row r="11" spans="2:9" ht="16" thickBot="1">
      <c r="B11" s="17"/>
      <c r="C11" s="18"/>
      <c r="D11" s="19"/>
      <c r="E11" s="19"/>
      <c r="F11" s="23" t="s">
        <v>68</v>
      </c>
      <c r="G11" s="35">
        <v>0</v>
      </c>
      <c r="H11" s="36"/>
      <c r="I11" s="37"/>
    </row>
    <row r="12" spans="2:9" ht="16"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C10:C11 C4 C7:C9</xm:sqref>
        </x14:dataValidation>
        <x14:dataValidation type="list" allowBlank="1" showInputMessage="1" showErrorMessage="1" xr:uid="{00000000-0002-0000-0000-000003000000}">
          <x14:formula1>
            <xm:f>数据标签!$B$11:$D$11</xm:f>
          </x14:formula1>
          <xm:sqref>E10:E11 E4:E9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C15" sqref="C15"/>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2025-07-07T00:10:13Z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