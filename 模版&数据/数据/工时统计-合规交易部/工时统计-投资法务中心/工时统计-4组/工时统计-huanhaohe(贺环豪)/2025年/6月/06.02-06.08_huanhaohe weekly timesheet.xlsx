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6"/>
  <workbookPr/>
  <mc:AlternateContent xmlns:mc="http://schemas.openxmlformats.org/markup-compatibility/2006">
    <mc:Choice Requires="x15">
      <x15ac:absPath xmlns:x15ac="http://schemas.microsoft.com/office/spreadsheetml/2010/11/ac" url="/Users/hehuanhao/Desktop/1.工作/2.腾讯项目/Timesheet/2024.12起新模板/2025年/6月/"/>
    </mc:Choice>
  </mc:AlternateContent>
  <xr:revisionPtr revIDLastSave="0" documentId="13_ncr:1_{22327594-E1E3-F344-8059-7E594DD06DD2}" xr6:coauthVersionLast="47" xr6:coauthVersionMax="47" xr10:uidLastSave="{00000000-0000-0000-0000-000000000000}"/>
  <bookViews>
    <workbookView xWindow="15900" yWindow="2900" windowWidth="35060" windowHeight="200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<sst xmlns="http://schemas.openxmlformats.org/spreadsheetml/2006/main" count="175" uniqueCount="93">
  <si>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</si>
  <si>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</si>
  <si>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</si>
  <si>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</si>
  <si>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</si>
  <si>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</si>
  <si>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</si>
  <si>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</si>
  <si>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</si>
  <si>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</si>
  <si>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</si>
  <si>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</si>
  <si>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</si>
  <si>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</si>
  <si>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</si>
  <si>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</si>
  <si>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</si>
  <si>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</si>
  <si>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</si>
  <si>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</si>
  <si>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</si>
  <si>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</si>
  <si>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</si>
  <si>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</si>
  <si>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</si>
  <si>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</si>
  <si>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</si>
  <si>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</si>
  <si>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</si>
  <si>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</si>
  <si>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</si>
  <si>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</si>
  <si>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</si>
  <si>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</si>
  <si>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</si>
  <si>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</si>
  <si>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</si>
  <si>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</si>
  <si>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</si>
  <si>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</si>
  <si>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</si>
  <si>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</si>
  <si>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</si>
  <si>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</si>
  <si>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</si>
  <si>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</si>
  <si>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</si>
  <si>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</si>
  <si>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</si>
  <si>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</si>
  <si>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</si>
  <si>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</si>
  <si>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</si>
  <si>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</si>
  <si>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</si>
  <si>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</si>
  <si>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</si>
  <si>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</si>
  <si>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</si>
  <si>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</si>
  <si>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</si>
  <si>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</si>
  <si>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</si>
  <si>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</si>
  <si>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</si>
  <si>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</si>
  <si>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</si>
  <si>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</si>
  <si>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</si>
  <si>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</si>
  <si>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</si>
  <si>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</si>
  <si>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</si>
  <si>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</si>
  <si>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Recording/reviewing deals updates/weekly time reports/other team summaries</t>
  </si>
  <si>
    <t>再融资 - 不追加</t>
    <phoneticPr fontId="7" type="noConversion"/>
  </si>
  <si>
    <t>首次投资</t>
    <phoneticPr fontId="7" type="noConversion"/>
  </si>
  <si>
    <t>SkyCell</t>
    <phoneticPr fontId="7" type="noConversion"/>
  </si>
  <si>
    <t>再融资 - 追加</t>
    <phoneticPr fontId="7" type="noConversion"/>
  </si>
  <si>
    <t>云学堂</t>
    <phoneticPr fontId="7" type="noConversion"/>
  </si>
  <si>
    <t>股票电子化与减持</t>
    <phoneticPr fontId="7" type="noConversion"/>
  </si>
  <si>
    <t>Project Orange</t>
    <phoneticPr fontId="7" type="noConversion"/>
  </si>
  <si>
    <t>境内外主体/办公室合规管理 Compliance management for domestic and overseas entities/offices</t>
  </si>
  <si>
    <t>重点信创认证项目-腾讯云Linux服务器操作系统 V4安全可靠性测评项目</t>
    <phoneticPr fontId="7" type="noConversion"/>
  </si>
  <si>
    <t>腾讯云国测项目</t>
    <phoneticPr fontId="7" type="noConversion"/>
  </si>
  <si>
    <t>原启生物</t>
    <phoneticPr fontId="7" type="noConversion"/>
  </si>
  <si>
    <t>反洗钱及制裁法务支持 Legal support for anti-money laundering and sanctions compliance</t>
  </si>
  <si>
    <t>制裁合规</t>
    <phoneticPr fontId="7" type="noConversion"/>
  </si>
  <si>
    <t>IPO</t>
    <phoneticPr fontId="7" type="noConversion"/>
  </si>
  <si>
    <t>Project Alchemist</t>
    <phoneticPr fontId="7" type="noConversion"/>
  </si>
  <si>
    <t>timesheet</t>
    <phoneticPr fontId="7" type="noConversion"/>
  </si>
  <si>
    <t>Hive</t>
    <phoneticPr fontId="7" type="noConversion"/>
  </si>
  <si>
    <t>合同评审</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</si>
</sst>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3" xfId="0" applyFont="1" applyBorder="1">
      <alignment vertical="center"/>
    </xf>
    <xf numFmtId="0" fontId="9" fillId="0" borderId="16"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3" zoomScale="120" zoomScaleNormal="120" workbookViewId="0">
      <selection activeCell="H19" sqref="H19"/>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77</v>
      </c>
      <c r="E4" s="8" t="s">
        <v>40</v>
      </c>
      <c r="F4" s="12" t="s">
        <v>73</v>
      </c>
      <c r="G4" s="8">
        <v>0.1</v>
      </c>
      <c r="H4" s="12" t="s">
        <v>20</v>
      </c>
      <c r="I4" s="26" t="s">
        <v>76</v>
      </c>
    </row>
    <row r="5" spans="2:9" ht="28">
      <c r="B5" s="14" t="s">
        <v>72</v>
      </c>
      <c r="C5" s="12" t="s">
        <v>14</v>
      </c>
      <c r="D5" s="25" t="s">
        <v>81</v>
      </c>
      <c r="E5" s="8" t="s">
        <v>40</v>
      </c>
      <c r="F5" s="12" t="s">
        <v>73</v>
      </c>
      <c r="G5" s="8">
        <v>0.7</v>
      </c>
      <c r="H5" s="28" t="s">
        <v>20</v>
      </c>
      <c r="I5" s="26" t="s">
        <v>78</v>
      </c>
    </row>
    <row r="6" spans="2:9" ht="28">
      <c r="B6" s="14" t="s">
        <v>72</v>
      </c>
      <c r="C6" s="12" t="s">
        <v>14</v>
      </c>
      <c r="D6" s="25" t="s">
        <v>85</v>
      </c>
      <c r="E6" s="8" t="s">
        <v>40</v>
      </c>
      <c r="F6" s="12" t="s">
        <v>73</v>
      </c>
      <c r="G6" s="8">
        <v>4.2</v>
      </c>
      <c r="H6" s="28" t="s">
        <v>20</v>
      </c>
      <c r="I6" s="26" t="s">
        <v>78</v>
      </c>
    </row>
    <row r="7" spans="2:9" ht="28">
      <c r="B7" s="14" t="s">
        <v>72</v>
      </c>
      <c r="C7" s="28" t="s">
        <v>14</v>
      </c>
      <c r="D7" s="25" t="s">
        <v>91</v>
      </c>
      <c r="E7" s="8" t="s">
        <v>40</v>
      </c>
      <c r="F7" s="28" t="s">
        <v>73</v>
      </c>
      <c r="G7" s="25">
        <v>0.1</v>
      </c>
      <c r="H7" s="28" t="s">
        <v>20</v>
      </c>
      <c r="I7" s="26" t="s">
        <v>75</v>
      </c>
    </row>
    <row r="8" spans="2:9" ht="28">
      <c r="B8" s="14" t="s">
        <v>72</v>
      </c>
      <c r="C8" s="12" t="s">
        <v>14</v>
      </c>
      <c r="D8" s="25" t="s">
        <v>89</v>
      </c>
      <c r="E8" s="8" t="s">
        <v>40</v>
      </c>
      <c r="F8" s="12" t="s">
        <v>73</v>
      </c>
      <c r="G8" s="8">
        <v>1.7</v>
      </c>
      <c r="H8" s="12" t="s">
        <v>20</v>
      </c>
      <c r="I8" s="26" t="s">
        <v>88</v>
      </c>
    </row>
    <row r="9" spans="2:9" ht="28">
      <c r="B9" s="14" t="s">
        <v>72</v>
      </c>
      <c r="C9" s="12" t="s">
        <v>14</v>
      </c>
      <c r="D9" s="25" t="s">
        <v>79</v>
      </c>
      <c r="E9" s="8" t="s">
        <v>40</v>
      </c>
      <c r="F9" s="12" t="s">
        <v>73</v>
      </c>
      <c r="G9" s="8">
        <v>0.2</v>
      </c>
      <c r="H9" s="12" t="s">
        <v>20</v>
      </c>
      <c r="I9" s="26" t="s">
        <v>80</v>
      </c>
    </row>
    <row r="10" spans="2:9" ht="42">
      <c r="B10" s="29" t="s">
        <v>72</v>
      </c>
      <c r="C10" s="28" t="s">
        <v>17</v>
      </c>
      <c r="D10" s="30" t="s">
        <v>87</v>
      </c>
      <c r="E10" s="8" t="s">
        <v>40</v>
      </c>
      <c r="F10" s="12" t="s">
        <v>86</v>
      </c>
      <c r="G10" s="30">
        <v>0.1</v>
      </c>
      <c r="H10" s="12" t="s">
        <v>26</v>
      </c>
      <c r="I10" s="26" t="s">
        <v>92</v>
      </c>
    </row>
    <row r="11" spans="2:9" ht="42">
      <c r="B11" s="29" t="s">
        <v>72</v>
      </c>
      <c r="C11" s="28" t="s">
        <v>18</v>
      </c>
      <c r="D11" s="30" t="s">
        <v>84</v>
      </c>
      <c r="E11" s="8" t="s">
        <v>40</v>
      </c>
      <c r="F11" s="12" t="s">
        <v>82</v>
      </c>
      <c r="G11" s="30">
        <v>0.3</v>
      </c>
      <c r="H11" s="12" t="s">
        <v>31</v>
      </c>
      <c r="I11" s="27" t="s">
        <v>83</v>
      </c>
    </row>
    <row r="12" spans="2:9" ht="28">
      <c r="B12" s="14" t="s">
        <v>72</v>
      </c>
      <c r="C12" s="28" t="s">
        <v>18</v>
      </c>
      <c r="D12" s="25"/>
      <c r="E12" s="25" t="s">
        <v>27</v>
      </c>
      <c r="F12" s="28"/>
      <c r="G12" s="25">
        <v>0.3</v>
      </c>
      <c r="H12" s="28" t="s">
        <v>74</v>
      </c>
      <c r="I12" s="27" t="s">
        <v>90</v>
      </c>
    </row>
    <row r="13" spans="2:9">
      <c r="B13" s="20"/>
      <c r="C13" s="21"/>
      <c r="D13" s="22"/>
      <c r="E13" s="22"/>
      <c r="F13" s="24" t="s">
        <v>67</v>
      </c>
      <c r="G13" s="34">
        <f>SUM(G3:G12)</f>
        <v>7.6999999999999993</v>
      </c>
      <c r="H13" s="35"/>
      <c r="I13" s="36"/>
    </row>
    <row r="14" spans="2:9" ht="16" thickBot="1">
      <c r="B14" s="17"/>
      <c r="C14" s="18"/>
      <c r="D14" s="19"/>
      <c r="E14" s="19"/>
      <c r="F14" s="23" t="s">
        <v>68</v>
      </c>
      <c r="G14" s="31">
        <v>0</v>
      </c>
      <c r="H14" s="32"/>
      <c r="I14" s="33"/>
    </row>
    <row r="15" spans="2:9" ht="16" thickTop="1"/>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C13:C14 C4:C6 C8:C11</xm:sqref>
        </x14:dataValidation>
        <x14:dataValidation type="list" allowBlank="1" showInputMessage="1" showErrorMessage="1" xr:uid="{00000000-0002-0000-0000-000003000000}">
          <x14:formula1>
            <xm:f>数据标签!$B$11:$D$11</xm:f>
          </x14:formula1>
          <xm:sqref>E13:E14 E4:E11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140" zoomScaleNormal="140"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2025-06-09T08:43:16Z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