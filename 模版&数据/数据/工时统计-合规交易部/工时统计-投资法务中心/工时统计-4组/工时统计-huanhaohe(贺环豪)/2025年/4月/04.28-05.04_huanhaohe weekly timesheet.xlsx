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hehuanhao/Desktop/1.工作/2.腾讯项目/Timesheet/2024.12起新模板/2025年/4月/"/>
    </mc:Choice>
  </mc:AlternateContent>
  <xr:revisionPtr revIDLastSave="0" documentId="13_ncr:1_{30028682-43BC-D947-8515-CE0B96AB4727}" xr6:coauthVersionLast="47" xr6:coauthVersionMax="47" xr10:uidLastSave="{00000000-0000-0000-0000-000000000000}"/>
  <bookViews>
    <workbookView xWindow="14220" yWindow="2700" windowWidth="35060" windowHeight="200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<sst xmlns="http://schemas.openxmlformats.org/spreadsheetml/2006/main" count="209" uniqueCount="104">
  <si>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</si>
  <si>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</si>
  <si>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</si>
  <si>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</si>
  <si>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</si>
  <si>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</si>
  <si>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</si>
  <si>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</si>
  <si>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</si>
  <si>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</si>
  <si>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</si>
  <si>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</si>
  <si>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</si>
  <si>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</si>
  <si>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</si>
  <si>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</si>
  <si>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</si>
  <si>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</si>
  <si>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</si>
  <si>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</si>
  <si>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</si>
  <si>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</si>
  <si>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</si>
  <si>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</si>
  <si>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</si>
  <si>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</si>
  <si>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</si>
  <si>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</si>
  <si>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</si>
  <si>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</si>
  <si>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</si>
  <si>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</si>
  <si>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</si>
  <si>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</si>
  <si>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</si>
  <si>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</si>
  <si>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</si>
  <si>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</si>
  <si>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</si>
  <si>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</si>
  <si>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</si>
  <si>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</si>
  <si>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</si>
  <si>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</si>
  <si>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</si>
  <si>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</si>
  <si>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</si>
  <si>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</si>
  <si>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</si>
  <si>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</si>
  <si>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</si>
  <si>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</si>
  <si>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</si>
  <si>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</si>
  <si>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</si>
  <si>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</si>
  <si>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</si>
  <si>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</si>
  <si>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</si>
  <si>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</si>
  <si>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</si>
  <si>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</si>
  <si>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</si>
  <si>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</si>
  <si>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</si>
  <si>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</si>
  <si>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</si>
  <si>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</si>
  <si>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</si>
  <si>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</si>
  <si>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</si>
  <si>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</si>
  <si>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</si>
  <si>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</si>
  <si>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Recording/reviewing deals updates/weekly time reports/other team summaries</t>
  </si>
  <si>
    <t>Tenways</t>
    <phoneticPr fontId="7" type="noConversion"/>
  </si>
  <si>
    <t>红筹重组</t>
    <phoneticPr fontId="7" type="noConversion"/>
  </si>
  <si>
    <t>反洗钱及制裁法务支持 Legal support for anti-money laundering and sanctions compliance</t>
  </si>
  <si>
    <t>BSC</t>
    <phoneticPr fontId="7" type="noConversion"/>
  </si>
  <si>
    <t>再融资 - 不追加</t>
    <phoneticPr fontId="7" type="noConversion"/>
  </si>
  <si>
    <t>Investment Related - Corporate Matter</t>
    <phoneticPr fontId="7" type="noConversion"/>
  </si>
  <si>
    <t>huanhaohe</t>
  </si>
  <si>
    <t>Sirius</t>
    <phoneticPr fontId="7" type="noConversion"/>
  </si>
  <si>
    <t>首次投资</t>
    <phoneticPr fontId="7" type="noConversion"/>
  </si>
  <si>
    <t>Royal Crow</t>
    <phoneticPr fontId="7" type="noConversion"/>
  </si>
  <si>
    <t>公证认证</t>
    <phoneticPr fontId="7" type="noConversion"/>
  </si>
  <si>
    <t>SkyCell</t>
    <phoneticPr fontId="7" type="noConversion"/>
  </si>
  <si>
    <t>再融资 - 追加</t>
    <phoneticPr fontId="7" type="noConversion"/>
  </si>
  <si>
    <t>上市公司重大资产重组</t>
    <phoneticPr fontId="7" type="noConversion"/>
  </si>
  <si>
    <t>海南高朋</t>
    <phoneticPr fontId="7" type="noConversion"/>
  </si>
  <si>
    <t>云学堂</t>
    <phoneticPr fontId="7" type="noConversion"/>
  </si>
  <si>
    <t>股票电子化与减持</t>
    <phoneticPr fontId="7" type="noConversion"/>
  </si>
  <si>
    <t>咨询：互联网业务经营者的涉恐名单筛查义务</t>
    <phoneticPr fontId="7" type="noConversion"/>
  </si>
  <si>
    <t>制裁合规</t>
    <phoneticPr fontId="7" type="noConversion"/>
  </si>
  <si>
    <t>反洗钱合规</t>
    <phoneticPr fontId="7" type="noConversion"/>
  </si>
  <si>
    <t>监管协助需求：反洗钱法规翻译校对</t>
    <phoneticPr fontId="7" type="noConversion"/>
  </si>
  <si>
    <t>原启生物</t>
    <phoneticPr fontId="7" type="noConversion"/>
  </si>
  <si>
    <t>Minimax</t>
    <phoneticPr fontId="7" type="noConversion"/>
  </si>
  <si>
    <t>Project Orange</t>
    <phoneticPr fontId="7" type="noConversion"/>
  </si>
  <si>
    <t>人社部PPP项目</t>
    <phoneticPr fontId="7" type="noConversion"/>
  </si>
  <si>
    <t>每月交割进度确认</t>
    <phoneticPr fontId="7" type="noConversion"/>
  </si>
  <si>
    <t>常规决议</t>
    <phoneticPr fontId="7" type="noConversion"/>
  </si>
  <si>
    <t>控股和重点投资公司法务风险管理 Legal risk management for controlled and key invested portfolios</t>
  </si>
  <si>
    <t>投资公司及重点投资公司清单更新</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</si>
</sst>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3" xfId="0" applyFont="1" applyBorder="1">
      <alignment vertical="center"/>
    </xf>
    <xf numFmtId="0" fontId="9" fillId="0" borderId="16"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3" zoomScale="120" zoomScaleNormal="120" workbookViewId="0">
      <selection activeCell="I17" sqref="I17"/>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82</v>
      </c>
      <c r="E4" s="8" t="s">
        <v>40</v>
      </c>
      <c r="F4" s="12" t="s">
        <v>73</v>
      </c>
      <c r="G4" s="8">
        <v>0.4</v>
      </c>
      <c r="H4" s="12" t="s">
        <v>20</v>
      </c>
      <c r="I4" s="26" t="s">
        <v>83</v>
      </c>
    </row>
    <row r="5" spans="2:9" ht="28">
      <c r="B5" s="14" t="s">
        <v>72</v>
      </c>
      <c r="C5" s="12" t="s">
        <v>14</v>
      </c>
      <c r="D5" s="25" t="s">
        <v>86</v>
      </c>
      <c r="E5" s="8" t="s">
        <v>40</v>
      </c>
      <c r="F5" s="12" t="s">
        <v>73</v>
      </c>
      <c r="G5" s="8">
        <v>0.5</v>
      </c>
      <c r="H5" s="12" t="s">
        <v>20</v>
      </c>
      <c r="I5" s="26" t="s">
        <v>83</v>
      </c>
    </row>
    <row r="6" spans="2:9" ht="28">
      <c r="B6" s="14" t="s">
        <v>72</v>
      </c>
      <c r="C6" s="12" t="s">
        <v>14</v>
      </c>
      <c r="D6" s="25" t="s">
        <v>98</v>
      </c>
      <c r="E6" s="25" t="s">
        <v>78</v>
      </c>
      <c r="F6" s="12" t="s">
        <v>73</v>
      </c>
      <c r="G6" s="8">
        <v>3.5</v>
      </c>
      <c r="H6" s="28" t="s">
        <v>20</v>
      </c>
      <c r="I6" s="26" t="s">
        <v>87</v>
      </c>
    </row>
    <row r="7" spans="2:9" ht="28">
      <c r="B7" s="14" t="s">
        <v>72</v>
      </c>
      <c r="C7" s="28" t="s">
        <v>14</v>
      </c>
      <c r="D7" s="25" t="s">
        <v>96</v>
      </c>
      <c r="E7" s="25" t="s">
        <v>78</v>
      </c>
      <c r="F7" s="28" t="s">
        <v>73</v>
      </c>
      <c r="G7" s="25">
        <v>0.7</v>
      </c>
      <c r="H7" s="28" t="s">
        <v>20</v>
      </c>
      <c r="I7" s="26" t="s">
        <v>87</v>
      </c>
    </row>
    <row r="8" spans="2:9" ht="28">
      <c r="B8" s="14" t="s">
        <v>72</v>
      </c>
      <c r="C8" s="12" t="s">
        <v>14</v>
      </c>
      <c r="D8" s="25" t="s">
        <v>97</v>
      </c>
      <c r="E8" s="25" t="s">
        <v>78</v>
      </c>
      <c r="F8" s="12" t="s">
        <v>73</v>
      </c>
      <c r="G8" s="8">
        <v>0.6</v>
      </c>
      <c r="H8" s="12" t="s">
        <v>20</v>
      </c>
      <c r="I8" s="26" t="s">
        <v>79</v>
      </c>
    </row>
    <row r="9" spans="2:9" ht="28">
      <c r="B9" s="14" t="s">
        <v>72</v>
      </c>
      <c r="C9" s="12" t="s">
        <v>14</v>
      </c>
      <c r="D9" s="25" t="s">
        <v>89</v>
      </c>
      <c r="E9" s="25" t="s">
        <v>78</v>
      </c>
      <c r="F9" s="12" t="s">
        <v>73</v>
      </c>
      <c r="G9" s="8">
        <v>0.7</v>
      </c>
      <c r="H9" s="12" t="s">
        <v>20</v>
      </c>
      <c r="I9" s="26" t="s">
        <v>88</v>
      </c>
    </row>
    <row r="10" spans="2:9" ht="28">
      <c r="B10" s="14" t="s">
        <v>72</v>
      </c>
      <c r="C10" s="12" t="s">
        <v>14</v>
      </c>
      <c r="D10" s="25" t="s">
        <v>75</v>
      </c>
      <c r="E10" s="8" t="s">
        <v>40</v>
      </c>
      <c r="F10" s="12" t="s">
        <v>73</v>
      </c>
      <c r="G10" s="8">
        <v>0.8</v>
      </c>
      <c r="H10" s="12" t="s">
        <v>20</v>
      </c>
      <c r="I10" s="26" t="s">
        <v>76</v>
      </c>
    </row>
    <row r="11" spans="2:9" ht="28">
      <c r="B11" s="14" t="s">
        <v>72</v>
      </c>
      <c r="C11" s="12" t="s">
        <v>14</v>
      </c>
      <c r="D11" s="25" t="s">
        <v>90</v>
      </c>
      <c r="E11" s="8" t="s">
        <v>40</v>
      </c>
      <c r="F11" s="12" t="s">
        <v>73</v>
      </c>
      <c r="G11" s="8">
        <v>0.4</v>
      </c>
      <c r="H11" s="12" t="s">
        <v>20</v>
      </c>
      <c r="I11" s="26" t="s">
        <v>91</v>
      </c>
    </row>
    <row r="12" spans="2:9" ht="28">
      <c r="B12" s="29" t="s">
        <v>81</v>
      </c>
      <c r="C12" s="28" t="s">
        <v>80</v>
      </c>
      <c r="D12" s="30" t="s">
        <v>84</v>
      </c>
      <c r="E12" s="30" t="s">
        <v>40</v>
      </c>
      <c r="F12" s="12" t="s">
        <v>73</v>
      </c>
      <c r="G12" s="30">
        <v>0.2</v>
      </c>
      <c r="H12" s="12" t="s">
        <v>32</v>
      </c>
      <c r="I12" s="26" t="s">
        <v>85</v>
      </c>
    </row>
    <row r="13" spans="2:9" ht="28">
      <c r="B13" s="29" t="s">
        <v>72</v>
      </c>
      <c r="C13" s="28" t="s">
        <v>80</v>
      </c>
      <c r="D13" s="30" t="s">
        <v>99</v>
      </c>
      <c r="E13" s="30" t="s">
        <v>40</v>
      </c>
      <c r="F13" s="12" t="s">
        <v>73</v>
      </c>
      <c r="G13" s="30">
        <v>0.3</v>
      </c>
      <c r="H13" s="12" t="s">
        <v>20</v>
      </c>
      <c r="I13" s="26" t="s">
        <v>101</v>
      </c>
    </row>
    <row r="14" spans="2:9" ht="42">
      <c r="B14" s="14" t="s">
        <v>72</v>
      </c>
      <c r="C14" s="12" t="s">
        <v>17</v>
      </c>
      <c r="D14" s="25" t="s">
        <v>94</v>
      </c>
      <c r="E14" s="8" t="s">
        <v>40</v>
      </c>
      <c r="F14" s="12" t="s">
        <v>77</v>
      </c>
      <c r="G14" s="8">
        <v>1.2</v>
      </c>
      <c r="H14" s="12" t="s">
        <v>26</v>
      </c>
      <c r="I14" s="27" t="s">
        <v>95</v>
      </c>
    </row>
    <row r="15" spans="2:9" ht="42">
      <c r="B15" s="14" t="s">
        <v>72</v>
      </c>
      <c r="C15" s="12" t="s">
        <v>17</v>
      </c>
      <c r="D15" s="25" t="s">
        <v>93</v>
      </c>
      <c r="E15" s="8" t="s">
        <v>40</v>
      </c>
      <c r="F15" s="12" t="s">
        <v>77</v>
      </c>
      <c r="G15" s="8">
        <v>2.5</v>
      </c>
      <c r="H15" s="12" t="s">
        <v>26</v>
      </c>
      <c r="I15" s="27" t="s">
        <v>92</v>
      </c>
    </row>
    <row r="16" spans="2:9" ht="42">
      <c r="B16" s="14" t="s">
        <v>72</v>
      </c>
      <c r="C16" s="12" t="s">
        <v>18</v>
      </c>
      <c r="D16" s="25"/>
      <c r="E16" s="8" t="s">
        <v>40</v>
      </c>
      <c r="F16" s="12" t="s">
        <v>102</v>
      </c>
      <c r="G16" s="8">
        <v>0.9</v>
      </c>
      <c r="H16" s="12" t="s">
        <v>74</v>
      </c>
      <c r="I16" s="27" t="s">
        <v>103</v>
      </c>
    </row>
    <row r="17" spans="2:9" ht="28">
      <c r="B17" s="14" t="s">
        <v>72</v>
      </c>
      <c r="C17" s="12" t="s">
        <v>18</v>
      </c>
      <c r="D17" s="25"/>
      <c r="E17" s="8" t="s">
        <v>27</v>
      </c>
      <c r="F17" s="12"/>
      <c r="G17" s="8">
        <v>0.1</v>
      </c>
      <c r="H17" s="12" t="s">
        <v>74</v>
      </c>
      <c r="I17" s="27" t="s">
        <v>100</v>
      </c>
    </row>
    <row r="18" spans="2:9">
      <c r="B18" s="20"/>
      <c r="C18" s="21"/>
      <c r="D18" s="22"/>
      <c r="E18" s="22"/>
      <c r="F18" s="24" t="s">
        <v>67</v>
      </c>
      <c r="G18" s="34">
        <f>SUM(G3:G17)</f>
        <v>12.8</v>
      </c>
      <c r="H18" s="35"/>
      <c r="I18" s="36"/>
    </row>
    <row r="19" spans="2:9" ht="16" thickBot="1">
      <c r="B19" s="17"/>
      <c r="C19" s="18"/>
      <c r="D19" s="19"/>
      <c r="E19" s="19"/>
      <c r="F19" s="23" t="s">
        <v>68</v>
      </c>
      <c r="G19" s="31">
        <v>1</v>
      </c>
      <c r="H19" s="32"/>
      <c r="I19" s="33"/>
    </row>
    <row r="20" spans="2:9" ht="16" thickTop="1"/>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C4:C6 C8:C19</xm:sqref>
        </x14:dataValidation>
        <x14:dataValidation type="list" allowBlank="1" showInputMessage="1" showErrorMessage="1" xr:uid="{00000000-0002-0000-0000-000003000000}">
          <x14:formula1>
            <xm:f>数据标签!$B$11:$D$11</xm:f>
          </x14:formula1>
          <xm:sqref>E4:E6 E14:E19 E8:E11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140" zoomScaleNormal="140"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2025-05-06T01:14:53Z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