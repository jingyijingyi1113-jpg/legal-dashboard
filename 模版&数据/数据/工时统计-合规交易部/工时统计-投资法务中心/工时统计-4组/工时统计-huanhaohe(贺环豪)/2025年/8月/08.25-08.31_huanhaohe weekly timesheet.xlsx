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24"/>
  <workbookPr/>
  <mc:AlternateContent xmlns:mc="http://schemas.openxmlformats.org/markup-compatibility/2006">
    <mc:Choice Requires="x15">
      <x15ac:absPath xmlns:x15ac="http://schemas.microsoft.com/office/spreadsheetml/2010/11/ac" url="/Users/hehuanhao/Desktop/1.工作/2.腾讯项目/Timesheet/2024.12起新模板/2025年/8月/"/>
    </mc:Choice>
  </mc:AlternateContent>
  <xr:revisionPtr revIDLastSave="0" documentId="13_ncr:1_{C28285F2-9D1D-2448-B23C-215979EB1341}" xr6:coauthVersionLast="47" xr6:coauthVersionMax="47" xr10:uidLastSave="{00000000-0000-0000-0000-000000000000}"/>
  <bookViews>
    <workbookView xWindow="15600" yWindow="3400" windowWidth="33280" windowHeight="221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<sst xmlns="http://schemas.openxmlformats.org/spreadsheetml/2006/main" count="231" uniqueCount="103">
  <si>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</si>
  <si>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</si>
  <si>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</si>
  <si>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</si>
  <si>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</si>
  <si>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</si>
  <si>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</si>
  <si>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</si>
  <si>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</si>
  <si>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</si>
  <si>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</si>
  <si>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</si>
  <si>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</si>
  <si>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</si>
  <si>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</si>
  <si>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</si>
  <si>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</si>
  <si>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</si>
  <si>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</si>
  <si>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</si>
  <si>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</si>
  <si>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</si>
  <si>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</si>
  <si>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</si>
  <si>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</si>
  <si>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</si>
  <si>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</si>
  <si>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</si>
  <si>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</si>
  <si>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</si>
  <si>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</si>
  <si>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</si>
  <si>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</si>
  <si>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</si>
  <si>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</si>
  <si>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</si>
  <si>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</si>
  <si>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</si>
  <si>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</si>
  <si>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</si>
  <si>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</si>
  <si>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</si>
  <si>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</si>
  <si>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</si>
  <si>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</si>
  <si>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</si>
  <si>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</si>
  <si>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</si>
  <si>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</si>
  <si>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</si>
  <si>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</si>
  <si>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</si>
  <si>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</si>
  <si>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</si>
  <si>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</si>
  <si>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</si>
  <si>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</si>
  <si>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</si>
  <si>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</si>
  <si>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</si>
  <si>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</si>
  <si>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</si>
  <si>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</si>
  <si>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</si>
  <si>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</si>
  <si>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</si>
  <si>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</si>
  <si>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</si>
  <si>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</si>
  <si>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</si>
  <si>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</si>
  <si>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</si>
  <si>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huanhaohe</t>
    <phoneticPr fontId="7" type="noConversion"/>
  </si>
  <si>
    <t>投资项目全流程法务支持 Full-process legal support for investments</t>
  </si>
  <si>
    <t>Recording/reviewing deals updates/weekly time reports/other team summaries</t>
  </si>
  <si>
    <t>Investment Related - Corporate Matter</t>
    <phoneticPr fontId="7" type="noConversion"/>
  </si>
  <si>
    <t>timesheet</t>
    <phoneticPr fontId="7" type="noConversion"/>
  </si>
  <si>
    <t>博迈医疗</t>
    <phoneticPr fontId="7" type="noConversion"/>
  </si>
  <si>
    <t>首次投资</t>
    <phoneticPr fontId="7" type="noConversion"/>
  </si>
  <si>
    <t>乐聚机器人</t>
    <phoneticPr fontId="7" type="noConversion"/>
  </si>
  <si>
    <t>Project Quark</t>
    <phoneticPr fontId="7" type="noConversion"/>
  </si>
  <si>
    <t>上市</t>
    <phoneticPr fontId="7" type="noConversion"/>
  </si>
  <si>
    <t>盖雅</t>
    <phoneticPr fontId="7" type="noConversion"/>
  </si>
  <si>
    <t>腾讯主体公证</t>
    <phoneticPr fontId="7" type="noConversion"/>
  </si>
  <si>
    <t>SkyCell</t>
    <phoneticPr fontId="7" type="noConversion"/>
  </si>
  <si>
    <t>金融消保合规</t>
    <phoneticPr fontId="7" type="noConversion"/>
  </si>
  <si>
    <t>集益威</t>
    <phoneticPr fontId="7" type="noConversion"/>
  </si>
  <si>
    <t>Public - Knowledge Accumulation &amp; Sharing</t>
  </si>
  <si>
    <t>iWiKi维护</t>
    <phoneticPr fontId="7" type="noConversion"/>
  </si>
  <si>
    <t>新石器</t>
    <phoneticPr fontId="7" type="noConversion"/>
  </si>
  <si>
    <t>日常事项</t>
    <phoneticPr fontId="7" type="noConversion"/>
  </si>
  <si>
    <t>数字广东</t>
    <phoneticPr fontId="7" type="noConversion"/>
  </si>
  <si>
    <t>消保合规同行调研、法规政策梳理</t>
    <phoneticPr fontId="7" type="noConversion"/>
  </si>
  <si>
    <t>博思软件</t>
    <phoneticPr fontId="7" type="noConversion"/>
  </si>
  <si>
    <t>上市公司非公开发行股份解除额度限制</t>
    <phoneticPr fontId="7" type="noConversion"/>
  </si>
  <si>
    <t>广州地铁JV</t>
    <phoneticPr fontId="7" type="noConversion"/>
  </si>
  <si>
    <t>出资方案调整</t>
    <phoneticPr fontId="7" type="noConversion"/>
  </si>
  <si>
    <t>分组会议</t>
    <phoneticPr fontId="7" type="noConversion"/>
  </si>
  <si>
    <t>胖猫云</t>
    <phoneticPr fontId="7" type="noConversion"/>
  </si>
  <si>
    <t>君合合同续签</t>
    <phoneticPr fontId="7" type="noConversion"/>
  </si>
  <si>
    <t>云鲸智能</t>
    <phoneticPr fontId="7" type="noConversion"/>
  </si>
  <si>
    <t>再融资 - 追加</t>
    <phoneticPr fontId="7" type="noConversion"/>
  </si>
  <si>
    <t>云学堂</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</si>
</sst>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rgb="FF000000"/>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9" fillId="0" borderId="3" xfId="0" applyFont="1" applyBorder="1">
      <alignment vertical="center"/>
    </xf>
    <xf numFmtId="0" fontId="9" fillId="0" borderId="16" xfId="0" applyFont="1" applyBorder="1">
      <alignment vertical="center"/>
    </xf>
    <xf numFmtId="0" fontId="1" fillId="0" borderId="4" xfId="0" applyFont="1" applyBorder="1" applyAlignment="1">
      <alignment horizontal="right" vertical="center"/>
    </xf>
    <xf numFmtId="0" fontId="5" fillId="0" borderId="16" xfId="0" applyFont="1" applyBorder="1">
      <alignment vertical="center"/>
    </xf>
    <xf numFmtId="0" fontId="1" fillId="0" borderId="16" xfId="0" applyFont="1" applyBorder="1" applyAlignment="1">
      <alignment vertical="center" wrapText="1"/>
    </xf>
    <xf numFmtId="0" fontId="5" fillId="0" borderId="16" xfId="0" applyFont="1" applyBorder="1" applyAlignment="1">
      <alignment vertical="center" wrapText="1"/>
    </xf>
    <xf numFmtId="0" fontId="1" fillId="0" borderId="11"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4"/>
  <sheetViews>
    <sheetView tabSelected="1" topLeftCell="A3" zoomScale="120" zoomScaleNormal="120" workbookViewId="0">
      <selection activeCell="C21" sqref="C21"/>
    </sheetView>
  </sheetViews>
  <sheetFormatPr baseColWidth="10" defaultColWidth="9" defaultRowHeight="15"/>
  <cols>
    <col min="2" max="2" width="10.5" bestFit="1" customWidth="1"/>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14" t="s">
        <v>72</v>
      </c>
      <c r="C4" s="12" t="s">
        <v>14</v>
      </c>
      <c r="D4" s="25" t="s">
        <v>77</v>
      </c>
      <c r="E4" s="8" t="s">
        <v>40</v>
      </c>
      <c r="F4" s="12" t="s">
        <v>73</v>
      </c>
      <c r="G4" s="31">
        <v>1.7</v>
      </c>
      <c r="H4" s="28" t="s">
        <v>20</v>
      </c>
      <c r="I4" s="26" t="s">
        <v>78</v>
      </c>
    </row>
    <row r="5" spans="2:9" ht="28">
      <c r="B5" s="14" t="s">
        <v>72</v>
      </c>
      <c r="C5" s="12" t="s">
        <v>14</v>
      </c>
      <c r="D5" s="25" t="s">
        <v>84</v>
      </c>
      <c r="E5" s="8" t="s">
        <v>40</v>
      </c>
      <c r="F5" s="12" t="s">
        <v>73</v>
      </c>
      <c r="G5" s="31">
        <v>5.6</v>
      </c>
      <c r="H5" s="28" t="s">
        <v>20</v>
      </c>
      <c r="I5" s="26" t="s">
        <v>78</v>
      </c>
    </row>
    <row r="6" spans="2:9" ht="28">
      <c r="B6" s="14" t="s">
        <v>72</v>
      </c>
      <c r="C6" s="12" t="s">
        <v>14</v>
      </c>
      <c r="D6" s="25" t="s">
        <v>89</v>
      </c>
      <c r="E6" s="8" t="s">
        <v>40</v>
      </c>
      <c r="F6" s="12" t="s">
        <v>73</v>
      </c>
      <c r="G6" s="31">
        <v>10.7</v>
      </c>
      <c r="H6" s="28" t="s">
        <v>20</v>
      </c>
      <c r="I6" s="26" t="s">
        <v>78</v>
      </c>
    </row>
    <row r="7" spans="2:9" ht="28">
      <c r="B7" s="14" t="s">
        <v>72</v>
      </c>
      <c r="C7" s="12" t="s">
        <v>14</v>
      </c>
      <c r="D7" s="25" t="s">
        <v>100</v>
      </c>
      <c r="E7" s="8" t="s">
        <v>40</v>
      </c>
      <c r="F7" s="12" t="s">
        <v>73</v>
      </c>
      <c r="G7" s="31">
        <v>0.4</v>
      </c>
      <c r="H7" s="28" t="s">
        <v>20</v>
      </c>
      <c r="I7" s="26" t="s">
        <v>101</v>
      </c>
    </row>
    <row r="8" spans="2:9" ht="28">
      <c r="B8" s="14" t="s">
        <v>72</v>
      </c>
      <c r="C8" s="12" t="s">
        <v>14</v>
      </c>
      <c r="D8" s="25" t="s">
        <v>93</v>
      </c>
      <c r="E8" s="8" t="s">
        <v>40</v>
      </c>
      <c r="F8" s="12" t="s">
        <v>73</v>
      </c>
      <c r="G8" s="31">
        <v>2.7</v>
      </c>
      <c r="H8" s="28" t="s">
        <v>20</v>
      </c>
      <c r="I8" s="26" t="s">
        <v>94</v>
      </c>
    </row>
    <row r="9" spans="2:9" ht="28">
      <c r="B9" s="14" t="s">
        <v>72</v>
      </c>
      <c r="C9" s="12" t="s">
        <v>14</v>
      </c>
      <c r="D9" s="25" t="s">
        <v>95</v>
      </c>
      <c r="E9" s="8" t="s">
        <v>40</v>
      </c>
      <c r="F9" s="12" t="s">
        <v>73</v>
      </c>
      <c r="G9" s="31">
        <v>1.1000000000000001</v>
      </c>
      <c r="H9" s="28" t="s">
        <v>20</v>
      </c>
      <c r="I9" s="26" t="s">
        <v>96</v>
      </c>
    </row>
    <row r="10" spans="2:9" ht="28">
      <c r="B10" s="14" t="s">
        <v>72</v>
      </c>
      <c r="C10" s="12" t="s">
        <v>15</v>
      </c>
      <c r="D10" s="25" t="s">
        <v>80</v>
      </c>
      <c r="E10" s="8" t="s">
        <v>40</v>
      </c>
      <c r="F10" s="12" t="s">
        <v>73</v>
      </c>
      <c r="G10" s="8">
        <v>4.0999999999999996</v>
      </c>
      <c r="H10" s="12" t="s">
        <v>20</v>
      </c>
      <c r="I10" s="26" t="s">
        <v>81</v>
      </c>
    </row>
    <row r="11" spans="2:9" ht="28">
      <c r="B11" s="14" t="s">
        <v>72</v>
      </c>
      <c r="C11" s="12" t="s">
        <v>15</v>
      </c>
      <c r="D11" s="25" t="s">
        <v>79</v>
      </c>
      <c r="E11" s="8" t="s">
        <v>40</v>
      </c>
      <c r="F11" s="12" t="s">
        <v>73</v>
      </c>
      <c r="G11" s="25">
        <v>6.2</v>
      </c>
      <c r="H11" s="12" t="s">
        <v>20</v>
      </c>
      <c r="I11" s="26" t="s">
        <v>81</v>
      </c>
    </row>
    <row r="12" spans="2:9" ht="28">
      <c r="B12" s="14" t="s">
        <v>72</v>
      </c>
      <c r="C12" s="12" t="s">
        <v>15</v>
      </c>
      <c r="D12" s="25" t="s">
        <v>86</v>
      </c>
      <c r="E12" s="8" t="s">
        <v>40</v>
      </c>
      <c r="F12" s="12" t="s">
        <v>73</v>
      </c>
      <c r="G12" s="25">
        <v>0.2</v>
      </c>
      <c r="H12" s="12" t="s">
        <v>20</v>
      </c>
      <c r="I12" s="26" t="s">
        <v>81</v>
      </c>
    </row>
    <row r="13" spans="2:9" ht="28">
      <c r="B13" s="29" t="s">
        <v>72</v>
      </c>
      <c r="C13" s="28" t="s">
        <v>75</v>
      </c>
      <c r="D13" s="30" t="s">
        <v>82</v>
      </c>
      <c r="E13" s="8" t="s">
        <v>40</v>
      </c>
      <c r="F13" s="12" t="s">
        <v>73</v>
      </c>
      <c r="G13" s="30">
        <v>0.1</v>
      </c>
      <c r="H13" s="12" t="s">
        <v>20</v>
      </c>
      <c r="I13" s="26" t="s">
        <v>83</v>
      </c>
    </row>
    <row r="14" spans="2:9" ht="28">
      <c r="B14" s="29" t="s">
        <v>72</v>
      </c>
      <c r="C14" s="28" t="s">
        <v>75</v>
      </c>
      <c r="D14" s="30" t="s">
        <v>91</v>
      </c>
      <c r="E14" s="8" t="s">
        <v>40</v>
      </c>
      <c r="F14" s="12" t="s">
        <v>73</v>
      </c>
      <c r="G14" s="30">
        <v>1.5</v>
      </c>
      <c r="H14" s="12" t="s">
        <v>20</v>
      </c>
      <c r="I14" s="26" t="s">
        <v>90</v>
      </c>
    </row>
    <row r="15" spans="2:9" ht="28">
      <c r="B15" s="29" t="s">
        <v>72</v>
      </c>
      <c r="C15" s="28" t="s">
        <v>75</v>
      </c>
      <c r="D15" s="30" t="s">
        <v>102</v>
      </c>
      <c r="E15" s="8" t="s">
        <v>40</v>
      </c>
      <c r="F15" s="12" t="s">
        <v>73</v>
      </c>
      <c r="G15" s="30">
        <v>0.4</v>
      </c>
      <c r="H15" s="12" t="s">
        <v>20</v>
      </c>
      <c r="I15" s="26" t="s">
        <v>90</v>
      </c>
    </row>
    <row r="16" spans="2:9" ht="28">
      <c r="B16" s="29" t="s">
        <v>72</v>
      </c>
      <c r="C16" s="28" t="s">
        <v>75</v>
      </c>
      <c r="D16" s="30" t="s">
        <v>98</v>
      </c>
      <c r="E16" s="8" t="s">
        <v>40</v>
      </c>
      <c r="F16" s="12" t="s">
        <v>73</v>
      </c>
      <c r="G16" s="30">
        <v>0.5</v>
      </c>
      <c r="H16" s="12" t="s">
        <v>20</v>
      </c>
      <c r="I16" s="26" t="s">
        <v>90</v>
      </c>
    </row>
    <row r="17" spans="2:9">
      <c r="B17" s="29" t="s">
        <v>72</v>
      </c>
      <c r="C17" s="33" t="s">
        <v>17</v>
      </c>
      <c r="D17" s="30" t="s">
        <v>85</v>
      </c>
      <c r="E17" s="32" t="s">
        <v>27</v>
      </c>
      <c r="F17" s="34"/>
      <c r="G17" s="30">
        <v>6</v>
      </c>
      <c r="H17" s="34" t="s">
        <v>37</v>
      </c>
      <c r="I17" s="26" t="s">
        <v>92</v>
      </c>
    </row>
    <row r="18" spans="2:9">
      <c r="B18" s="14" t="s">
        <v>72</v>
      </c>
      <c r="C18" s="33" t="s">
        <v>87</v>
      </c>
      <c r="D18" s="30"/>
      <c r="E18" s="32" t="s">
        <v>27</v>
      </c>
      <c r="F18" s="34"/>
      <c r="G18" s="30">
        <v>0.1</v>
      </c>
      <c r="H18" s="34" t="s">
        <v>27</v>
      </c>
      <c r="I18" s="35" t="s">
        <v>88</v>
      </c>
    </row>
    <row r="19" spans="2:9">
      <c r="B19" s="14" t="s">
        <v>72</v>
      </c>
      <c r="C19" s="33" t="s">
        <v>18</v>
      </c>
      <c r="D19" s="30"/>
      <c r="E19" s="32" t="s">
        <v>27</v>
      </c>
      <c r="F19" s="34"/>
      <c r="G19" s="30">
        <v>1.3</v>
      </c>
      <c r="H19" s="34" t="s">
        <v>24</v>
      </c>
      <c r="I19" s="35" t="s">
        <v>97</v>
      </c>
    </row>
    <row r="20" spans="2:9" ht="28">
      <c r="B20" s="14" t="s">
        <v>72</v>
      </c>
      <c r="C20" s="33" t="s">
        <v>18</v>
      </c>
      <c r="D20" s="25"/>
      <c r="E20" s="32" t="s">
        <v>27</v>
      </c>
      <c r="F20" s="28"/>
      <c r="G20" s="25">
        <v>1.5</v>
      </c>
      <c r="H20" s="28" t="s">
        <v>38</v>
      </c>
      <c r="I20" s="27" t="s">
        <v>99</v>
      </c>
    </row>
    <row r="21" spans="2:9" ht="28">
      <c r="B21" s="14" t="s">
        <v>72</v>
      </c>
      <c r="C21" s="33" t="s">
        <v>18</v>
      </c>
      <c r="D21" s="25"/>
      <c r="E21" s="32" t="s">
        <v>27</v>
      </c>
      <c r="F21" s="28"/>
      <c r="G21" s="25">
        <v>0.7</v>
      </c>
      <c r="H21" s="28" t="s">
        <v>74</v>
      </c>
      <c r="I21" s="27" t="s">
        <v>76</v>
      </c>
    </row>
    <row r="22" spans="2:9">
      <c r="B22" s="20"/>
      <c r="C22" s="21"/>
      <c r="D22" s="22"/>
      <c r="E22" s="22"/>
      <c r="F22" s="24" t="s">
        <v>67</v>
      </c>
      <c r="G22" s="39">
        <f>SUM(G3:G21)</f>
        <v>44.800000000000004</v>
      </c>
      <c r="H22" s="40"/>
      <c r="I22" s="41"/>
    </row>
    <row r="23" spans="2:9" ht="16" thickBot="1">
      <c r="B23" s="17"/>
      <c r="C23" s="18"/>
      <c r="D23" s="19"/>
      <c r="E23" s="19"/>
      <c r="F23" s="23" t="s">
        <v>68</v>
      </c>
      <c r="G23" s="36">
        <v>4.5</v>
      </c>
      <c r="H23" s="37"/>
      <c r="I23" s="38"/>
    </row>
    <row r="24" spans="2:9" ht="16" thickTop="1"/>
  </sheetData>
  <mergeCells count="2">
    <mergeCell ref="G23:I23"/>
    <mergeCell ref="G22:I22"/>
  </mergeCells>
  <phoneticPr fontId="7" type="noConversion"/>
  <dataValidations count="2">
    <dataValidation type="list" allowBlank="1" showInputMessage="1" showErrorMessage="1" sqref="H4:H21" xr:uid="{00000000-0002-0000-0000-000000000000}">
      <formula1>hh</formula1>
    </dataValidation>
    <dataValidation type="list" allowBlank="1" showInputMessage="1" showErrorMessage="1" sqref="F4:F21"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C4:C23</xm:sqref>
        </x14:dataValidation>
        <x14:dataValidation type="list" allowBlank="1" showInputMessage="1" showErrorMessage="1" xr:uid="{00000000-0002-0000-0000-000003000000}">
          <x14:formula1>
            <xm:f>数据标签!$B$11:$D$11</xm:f>
          </x14:formula1>
          <xm:sqref>E4:E23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C1" zoomScale="140" zoomScaleNormal="140" workbookViewId="0">
      <selection activeCell="E13" sqref="E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Huanhao He</cp:lastModifiedBy>
  <dcterms:created xsi:type="dcterms:W3CDTF">2024-12-10T02:24:00Z</dcterms:created>
  <dcterms:modified xsi:type="dcterms:W3CDTF">2025-09-01T02:43:36Z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