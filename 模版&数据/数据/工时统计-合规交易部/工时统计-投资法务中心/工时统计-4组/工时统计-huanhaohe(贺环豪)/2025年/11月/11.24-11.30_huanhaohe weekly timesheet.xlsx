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mc:AlternateContent xmlns:mc="http://schemas.openxmlformats.org/markup-compatibility/2006">
    <mc:Choice Requires="x15">
      <x15ac:absPath xmlns:x15ac="http://schemas.microsoft.com/office/spreadsheetml/2010/11/ac" url="/Users/hehuanhao/Desktop/1.工作/2.腾讯项目/Timesheet/2024.12起新模板/2025年/11月/"/>
    </mc:Choice>
  </mc:AlternateContent>
  <xr:revisionPtr revIDLastSave="0" documentId="13_ncr:1_{8DD19A5E-EFAC-424E-939D-7A8CBAD6F717}" xr6:coauthVersionLast="47" xr6:coauthVersionMax="47" xr10:uidLastSave="{00000000-0000-0000-0000-000000000000}"/>
  <bookViews>
    <workbookView xWindow="10220" yWindow="4660" windowWidth="32940" windowHeight="231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<sst xmlns="http://schemas.openxmlformats.org/spreadsheetml/2006/main" count="277" uniqueCount="118">
  <si>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</si>
  <si>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</si>
  <si>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</si>
  <si>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</si>
  <si>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</si>
  <si>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</si>
  <si>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</si>
  <si>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</si>
  <si>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</si>
  <si>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</si>
  <si>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</si>
  <si>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</si>
  <si>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</si>
  <si>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</si>
  <si>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</si>
  <si>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</si>
  <si>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</si>
  <si>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</si>
  <si>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</si>
  <si>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</si>
  <si>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</si>
  <si>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</si>
  <si>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</si>
  <si>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</si>
  <si>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</si>
  <si>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</si>
  <si>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</si>
  <si>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</si>
  <si>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</si>
  <si>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</si>
  <si>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</si>
  <si>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</si>
  <si>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</si>
  <si>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</si>
  <si>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</si>
  <si>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</si>
  <si>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</si>
  <si>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</si>
  <si>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</si>
  <si>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6" type="noConversion"/>
  </si>
  <si>
    <t>敏感投资领域投资指引 Guidance for sensitive investment fields</t>
    <phoneticPr fontId="6" type="noConversion"/>
  </si>
  <si>
    <t>资本市场、投融资活动创新突破 Innovative breakthroughs in investments and capital market transactions</t>
    <phoneticPr fontId="6" type="noConversion"/>
  </si>
  <si>
    <t>境内外主体/办公室合规管理 Compliance management for domestic and overseas entities/offices</t>
    <phoneticPr fontId="6" type="noConversion"/>
  </si>
  <si>
    <t>反洗钱及制裁法务支持 Legal support for anti-money laundering and sanctions compliance</t>
    <phoneticPr fontId="6" type="noConversion"/>
  </si>
  <si>
    <t>资本市场证券交易全流程合规体系建设 Full-process compliance system  for securities trading in capital markets</t>
    <phoneticPr fontId="6" type="noConversion"/>
  </si>
  <si>
    <t>控股和重点投资公司法务风险管理 Legal risk management for controlled and key invested portfolios</t>
    <phoneticPr fontId="6" type="noConversion"/>
  </si>
  <si>
    <t>海外投资合规管理 Overseas investment compliance management</t>
    <phoneticPr fontId="6" type="noConversion"/>
  </si>
  <si>
    <t>执业管理平台体系完善 Perfection of the professional management platform</t>
    <phoneticPr fontId="6" type="noConversion"/>
  </si>
  <si>
    <t>优化Hotdesk和专家组制度 Optimization of Hotdesk and expert panel system</t>
    <phoneticPr fontId="6" type="noConversion"/>
  </si>
  <si>
    <t>精细化管理工具搭建 Adoption of refined management tools</t>
    <phoneticPr fontId="6" type="noConversion"/>
  </si>
  <si>
    <t>境内投融资资本市场监管发展与重大政策争取与风险应对 Regulatory compliance in domestic investments and capital markets; lobbying for major policies and risk mitigation</t>
    <phoneticPr fontId="6" type="noConversion"/>
  </si>
  <si>
    <t>投资项目全流程法务支持 Full-process legal support for investments</t>
    <phoneticPr fontId="6" type="noConversion"/>
  </si>
  <si>
    <t xml:space="preserve"> </t>
    <phoneticPr fontId="6" type="noConversion"/>
  </si>
  <si>
    <t>Providing training sessions/knowledge sharing</t>
    <phoneticPr fontId="6" type="noConversion"/>
  </si>
  <si>
    <t>Public - Knowledge Accumulation &amp; Sharing</t>
    <phoneticPr fontId="6" type="noConversion"/>
  </si>
  <si>
    <t>Recording/reviewing deals updates/weekly time reports/other team summaries</t>
    <phoneticPr fontId="6" type="noConversion"/>
  </si>
  <si>
    <t>Establishing/improving IT systems</t>
    <phoneticPr fontId="6" type="noConversion"/>
  </si>
  <si>
    <t>金融投资公司业务合规管理 Compliance management for  invested financial portfolios</t>
    <phoneticPr fontId="6" type="noConversion"/>
  </si>
  <si>
    <t>国际业务(投资)监管应对Interaction with regulators for international investments</t>
    <phoneticPr fontId="6" type="noConversion"/>
  </si>
  <si>
    <t>国际监管趋势监测、预判 Monitoring and forecasting international regulatory trends</t>
    <phoneticPr fontId="6" type="noConversion"/>
  </si>
  <si>
    <t>Others</t>
    <phoneticPr fontId="6" type="noConversion"/>
  </si>
  <si>
    <t xml:space="preserve">Total Hours:  </t>
    <phoneticPr fontId="6" type="noConversion"/>
  </si>
  <si>
    <t>Number of Actual Working Days:</t>
    <phoneticPr fontId="6" type="noConversion"/>
  </si>
  <si>
    <t>Public - Infrastructure &amp; Guidance</t>
    <phoneticPr fontId="6" type="noConversion"/>
  </si>
  <si>
    <t>Deal/Matter Category</t>
    <phoneticPr fontId="6" type="noConversion"/>
  </si>
  <si>
    <t>Interacting with regulators</t>
    <phoneticPr fontId="6" type="noConversion"/>
  </si>
  <si>
    <t>Drafting/reviewing/revising legal documents</t>
  </si>
  <si>
    <t>Drafting/reviewing/revising legal documents</t>
    <phoneticPr fontId="6" type="noConversion"/>
  </si>
  <si>
    <t>Internal/external discussion on/negotiation of legal documents</t>
  </si>
  <si>
    <t>Internal/external discussion on/negotiation of legal documents</t>
    <phoneticPr fontId="6" type="noConversion"/>
  </si>
  <si>
    <t>投资项目全流程法务支持 Full-process legal support for investments</t>
  </si>
  <si>
    <t>请确认该项事务是否为CTD-投资法务中心的BSC事项
Confirm whether it's a CTD-ILC BSC iteam</t>
    <phoneticPr fontId="6" type="noConversion"/>
  </si>
  <si>
    <t>BSC Tag</t>
    <phoneticPr fontId="6" type="noConversion"/>
  </si>
  <si>
    <t>BSC Item</t>
    <phoneticPr fontId="6" type="noConversion"/>
  </si>
  <si>
    <t xml:space="preserve">如为CTD-投资法务中心BSC事项，请相应勾选下拉菜单中的BSC事项选项
In the case of a CTD-ILC BSC item, please select the detailed item in the drop-down menu </t>
    <phoneticPr fontId="6" type="noConversion"/>
  </si>
  <si>
    <t>huanhaohe</t>
    <phoneticPr fontId="6" type="noConversion"/>
  </si>
  <si>
    <t>博迈医疗</t>
    <phoneticPr fontId="6" type="noConversion"/>
  </si>
  <si>
    <t>乐聚机器人</t>
    <phoneticPr fontId="6" type="noConversion"/>
  </si>
  <si>
    <t>BSC</t>
    <phoneticPr fontId="6" type="noConversion"/>
  </si>
  <si>
    <t>集益威</t>
    <phoneticPr fontId="6" type="noConversion"/>
  </si>
  <si>
    <t>Recording/reviewing deals updates/weekly time reports/other team summaries</t>
  </si>
  <si>
    <t>timesheet</t>
    <phoneticPr fontId="6" type="noConversion"/>
  </si>
  <si>
    <t>Public - Infrastructure &amp; Guidance</t>
  </si>
  <si>
    <t>Preparing policies/procedures/guidance/booklet</t>
    <phoneticPr fontId="6" type="noConversion"/>
  </si>
  <si>
    <t>首次投资 - 老股</t>
    <phoneticPr fontId="6" type="noConversion"/>
  </si>
  <si>
    <t>/</t>
    <phoneticPr fontId="6" type="noConversion"/>
  </si>
  <si>
    <t>人社部PPP项目</t>
    <phoneticPr fontId="6" type="noConversion"/>
  </si>
  <si>
    <t>投资公司UBO备案信息需求流程相关</t>
    <phoneticPr fontId="6" type="noConversion"/>
  </si>
  <si>
    <t>A股IPO战略配售</t>
    <phoneticPr fontId="6" type="noConversion"/>
  </si>
  <si>
    <t>强一半导体</t>
    <phoneticPr fontId="6" type="noConversion"/>
  </si>
  <si>
    <t>huanhaohe</t>
  </si>
  <si>
    <t>董事尽调</t>
    <phoneticPr fontId="6" type="noConversion"/>
  </si>
  <si>
    <t>Hive</t>
    <phoneticPr fontId="6" type="noConversion"/>
  </si>
  <si>
    <t>Merger</t>
    <phoneticPr fontId="6" type="noConversion"/>
  </si>
  <si>
    <t>再融资 - 追加</t>
    <phoneticPr fontId="6" type="noConversion"/>
  </si>
  <si>
    <t>新石器</t>
    <phoneticPr fontId="6" type="noConversion"/>
  </si>
  <si>
    <t>股东核查</t>
    <phoneticPr fontId="6" type="noConversion"/>
  </si>
  <si>
    <t>悦商</t>
    <phoneticPr fontId="6" type="noConversion"/>
  </si>
  <si>
    <t>消保例会</t>
    <phoneticPr fontId="6" type="noConversion"/>
  </si>
  <si>
    <t>制度建设 - 集团层面消保制度起草、修订</t>
    <phoneticPr fontId="6" type="noConversion"/>
  </si>
  <si>
    <t>股东大会议案、关键少数口碑声誉评价</t>
    <phoneticPr fontId="6" type="noConversion"/>
  </si>
  <si>
    <t>原启生物</t>
    <phoneticPr fontId="6" type="noConversion"/>
  </si>
  <si>
    <t>董事背景调查</t>
    <phoneticPr fontId="6" type="noConversion"/>
  </si>
  <si>
    <t>股改文件</t>
    <phoneticPr fontId="6" type="noConversion"/>
  </si>
  <si>
    <t>Tenways</t>
    <phoneticPr fontId="6" type="noConversion"/>
  </si>
  <si>
    <t>普渡机器人</t>
    <phoneticPr fontId="6" type="noConversion"/>
  </si>
  <si>
    <t>QIPO条款延期</t>
    <phoneticPr fontId="6" type="noConversion"/>
  </si>
  <si>
    <t>全面反馈+绩效自评</t>
    <phoneticPr fontId="6" type="noConversion"/>
  </si>
  <si>
    <t>华深智药</t>
    <phoneticPr fontId="6" type="noConversion"/>
  </si>
  <si>
    <t>首次投资 - 新股</t>
    <phoneticPr fontId="6" type="noConversion"/>
  </si>
  <si>
    <t>微芯感知</t>
    <phoneticPr fontId="6" type="noConversion"/>
  </si>
  <si>
    <t>大势智慧</t>
    <phoneticPr fontId="6" type="noConversion"/>
  </si>
  <si>
    <t>深圳数字坪山JV</t>
    <phoneticPr fontId="6" type="noConversion"/>
  </si>
  <si>
    <t>数字广东</t>
    <phoneticPr fontId="6" type="noConversion"/>
  </si>
  <si>
    <t>Public - Knowledge Accumulation &amp; Sharing</t>
  </si>
  <si>
    <t>参加培训：「法学苑」AI 行业应用面面观——从 ToC到 ToB 的场景化合规方案</t>
    <phoneticPr fontId="6" type="noConversion"/>
  </si>
  <si>
    <t>参加培训：Pillar 2</t>
    <phoneticPr fontId="6" type="noConversion"/>
  </si>
  <si>
    <t>老股转让 - 管理层</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</si>
</sst>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4"/>
      <charset val="134"/>
      <scheme val="minor"/>
    </font>
    <font>
      <sz val="10"/>
      <color rgb="FF000000"/>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7" fillId="0" borderId="0" xfId="0" applyFont="1">
      <alignment vertical="center"/>
    </xf>
    <xf numFmtId="0" fontId="7" fillId="0" borderId="0" xfId="0" applyFont="1" applyAlignment="1">
      <alignment vertical="center" wrapText="1"/>
    </xf>
    <xf numFmtId="0" fontId="8" fillId="0" borderId="3" xfId="0" applyFont="1" applyBorder="1">
      <alignment vertical="center"/>
    </xf>
    <xf numFmtId="0" fontId="8" fillId="0" borderId="4" xfId="0" applyFont="1" applyBorder="1" applyAlignment="1">
      <alignment vertical="center" wrapText="1"/>
    </xf>
    <xf numFmtId="0" fontId="8" fillId="0" borderId="4" xfId="0" applyFont="1" applyBorder="1">
      <alignment vertical="center"/>
    </xf>
    <xf numFmtId="0" fontId="8" fillId="0" borderId="8" xfId="0" applyFont="1" applyBorder="1" applyAlignment="1">
      <alignment vertical="center" wrapText="1"/>
    </xf>
    <xf numFmtId="0" fontId="8" fillId="0" borderId="9" xfId="0" applyFont="1" applyBorder="1">
      <alignment vertical="center"/>
    </xf>
    <xf numFmtId="0" fontId="8" fillId="0" borderId="10" xfId="0" applyFont="1" applyBorder="1" applyAlignment="1">
      <alignment vertical="center" wrapText="1"/>
    </xf>
    <xf numFmtId="0" fontId="8" fillId="0" borderId="10" xfId="0" applyFont="1" applyBorder="1">
      <alignment vertical="center"/>
    </xf>
    <xf numFmtId="0" fontId="8" fillId="0" borderId="16" xfId="0" applyFont="1" applyBorder="1" applyAlignment="1">
      <alignment horizontal="right" vertical="center" wrapText="1"/>
    </xf>
    <xf numFmtId="0" fontId="8" fillId="0" borderId="5" xfId="0" applyFont="1" applyBorder="1">
      <alignment vertical="center"/>
    </xf>
    <xf numFmtId="0" fontId="8" fillId="0" borderId="6" xfId="0" applyFont="1" applyBorder="1" applyAlignment="1">
      <alignment vertical="center" wrapText="1"/>
    </xf>
    <xf numFmtId="0" fontId="8" fillId="0" borderId="6" xfId="0" applyFont="1" applyBorder="1">
      <alignment vertical="center"/>
    </xf>
    <xf numFmtId="0" fontId="8" fillId="0" borderId="12" xfId="0" applyFont="1" applyBorder="1" applyAlignment="1">
      <alignment horizontal="right" vertical="center" wrapText="1"/>
    </xf>
    <xf numFmtId="0" fontId="9" fillId="0" borderId="3" xfId="0" applyFont="1" applyBorder="1">
      <alignment vertical="center"/>
    </xf>
    <xf numFmtId="0" fontId="9" fillId="0" borderId="16" xfId="0" applyFont="1" applyBorder="1" applyAlignment="1">
      <alignment vertical="center" wrapText="1"/>
    </xf>
    <xf numFmtId="0" fontId="9" fillId="0" borderId="16" xfId="0" applyFont="1" applyBorder="1">
      <alignment vertical="center"/>
    </xf>
    <xf numFmtId="0" fontId="8" fillId="0" borderId="13" xfId="0" applyFont="1" applyBorder="1" applyAlignment="1">
      <alignment horizontal="left" vertical="center"/>
    </xf>
    <xf numFmtId="0" fontId="8" fillId="0" borderId="14" xfId="0" applyFont="1" applyBorder="1" applyAlignment="1">
      <alignment horizontal="left" vertical="center"/>
    </xf>
    <xf numFmtId="0" fontId="8" fillId="0" borderId="15" xfId="0" applyFont="1" applyBorder="1" applyAlignment="1">
      <alignment horizontal="left" vertical="center"/>
    </xf>
    <xf numFmtId="0" fontId="8" fillId="0" borderId="17" xfId="0" applyFont="1" applyBorder="1" applyAlignment="1">
      <alignment horizontal="left" vertical="center"/>
    </xf>
    <xf numFmtId="0" fontId="8" fillId="0" borderId="18" xfId="0" applyFont="1" applyBorder="1" applyAlignment="1">
      <alignment horizontal="left" vertical="center"/>
    </xf>
    <xf numFmtId="0" fontId="8"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1"/>
  <sheetViews>
    <sheetView tabSelected="1" topLeftCell="A6" zoomScale="120" zoomScaleNormal="120" workbookViewId="0">
      <selection activeCell="D36" sqref="D36"/>
    </sheetView>
  </sheetViews>
  <sheetFormatPr baseColWidth="10" defaultColWidth="9" defaultRowHeight="15"/>
  <cols>
    <col min="3" max="3" width="34.33203125" style="11" customWidth="1"/>
    <col min="4" max="4" width="15.1640625" customWidth="1"/>
    <col min="5" max="5" width="10.6640625" customWidth="1"/>
    <col min="6" max="6" width="29.83203125" style="11" customWidth="1"/>
    <col min="8" max="8" width="41.6640625" style="11" customWidth="1"/>
    <col min="9" max="9" width="39.83203125" customWidth="1"/>
  </cols>
  <sheetData>
    <row r="2" spans="2:9">
      <c r="B2" s="4" t="s">
        <v>0</v>
      </c>
      <c r="C2" s="5" t="s">
        <v>64</v>
      </c>
      <c r="D2" s="5" t="s">
        <v>1</v>
      </c>
      <c r="E2" s="5" t="s">
        <v>72</v>
      </c>
      <c r="F2" s="5" t="s">
        <v>73</v>
      </c>
      <c r="G2" s="5" t="s">
        <v>2</v>
      </c>
      <c r="H2" s="5" t="s">
        <v>3</v>
      </c>
      <c r="I2" s="8" t="s">
        <v>4</v>
      </c>
    </row>
    <row r="3" spans="2:9" ht="208" customHeight="1">
      <c r="B3" s="6" t="s">
        <v>5</v>
      </c>
      <c r="C3" s="7" t="s">
        <v>6</v>
      </c>
      <c r="D3" s="7" t="s">
        <v>7</v>
      </c>
      <c r="E3" s="7" t="s">
        <v>71</v>
      </c>
      <c r="F3" s="7" t="s">
        <v>74</v>
      </c>
      <c r="G3" s="7" t="s">
        <v>8</v>
      </c>
      <c r="H3" s="7" t="s">
        <v>9</v>
      </c>
      <c r="I3" s="9" t="s">
        <v>10</v>
      </c>
    </row>
    <row r="4" spans="2:9" ht="28">
      <c r="B4" s="14" t="s">
        <v>75</v>
      </c>
      <c r="C4" s="15" t="s">
        <v>12</v>
      </c>
      <c r="D4" s="16" t="s">
        <v>76</v>
      </c>
      <c r="E4" s="16" t="s">
        <v>37</v>
      </c>
      <c r="F4" s="15" t="s">
        <v>70</v>
      </c>
      <c r="G4" s="16">
        <v>9.6</v>
      </c>
      <c r="H4" s="15" t="s">
        <v>68</v>
      </c>
      <c r="I4" s="17" t="s">
        <v>84</v>
      </c>
    </row>
    <row r="5" spans="2:9" ht="28">
      <c r="B5" s="14" t="s">
        <v>75</v>
      </c>
      <c r="C5" s="15" t="s">
        <v>12</v>
      </c>
      <c r="D5" s="16" t="s">
        <v>108</v>
      </c>
      <c r="E5" s="16" t="s">
        <v>37</v>
      </c>
      <c r="F5" s="15" t="s">
        <v>70</v>
      </c>
      <c r="G5" s="16">
        <v>10.8</v>
      </c>
      <c r="H5" s="15" t="s">
        <v>22</v>
      </c>
      <c r="I5" s="17" t="s">
        <v>109</v>
      </c>
    </row>
    <row r="6" spans="2:9" ht="28">
      <c r="B6" s="14" t="s">
        <v>75</v>
      </c>
      <c r="C6" s="15" t="s">
        <v>12</v>
      </c>
      <c r="D6" s="16" t="s">
        <v>79</v>
      </c>
      <c r="E6" s="16" t="s">
        <v>37</v>
      </c>
      <c r="F6" s="15" t="s">
        <v>70</v>
      </c>
      <c r="G6" s="16">
        <v>9.6999999999999993</v>
      </c>
      <c r="H6" s="15" t="s">
        <v>66</v>
      </c>
      <c r="I6" s="17" t="s">
        <v>94</v>
      </c>
    </row>
    <row r="7" spans="2:9" ht="28">
      <c r="B7" s="14" t="s">
        <v>75</v>
      </c>
      <c r="C7" s="15" t="s">
        <v>12</v>
      </c>
      <c r="D7" s="16" t="s">
        <v>77</v>
      </c>
      <c r="E7" s="16" t="s">
        <v>37</v>
      </c>
      <c r="F7" s="15" t="s">
        <v>70</v>
      </c>
      <c r="G7" s="16">
        <v>0.5</v>
      </c>
      <c r="H7" s="15" t="s">
        <v>24</v>
      </c>
      <c r="I7" s="17" t="s">
        <v>117</v>
      </c>
    </row>
    <row r="8" spans="2:9" ht="28">
      <c r="B8" s="14" t="s">
        <v>75</v>
      </c>
      <c r="C8" s="15" t="s">
        <v>12</v>
      </c>
      <c r="D8" s="16" t="s">
        <v>92</v>
      </c>
      <c r="E8" s="16" t="s">
        <v>37</v>
      </c>
      <c r="F8" s="15" t="s">
        <v>70</v>
      </c>
      <c r="G8" s="16">
        <v>0.2</v>
      </c>
      <c r="H8" s="15" t="s">
        <v>66</v>
      </c>
      <c r="I8" s="17" t="s">
        <v>93</v>
      </c>
    </row>
    <row r="9" spans="2:9" ht="28">
      <c r="B9" s="14" t="s">
        <v>75</v>
      </c>
      <c r="C9" s="15" t="s">
        <v>12</v>
      </c>
      <c r="D9" s="16" t="s">
        <v>89</v>
      </c>
      <c r="E9" s="16" t="s">
        <v>37</v>
      </c>
      <c r="F9" s="15" t="s">
        <v>70</v>
      </c>
      <c r="G9" s="16">
        <v>1.8</v>
      </c>
      <c r="H9" s="15" t="s">
        <v>68</v>
      </c>
      <c r="I9" s="17" t="s">
        <v>88</v>
      </c>
    </row>
    <row r="10" spans="2:9" ht="28">
      <c r="B10" s="14" t="s">
        <v>75</v>
      </c>
      <c r="C10" s="15" t="s">
        <v>13</v>
      </c>
      <c r="D10" s="16" t="s">
        <v>76</v>
      </c>
      <c r="E10" s="16" t="s">
        <v>78</v>
      </c>
      <c r="F10" s="15" t="s">
        <v>70</v>
      </c>
      <c r="G10" s="16">
        <v>4.0999999999999996</v>
      </c>
      <c r="H10" s="15" t="s">
        <v>68</v>
      </c>
      <c r="I10" s="17" t="s">
        <v>100</v>
      </c>
    </row>
    <row r="11" spans="2:9" ht="28">
      <c r="B11" s="26" t="s">
        <v>90</v>
      </c>
      <c r="C11" s="27" t="s">
        <v>13</v>
      </c>
      <c r="D11" s="28" t="s">
        <v>79</v>
      </c>
      <c r="E11" s="28" t="s">
        <v>37</v>
      </c>
      <c r="F11" s="27" t="s">
        <v>70</v>
      </c>
      <c r="G11" s="28">
        <v>1.1000000000000001</v>
      </c>
      <c r="H11" s="15" t="s">
        <v>68</v>
      </c>
      <c r="I11" s="17" t="s">
        <v>103</v>
      </c>
    </row>
    <row r="12" spans="2:9" ht="28">
      <c r="B12" s="26" t="s">
        <v>90</v>
      </c>
      <c r="C12" s="27" t="s">
        <v>13</v>
      </c>
      <c r="D12" s="28" t="s">
        <v>104</v>
      </c>
      <c r="E12" s="28" t="s">
        <v>37</v>
      </c>
      <c r="F12" s="27" t="s">
        <v>70</v>
      </c>
      <c r="G12" s="28">
        <v>1.3</v>
      </c>
      <c r="H12" s="15" t="s">
        <v>66</v>
      </c>
      <c r="I12" s="17" t="s">
        <v>91</v>
      </c>
    </row>
    <row r="13" spans="2:9" ht="28">
      <c r="B13" s="14" t="s">
        <v>75</v>
      </c>
      <c r="C13" s="15" t="s">
        <v>13</v>
      </c>
      <c r="D13" s="16" t="s">
        <v>95</v>
      </c>
      <c r="E13" s="16" t="s">
        <v>78</v>
      </c>
      <c r="F13" s="15" t="s">
        <v>70</v>
      </c>
      <c r="G13" s="16">
        <v>1</v>
      </c>
      <c r="H13" s="15" t="s">
        <v>66</v>
      </c>
      <c r="I13" s="17" t="s">
        <v>96</v>
      </c>
    </row>
    <row r="14" spans="2:9" ht="28">
      <c r="B14" s="14" t="s">
        <v>75</v>
      </c>
      <c r="C14" s="15" t="s">
        <v>13</v>
      </c>
      <c r="D14" s="16" t="s">
        <v>105</v>
      </c>
      <c r="E14" s="16" t="s">
        <v>78</v>
      </c>
      <c r="F14" s="15" t="s">
        <v>70</v>
      </c>
      <c r="G14" s="16">
        <v>1.3</v>
      </c>
      <c r="H14" s="15" t="s">
        <v>66</v>
      </c>
      <c r="I14" s="17" t="s">
        <v>106</v>
      </c>
    </row>
    <row r="15" spans="2:9" ht="28">
      <c r="B15" s="14" t="s">
        <v>75</v>
      </c>
      <c r="C15" s="15" t="s">
        <v>13</v>
      </c>
      <c r="D15" s="16" t="s">
        <v>101</v>
      </c>
      <c r="E15" s="16" t="s">
        <v>78</v>
      </c>
      <c r="F15" s="15" t="s">
        <v>70</v>
      </c>
      <c r="G15" s="16">
        <v>0.4</v>
      </c>
      <c r="H15" s="15" t="s">
        <v>68</v>
      </c>
      <c r="I15" s="17" t="s">
        <v>102</v>
      </c>
    </row>
    <row r="16" spans="2:9" ht="28">
      <c r="B16" s="14" t="s">
        <v>75</v>
      </c>
      <c r="C16" s="15" t="s">
        <v>14</v>
      </c>
      <c r="D16" s="16" t="s">
        <v>111</v>
      </c>
      <c r="E16" s="16" t="s">
        <v>37</v>
      </c>
      <c r="F16" s="15" t="s">
        <v>70</v>
      </c>
      <c r="G16" s="16">
        <v>0.9</v>
      </c>
      <c r="H16" s="15" t="s">
        <v>24</v>
      </c>
      <c r="I16" s="17" t="s">
        <v>85</v>
      </c>
    </row>
    <row r="17" spans="2:9" ht="28">
      <c r="B17" s="14" t="s">
        <v>75</v>
      </c>
      <c r="C17" s="15" t="s">
        <v>14</v>
      </c>
      <c r="D17" s="16" t="s">
        <v>112</v>
      </c>
      <c r="E17" s="16" t="s">
        <v>37</v>
      </c>
      <c r="F17" s="15" t="s">
        <v>70</v>
      </c>
      <c r="G17" s="16">
        <v>0.6</v>
      </c>
      <c r="H17" s="15" t="s">
        <v>24</v>
      </c>
      <c r="I17" s="17" t="s">
        <v>85</v>
      </c>
    </row>
    <row r="18" spans="2:9" ht="28">
      <c r="B18" s="14" t="s">
        <v>75</v>
      </c>
      <c r="C18" s="15" t="s">
        <v>14</v>
      </c>
      <c r="D18" s="16" t="s">
        <v>97</v>
      </c>
      <c r="E18" s="16" t="s">
        <v>37</v>
      </c>
      <c r="F18" s="15" t="s">
        <v>70</v>
      </c>
      <c r="G18" s="16">
        <v>0.3</v>
      </c>
      <c r="H18" s="15" t="s">
        <v>24</v>
      </c>
      <c r="I18" s="17" t="s">
        <v>85</v>
      </c>
    </row>
    <row r="19" spans="2:9" ht="28">
      <c r="B19" s="14" t="s">
        <v>75</v>
      </c>
      <c r="C19" s="15" t="s">
        <v>14</v>
      </c>
      <c r="D19" s="16" t="s">
        <v>113</v>
      </c>
      <c r="E19" s="16" t="s">
        <v>37</v>
      </c>
      <c r="F19" s="15" t="s">
        <v>70</v>
      </c>
      <c r="G19" s="16">
        <v>0.4</v>
      </c>
      <c r="H19" s="15" t="s">
        <v>66</v>
      </c>
      <c r="I19" s="17" t="s">
        <v>85</v>
      </c>
    </row>
    <row r="20" spans="2:9" ht="28">
      <c r="B20" s="14" t="s">
        <v>75</v>
      </c>
      <c r="C20" s="15" t="s">
        <v>14</v>
      </c>
      <c r="D20" s="16" t="s">
        <v>86</v>
      </c>
      <c r="E20" s="16" t="s">
        <v>37</v>
      </c>
      <c r="F20" s="15" t="s">
        <v>70</v>
      </c>
      <c r="G20" s="16">
        <v>0.2</v>
      </c>
      <c r="H20" s="15" t="s">
        <v>66</v>
      </c>
      <c r="I20" s="17" t="s">
        <v>85</v>
      </c>
    </row>
    <row r="21" spans="2:9" ht="28">
      <c r="B21" s="14" t="s">
        <v>75</v>
      </c>
      <c r="C21" s="15" t="s">
        <v>14</v>
      </c>
      <c r="D21" s="16" t="s">
        <v>110</v>
      </c>
      <c r="E21" s="16" t="s">
        <v>37</v>
      </c>
      <c r="F21" s="15" t="s">
        <v>70</v>
      </c>
      <c r="G21" s="16">
        <v>0.4</v>
      </c>
      <c r="H21" s="15" t="s">
        <v>24</v>
      </c>
      <c r="I21" s="17" t="s">
        <v>85</v>
      </c>
    </row>
    <row r="22" spans="2:9">
      <c r="B22" s="14" t="s">
        <v>75</v>
      </c>
      <c r="C22" s="15" t="s">
        <v>15</v>
      </c>
      <c r="D22" s="16"/>
      <c r="E22" s="16" t="s">
        <v>24</v>
      </c>
      <c r="F22" s="15"/>
      <c r="G22" s="16">
        <v>2</v>
      </c>
      <c r="H22" s="15" t="s">
        <v>34</v>
      </c>
      <c r="I22" s="17" t="s">
        <v>98</v>
      </c>
    </row>
    <row r="23" spans="2:9">
      <c r="B23" s="14" t="s">
        <v>75</v>
      </c>
      <c r="C23" s="15" t="s">
        <v>15</v>
      </c>
      <c r="D23" s="16"/>
      <c r="E23" s="16" t="s">
        <v>24</v>
      </c>
      <c r="F23" s="15"/>
      <c r="G23" s="16">
        <v>9.4</v>
      </c>
      <c r="H23" s="15" t="s">
        <v>34</v>
      </c>
      <c r="I23" s="17" t="s">
        <v>99</v>
      </c>
    </row>
    <row r="24" spans="2:9">
      <c r="B24" s="14" t="s">
        <v>75</v>
      </c>
      <c r="C24" s="15" t="s">
        <v>82</v>
      </c>
      <c r="D24" s="16"/>
      <c r="E24" s="16" t="s">
        <v>24</v>
      </c>
      <c r="F24" s="15"/>
      <c r="G24" s="16">
        <v>1.8</v>
      </c>
      <c r="H24" s="15" t="s">
        <v>83</v>
      </c>
      <c r="I24" s="17" t="s">
        <v>87</v>
      </c>
    </row>
    <row r="25" spans="2:9" ht="28">
      <c r="B25" s="14" t="s">
        <v>75</v>
      </c>
      <c r="C25" s="15" t="s">
        <v>114</v>
      </c>
      <c r="D25" s="16"/>
      <c r="E25" s="16" t="s">
        <v>24</v>
      </c>
      <c r="F25" s="15"/>
      <c r="G25" s="16">
        <v>1.7</v>
      </c>
      <c r="H25" s="15" t="s">
        <v>31</v>
      </c>
      <c r="I25" s="17" t="s">
        <v>115</v>
      </c>
    </row>
    <row r="26" spans="2:9">
      <c r="B26" s="14" t="s">
        <v>75</v>
      </c>
      <c r="C26" s="15" t="s">
        <v>114</v>
      </c>
      <c r="D26" s="16"/>
      <c r="E26" s="16" t="s">
        <v>24</v>
      </c>
      <c r="F26" s="15"/>
      <c r="G26" s="16">
        <v>1</v>
      </c>
      <c r="H26" s="15" t="s">
        <v>31</v>
      </c>
      <c r="I26" s="17" t="s">
        <v>116</v>
      </c>
    </row>
    <row r="27" spans="2:9">
      <c r="B27" s="14" t="s">
        <v>75</v>
      </c>
      <c r="C27" s="15" t="s">
        <v>16</v>
      </c>
      <c r="D27" s="16"/>
      <c r="E27" s="16" t="s">
        <v>24</v>
      </c>
      <c r="F27" s="15"/>
      <c r="G27" s="16">
        <v>5.8</v>
      </c>
      <c r="H27" s="15" t="s">
        <v>24</v>
      </c>
      <c r="I27" s="17" t="s">
        <v>107</v>
      </c>
    </row>
    <row r="28" spans="2:9" ht="28">
      <c r="B28" s="14" t="s">
        <v>75</v>
      </c>
      <c r="C28" s="15" t="s">
        <v>16</v>
      </c>
      <c r="D28" s="16"/>
      <c r="E28" s="16" t="s">
        <v>24</v>
      </c>
      <c r="F28" s="15"/>
      <c r="G28" s="16">
        <v>0.7</v>
      </c>
      <c r="H28" s="15" t="s">
        <v>80</v>
      </c>
      <c r="I28" s="17" t="s">
        <v>81</v>
      </c>
    </row>
    <row r="29" spans="2:9">
      <c r="B29" s="18"/>
      <c r="C29" s="19"/>
      <c r="D29" s="20"/>
      <c r="E29" s="20"/>
      <c r="F29" s="21" t="s">
        <v>61</v>
      </c>
      <c r="G29" s="32">
        <f>SUM(G4:G28)</f>
        <v>66.999999999999986</v>
      </c>
      <c r="H29" s="33"/>
      <c r="I29" s="34"/>
    </row>
    <row r="30" spans="2:9" ht="16" thickBot="1">
      <c r="B30" s="22"/>
      <c r="C30" s="23"/>
      <c r="D30" s="24"/>
      <c r="E30" s="24"/>
      <c r="F30" s="25" t="s">
        <v>62</v>
      </c>
      <c r="G30" s="29">
        <v>3</v>
      </c>
      <c r="H30" s="30"/>
      <c r="I30" s="31"/>
    </row>
    <row r="31" spans="2:9" ht="16" thickTop="1"/>
  </sheetData>
  <mergeCells count="2">
    <mergeCell ref="G30:I30"/>
    <mergeCell ref="G29:I29"/>
  </mergeCells>
  <phoneticPr fontId="6" type="noConversion"/>
  <dataValidations count="2">
    <dataValidation type="list" allowBlank="1" showInputMessage="1" showErrorMessage="1" sqref="F4:F10 F13:F28" xr:uid="{00000000-0002-0000-0000-000001000000}">
      <formula1>INDIRECT(E4)</formula1>
    </dataValidation>
    <dataValidation type="list" allowBlank="1" showInputMessage="1" showErrorMessage="1" sqref="H4:H28" xr:uid="{00000000-0002-0000-0000-000000000000}">
      <formula1>hh</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C4:C10 C13:C30</xm:sqref>
        </x14:dataValidation>
        <x14:dataValidation type="list" allowBlank="1" showInputMessage="1" showErrorMessage="1" xr:uid="{00000000-0002-0000-0000-000003000000}">
          <x14:formula1>
            <xm:f>数据标签!$B$12:$C$12</xm:f>
          </x14:formula1>
          <xm:sqref>E4:E10 E13:E30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topLeftCell="A3"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63</v>
      </c>
      <c r="G2" s="3" t="s">
        <v>54</v>
      </c>
      <c r="H2" s="3" t="s">
        <v>16</v>
      </c>
    </row>
    <row r="3" spans="1:8" ht="28">
      <c r="A3" s="2" t="s">
        <v>17</v>
      </c>
      <c r="B3" s="3" t="s">
        <v>67</v>
      </c>
      <c r="C3" s="3" t="s">
        <v>67</v>
      </c>
      <c r="D3" s="3" t="s">
        <v>67</v>
      </c>
      <c r="E3" s="3" t="s">
        <v>18</v>
      </c>
      <c r="F3" s="3" t="s">
        <v>19</v>
      </c>
      <c r="G3" s="3" t="s">
        <v>20</v>
      </c>
      <c r="H3" s="3" t="s">
        <v>21</v>
      </c>
    </row>
    <row r="4" spans="1:8" ht="42">
      <c r="A4" s="2"/>
      <c r="B4" s="13" t="s">
        <v>69</v>
      </c>
      <c r="C4" s="13" t="s">
        <v>69</v>
      </c>
      <c r="D4" s="13" t="s">
        <v>69</v>
      </c>
      <c r="E4" s="3" t="s">
        <v>23</v>
      </c>
      <c r="F4" s="12" t="s">
        <v>56</v>
      </c>
      <c r="G4" s="3" t="s">
        <v>53</v>
      </c>
      <c r="H4" s="3" t="s">
        <v>55</v>
      </c>
    </row>
    <row r="5" spans="1:8" ht="28">
      <c r="B5" s="3" t="s">
        <v>22</v>
      </c>
      <c r="C5" s="3" t="s">
        <v>22</v>
      </c>
      <c r="D5" s="3" t="s">
        <v>22</v>
      </c>
      <c r="E5" s="13" t="s">
        <v>26</v>
      </c>
      <c r="F5" s="12" t="s">
        <v>24</v>
      </c>
      <c r="G5" s="13" t="s">
        <v>27</v>
      </c>
      <c r="H5" s="13" t="s">
        <v>28</v>
      </c>
    </row>
    <row r="6" spans="1:8" ht="28">
      <c r="B6" s="3" t="s">
        <v>25</v>
      </c>
      <c r="C6" s="3" t="s">
        <v>25</v>
      </c>
      <c r="D6" s="3" t="s">
        <v>25</v>
      </c>
      <c r="E6" s="13" t="s">
        <v>30</v>
      </c>
      <c r="F6" s="12"/>
      <c r="G6" s="13" t="s">
        <v>31</v>
      </c>
      <c r="H6" s="13" t="s">
        <v>32</v>
      </c>
    </row>
    <row r="7" spans="1:8" ht="42">
      <c r="B7" s="3" t="s">
        <v>29</v>
      </c>
      <c r="C7" s="3" t="s">
        <v>29</v>
      </c>
      <c r="D7" s="3" t="s">
        <v>29</v>
      </c>
      <c r="E7" s="13" t="s">
        <v>34</v>
      </c>
      <c r="G7" s="13" t="s">
        <v>24</v>
      </c>
      <c r="H7" s="13" t="s">
        <v>35</v>
      </c>
    </row>
    <row r="8" spans="1:8" ht="14">
      <c r="B8" s="3" t="s">
        <v>33</v>
      </c>
      <c r="C8" s="3" t="s">
        <v>33</v>
      </c>
      <c r="D8" s="3" t="s">
        <v>33</v>
      </c>
      <c r="E8" s="13"/>
      <c r="G8" s="13"/>
      <c r="H8" s="13" t="s">
        <v>65</v>
      </c>
    </row>
    <row r="9" spans="1:8" ht="14">
      <c r="B9" s="1" t="s">
        <v>24</v>
      </c>
      <c r="C9" s="1" t="s">
        <v>24</v>
      </c>
      <c r="D9" s="1" t="s">
        <v>24</v>
      </c>
      <c r="E9" s="13"/>
      <c r="F9" s="12"/>
      <c r="G9" s="13"/>
      <c r="H9" s="13" t="s">
        <v>60</v>
      </c>
    </row>
    <row r="10" spans="1:8">
      <c r="C10" s="13"/>
      <c r="D10" s="13"/>
      <c r="H10" s="13"/>
    </row>
    <row r="12" spans="1:8">
      <c r="A12" s="1" t="s">
        <v>36</v>
      </c>
      <c r="B12" s="1" t="s">
        <v>37</v>
      </c>
      <c r="C12" s="1" t="s">
        <v>24</v>
      </c>
    </row>
    <row r="13" spans="1:8" ht="42">
      <c r="A13" s="1" t="s">
        <v>38</v>
      </c>
      <c r="B13" s="3" t="s">
        <v>39</v>
      </c>
    </row>
    <row r="14" spans="1:8" ht="42">
      <c r="B14" s="3" t="s">
        <v>51</v>
      </c>
      <c r="C14" s="10" t="s">
        <v>52</v>
      </c>
      <c r="D14" s="10" t="s">
        <v>52</v>
      </c>
    </row>
    <row r="15" spans="1:8" ht="28">
      <c r="B15" s="3" t="s">
        <v>40</v>
      </c>
      <c r="C15" s="10" t="s">
        <v>52</v>
      </c>
      <c r="D15" s="10" t="s">
        <v>52</v>
      </c>
    </row>
    <row r="16" spans="1:8" ht="56">
      <c r="B16" s="3" t="s">
        <v>41</v>
      </c>
      <c r="C16" s="10" t="s">
        <v>52</v>
      </c>
      <c r="D16" s="10" t="s">
        <v>52</v>
      </c>
    </row>
    <row r="17" spans="2:4" ht="56">
      <c r="B17" s="3" t="s">
        <v>42</v>
      </c>
      <c r="C17" s="10" t="s">
        <v>52</v>
      </c>
      <c r="D17" s="10" t="s">
        <v>52</v>
      </c>
    </row>
    <row r="18" spans="2:4" ht="42">
      <c r="B18" s="3" t="s">
        <v>43</v>
      </c>
      <c r="C18" s="10" t="s">
        <v>52</v>
      </c>
      <c r="D18" s="10" t="s">
        <v>52</v>
      </c>
    </row>
    <row r="19" spans="2:4" ht="56">
      <c r="B19" s="3" t="s">
        <v>44</v>
      </c>
      <c r="C19" s="10" t="s">
        <v>52</v>
      </c>
      <c r="D19" s="10" t="s">
        <v>52</v>
      </c>
    </row>
    <row r="20" spans="2:4" ht="56">
      <c r="B20" s="3" t="s">
        <v>45</v>
      </c>
      <c r="C20" s="10" t="s">
        <v>52</v>
      </c>
      <c r="D20" s="10" t="s">
        <v>52</v>
      </c>
    </row>
    <row r="21" spans="2:4" ht="42">
      <c r="B21" s="3" t="s">
        <v>57</v>
      </c>
      <c r="C21" s="10" t="s">
        <v>52</v>
      </c>
      <c r="D21" s="10" t="s">
        <v>52</v>
      </c>
    </row>
    <row r="22" spans="2:4" ht="42">
      <c r="B22" s="3" t="s">
        <v>46</v>
      </c>
      <c r="C22" s="10" t="s">
        <v>52</v>
      </c>
      <c r="D22" s="10" t="s">
        <v>52</v>
      </c>
    </row>
    <row r="23" spans="2:4" ht="42">
      <c r="B23" s="3" t="s">
        <v>58</v>
      </c>
      <c r="C23" s="10" t="s">
        <v>52</v>
      </c>
      <c r="D23" s="10" t="s">
        <v>52</v>
      </c>
    </row>
    <row r="24" spans="2:4" ht="42">
      <c r="B24" s="3" t="s">
        <v>59</v>
      </c>
      <c r="C24" s="10"/>
      <c r="D24" s="10"/>
    </row>
    <row r="25" spans="2:4" ht="84">
      <c r="B25" s="3" t="s">
        <v>50</v>
      </c>
      <c r="C25" s="10" t="s">
        <v>52</v>
      </c>
      <c r="D25" s="10" t="s">
        <v>52</v>
      </c>
    </row>
    <row r="26" spans="2:4" ht="42">
      <c r="B26" s="3" t="s">
        <v>47</v>
      </c>
      <c r="C26" s="10" t="s">
        <v>52</v>
      </c>
      <c r="D26" s="10" t="s">
        <v>52</v>
      </c>
    </row>
    <row r="27" spans="2:4" ht="42">
      <c r="B27" s="3" t="s">
        <v>48</v>
      </c>
      <c r="C27" s="10" t="s">
        <v>52</v>
      </c>
      <c r="D27" s="10" t="s">
        <v>52</v>
      </c>
    </row>
    <row r="28" spans="2:4" ht="28">
      <c r="B28" s="3" t="s">
        <v>49</v>
      </c>
      <c r="C28" s="10" t="s">
        <v>52</v>
      </c>
      <c r="D28" s="10" t="s">
        <v>52</v>
      </c>
    </row>
  </sheetData>
  <phoneticPr fontId="6"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2024-12-10T02:24:00Z</dcterms:created>
  <dcterms:modified xsi:type="dcterms:W3CDTF">2025-11-30T11:25:00Z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