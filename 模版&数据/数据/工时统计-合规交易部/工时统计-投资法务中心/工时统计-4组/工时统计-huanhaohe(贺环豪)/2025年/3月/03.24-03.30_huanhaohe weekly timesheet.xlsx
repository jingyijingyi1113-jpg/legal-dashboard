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9"/>
  <workbookPr/>
  <mc:AlternateContent xmlns:mc="http://schemas.openxmlformats.org/markup-compatibility/2006">
    <mc:Choice Requires="x15">
      <x15ac:absPath xmlns:x15ac="http://schemas.microsoft.com/office/spreadsheetml/2010/11/ac" url="/Users/hehuanhao/Desktop/1.工作/2.腾讯项目/Timesheet/2024.12起新模板/2025年/3月/"/>
    </mc:Choice>
  </mc:AlternateContent>
  <xr:revisionPtr revIDLastSave="0" documentId="13_ncr:1_{9B5BBB96-6010-6C40-AA06-D86FE3979828}" xr6:coauthVersionLast="47" xr6:coauthVersionMax="47" xr10:uidLastSave="{00000000-0000-0000-0000-000000000000}"/>
  <bookViews>
    <workbookView xWindow="11580" yWindow="5920" windowWidth="35060" windowHeight="200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<sst xmlns="http://schemas.openxmlformats.org/spreadsheetml/2006/main" count="190" uniqueCount="94">
  <si>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</si>
  <si>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</si>
  <si>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</si>
  <si>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</si>
  <si>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</si>
  <si>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</si>
  <si>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</si>
  <si>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</si>
  <si>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</si>
  <si>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</si>
  <si>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</si>
  <si>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</si>
  <si>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</si>
  <si>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</si>
  <si>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</si>
  <si>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</si>
  <si>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</si>
  <si>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</si>
  <si>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</si>
  <si>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</si>
  <si>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</si>
  <si>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</si>
  <si>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</si>
  <si>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</si>
  <si>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</si>
  <si>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</si>
  <si>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</si>
  <si>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</si>
  <si>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</si>
  <si>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</si>
  <si>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</si>
  <si>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</si>
  <si>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</si>
  <si>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</si>
  <si>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</si>
  <si>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</si>
  <si>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</si>
  <si>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</si>
  <si>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</si>
  <si>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</si>
  <si>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</si>
  <si>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</si>
  <si>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</si>
  <si>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</si>
  <si>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</si>
  <si>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</si>
  <si>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</si>
  <si>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</si>
  <si>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</si>
  <si>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</si>
  <si>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</si>
  <si>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</si>
  <si>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</si>
  <si>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</si>
  <si>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</si>
  <si>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</si>
  <si>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</si>
  <si>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</si>
  <si>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</si>
  <si>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</si>
  <si>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</si>
  <si>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</si>
  <si>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</si>
  <si>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</si>
  <si>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</si>
  <si>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</si>
  <si>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</si>
  <si>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</si>
  <si>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</si>
  <si>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</si>
  <si>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</si>
  <si>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</si>
  <si>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</si>
  <si>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</si>
  <si>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再融资 - 追加</t>
    <phoneticPr fontId="7" type="noConversion"/>
  </si>
  <si>
    <t>反洗钱及制裁法务支持 Legal support for anti-money laundering and sanctions compliance</t>
  </si>
  <si>
    <t>BSC</t>
    <phoneticPr fontId="7" type="noConversion"/>
  </si>
  <si>
    <t>再融资 - 不追加</t>
    <phoneticPr fontId="7" type="noConversion"/>
  </si>
  <si>
    <t>乐聚机器人</t>
    <phoneticPr fontId="7" type="noConversion"/>
  </si>
  <si>
    <t>财付通反洗钱风控规则有效性之穿行测试（初次开户环节）</t>
    <phoneticPr fontId="7" type="noConversion"/>
  </si>
  <si>
    <t>退出</t>
    <phoneticPr fontId="7" type="noConversion"/>
  </si>
  <si>
    <t>反外国制裁法实施规定的解读</t>
    <phoneticPr fontId="7" type="noConversion"/>
  </si>
  <si>
    <t>海南高朋</t>
    <phoneticPr fontId="7" type="noConversion"/>
  </si>
  <si>
    <t>上市公司重大资产重组</t>
    <phoneticPr fontId="7" type="noConversion"/>
  </si>
  <si>
    <t>Public - Infrastructure &amp; Guidance</t>
  </si>
  <si>
    <t>知识激励方案</t>
    <phoneticPr fontId="7" type="noConversion"/>
  </si>
  <si>
    <t>雅讯天地</t>
    <phoneticPr fontId="7" type="noConversion"/>
  </si>
  <si>
    <t>TOPIC闪匡</t>
    <phoneticPr fontId="7" type="noConversion"/>
  </si>
  <si>
    <t>1CE-777</t>
    <phoneticPr fontId="7" type="noConversion"/>
  </si>
  <si>
    <t>restructuring</t>
    <phoneticPr fontId="7" type="noConversion"/>
  </si>
  <si>
    <t>云鲸智能</t>
    <phoneticPr fontId="7" type="noConversion"/>
  </si>
  <si>
    <t>腾讯计算机等非金融主体拟基于洗钱风险对用户/账号进行管控的合规方案</t>
    <phoneticPr fontId="7" type="noConversion"/>
  </si>
  <si>
    <t>集团境内子公司制裁名单筛查的合规方案</t>
    <phoneticPr fontId="7" type="noConversion"/>
  </si>
  <si>
    <t>中心例会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</si>
</sst>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3" zoomScale="110" zoomScaleNormal="110" workbookViewId="0">
      <selection activeCell="F23" sqref="F23"/>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82</v>
      </c>
      <c r="E4" s="8" t="s">
        <v>40</v>
      </c>
      <c r="F4" s="12" t="s">
        <v>73</v>
      </c>
      <c r="G4" s="8">
        <v>2</v>
      </c>
      <c r="H4" s="12" t="s">
        <v>20</v>
      </c>
      <c r="I4" s="26" t="s">
        <v>83</v>
      </c>
    </row>
    <row r="5" spans="2:9" ht="28">
      <c r="B5" s="14" t="s">
        <v>72</v>
      </c>
      <c r="C5" s="12" t="s">
        <v>14</v>
      </c>
      <c r="D5" s="25" t="s">
        <v>90</v>
      </c>
      <c r="E5" s="25" t="s">
        <v>76</v>
      </c>
      <c r="F5" s="12" t="s">
        <v>73</v>
      </c>
      <c r="G5" s="8">
        <v>0.4</v>
      </c>
      <c r="H5" s="12" t="s">
        <v>20</v>
      </c>
      <c r="I5" s="26" t="s">
        <v>74</v>
      </c>
    </row>
    <row r="6" spans="2:9" ht="28">
      <c r="B6" s="14" t="s">
        <v>72</v>
      </c>
      <c r="C6" s="12" t="s">
        <v>14</v>
      </c>
      <c r="D6" s="25" t="s">
        <v>78</v>
      </c>
      <c r="E6" s="25" t="s">
        <v>76</v>
      </c>
      <c r="F6" s="12" t="s">
        <v>73</v>
      </c>
      <c r="G6" s="8">
        <v>1.8</v>
      </c>
      <c r="H6" s="12" t="s">
        <v>20</v>
      </c>
      <c r="I6" s="26" t="s">
        <v>77</v>
      </c>
    </row>
    <row r="7" spans="2:9" ht="28">
      <c r="B7" s="14" t="s">
        <v>72</v>
      </c>
      <c r="C7" s="12" t="s">
        <v>14</v>
      </c>
      <c r="D7" s="25" t="s">
        <v>87</v>
      </c>
      <c r="E7" s="25" t="s">
        <v>76</v>
      </c>
      <c r="F7" s="12" t="s">
        <v>73</v>
      </c>
      <c r="G7" s="8">
        <v>2.2000000000000002</v>
      </c>
      <c r="H7" s="12" t="s">
        <v>20</v>
      </c>
      <c r="I7" s="26" t="s">
        <v>77</v>
      </c>
    </row>
    <row r="8" spans="2:9" ht="28">
      <c r="B8" s="14" t="s">
        <v>72</v>
      </c>
      <c r="C8" s="12" t="s">
        <v>14</v>
      </c>
      <c r="D8" s="25" t="s">
        <v>88</v>
      </c>
      <c r="E8" s="25" t="s">
        <v>76</v>
      </c>
      <c r="F8" s="12" t="s">
        <v>73</v>
      </c>
      <c r="G8" s="8">
        <v>1.3</v>
      </c>
      <c r="H8" s="12" t="s">
        <v>20</v>
      </c>
      <c r="I8" s="26" t="s">
        <v>89</v>
      </c>
    </row>
    <row r="9" spans="2:9" ht="28">
      <c r="B9" s="14" t="s">
        <v>72</v>
      </c>
      <c r="C9" s="12" t="s">
        <v>14</v>
      </c>
      <c r="D9" s="28" t="s">
        <v>86</v>
      </c>
      <c r="E9" s="8" t="s">
        <v>40</v>
      </c>
      <c r="F9" s="12" t="s">
        <v>73</v>
      </c>
      <c r="G9" s="8">
        <v>0.6</v>
      </c>
      <c r="H9" s="12" t="s">
        <v>20</v>
      </c>
      <c r="I9" s="26" t="s">
        <v>80</v>
      </c>
    </row>
    <row r="10" spans="2:9" ht="42">
      <c r="B10" s="14" t="s">
        <v>72</v>
      </c>
      <c r="C10" s="12" t="s">
        <v>17</v>
      </c>
      <c r="D10" s="25"/>
      <c r="E10" s="8" t="s">
        <v>40</v>
      </c>
      <c r="F10" s="12" t="s">
        <v>75</v>
      </c>
      <c r="G10" s="8">
        <v>1</v>
      </c>
      <c r="H10" s="12" t="s">
        <v>26</v>
      </c>
      <c r="I10" s="27" t="s">
        <v>79</v>
      </c>
    </row>
    <row r="11" spans="2:9" ht="42">
      <c r="B11" s="14" t="s">
        <v>72</v>
      </c>
      <c r="C11" s="12" t="s">
        <v>17</v>
      </c>
      <c r="D11" s="25"/>
      <c r="E11" s="8" t="s">
        <v>40</v>
      </c>
      <c r="F11" s="12" t="s">
        <v>75</v>
      </c>
      <c r="G11" s="8">
        <v>1</v>
      </c>
      <c r="H11" s="12" t="s">
        <v>26</v>
      </c>
      <c r="I11" s="27" t="s">
        <v>81</v>
      </c>
    </row>
    <row r="12" spans="2:9" ht="42">
      <c r="B12" s="14" t="s">
        <v>72</v>
      </c>
      <c r="C12" s="12" t="s">
        <v>17</v>
      </c>
      <c r="D12" s="25"/>
      <c r="E12" s="8" t="s">
        <v>40</v>
      </c>
      <c r="F12" s="12" t="s">
        <v>75</v>
      </c>
      <c r="G12" s="8">
        <v>0.2</v>
      </c>
      <c r="H12" s="12" t="s">
        <v>26</v>
      </c>
      <c r="I12" s="27" t="s">
        <v>91</v>
      </c>
    </row>
    <row r="13" spans="2:9" ht="42">
      <c r="B13" s="14" t="s">
        <v>72</v>
      </c>
      <c r="C13" s="12" t="s">
        <v>17</v>
      </c>
      <c r="D13" s="25"/>
      <c r="E13" s="8" t="s">
        <v>40</v>
      </c>
      <c r="F13" s="12" t="s">
        <v>75</v>
      </c>
      <c r="G13" s="8">
        <v>0.2</v>
      </c>
      <c r="H13" s="12" t="s">
        <v>26</v>
      </c>
      <c r="I13" s="27" t="s">
        <v>92</v>
      </c>
    </row>
    <row r="14" spans="2:9">
      <c r="B14" s="14" t="s">
        <v>72</v>
      </c>
      <c r="C14" s="12" t="s">
        <v>84</v>
      </c>
      <c r="D14" s="25"/>
      <c r="E14" s="8" t="s">
        <v>27</v>
      </c>
      <c r="F14" s="12"/>
      <c r="G14" s="8">
        <v>0.5</v>
      </c>
      <c r="H14" s="12" t="s">
        <v>22</v>
      </c>
      <c r="I14" s="27" t="s">
        <v>85</v>
      </c>
    </row>
    <row r="15" spans="2:9">
      <c r="B15" s="14" t="s">
        <v>72</v>
      </c>
      <c r="C15" s="12" t="s">
        <v>18</v>
      </c>
      <c r="D15" s="25"/>
      <c r="E15" s="8" t="s">
        <v>27</v>
      </c>
      <c r="F15" s="12"/>
      <c r="G15" s="8">
        <v>2.5</v>
      </c>
      <c r="H15" s="12" t="s">
        <v>24</v>
      </c>
      <c r="I15" s="27" t="s">
        <v>93</v>
      </c>
    </row>
    <row r="16" spans="2:9">
      <c r="B16" s="20"/>
      <c r="C16" s="21"/>
      <c r="D16" s="22"/>
      <c r="E16" s="22"/>
      <c r="F16" s="24" t="s">
        <v>67</v>
      </c>
      <c r="G16" s="32">
        <f>SUM(G3:G15)</f>
        <v>13.7</v>
      </c>
      <c r="H16" s="33"/>
      <c r="I16" s="34"/>
    </row>
    <row r="17" spans="2:9" ht="16" thickBot="1">
      <c r="B17" s="17"/>
      <c r="C17" s="18"/>
      <c r="D17" s="19"/>
      <c r="E17" s="19"/>
      <c r="F17" s="23" t="s">
        <v>68</v>
      </c>
      <c r="G17" s="29">
        <v>1</v>
      </c>
      <c r="H17" s="30"/>
      <c r="I17" s="31"/>
    </row>
    <row r="18" spans="2:9" ht="16" thickTop="1"/>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C4:C17</xm:sqref>
        </x14:dataValidation>
        <x14:dataValidation type="list" allowBlank="1" showInputMessage="1" showErrorMessage="1" xr:uid="{00000000-0002-0000-0000-000003000000}">
          <x14:formula1>
            <xm:f>数据标签!$B$11:$D$11</xm:f>
          </x14:formula1>
          <xm:sqref>E4:E17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140" zoomScaleNormal="140"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2025-04-01T03:04:41Z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