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13320" yWindow="3580" windowHeight="2078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<sst xmlns="http://schemas.openxmlformats.org/spreadsheetml/2006/main" count="227" uniqueCount="96">
  <si>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</si>
  <si>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</si>
  <si>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</si>
  <si>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</si>
  <si>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</si>
  <si>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</si>
  <si>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</si>
  <si>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</si>
  <si>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</si>
  <si>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</si>
  <si>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</si>
  <si>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</si>
  <si>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</si>
  <si>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</si>
  <si>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</si>
  <si>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</si>
  <si>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huanhaohe</t>
  </si>
  <si>
    <t>Investment Related - M&amp;A Deal</t>
  </si>
  <si>
    <t>Project Orange</t>
  </si>
  <si>
    <t>BSC</t>
  </si>
  <si>
    <t>投资项目全流程法务支持 Full-process legal support for investments</t>
  </si>
  <si>
    <t>Drafting/reviewing/negotiating legal documents</t>
  </si>
  <si>
    <t>首次投资 - LF, LDD</t>
  </si>
  <si>
    <t>SkyCell</t>
  </si>
  <si>
    <t>首次投资 - LF</t>
  </si>
  <si>
    <t>集益威</t>
  </si>
  <si>
    <t>广州地铁JV</t>
  </si>
  <si>
    <t>首次投资 - IP出资</t>
  </si>
  <si>
    <t>乐聚机器人</t>
  </si>
  <si>
    <t>再融资 - LF</t>
  </si>
  <si>
    <t>Minimax</t>
  </si>
  <si>
    <t>原启生物</t>
  </si>
  <si>
    <t>Spin-off - 方案</t>
  </si>
  <si>
    <t>Investment Related - Corporate Matter</t>
  </si>
  <si>
    <t>道一</t>
  </si>
  <si>
    <t>ESOP</t>
  </si>
  <si>
    <t>TGIF2 NextNinja</t>
  </si>
  <si>
    <t>天安智联</t>
  </si>
  <si>
    <t>胖猫云</t>
  </si>
  <si>
    <t>微芯感知</t>
  </si>
  <si>
    <t>Non-Investment Related - Other Departments</t>
  </si>
  <si>
    <t>境内外主体/办公室合规管理 Compliance management for domestic and overseas entities/offices</t>
  </si>
  <si>
    <t>AMLSC (反洗钱与制裁合规部)</t>
  </si>
  <si>
    <t>集团内跨主体反洗钱数据需求</t>
  </si>
  <si>
    <t>反洗钱及制裁法务支持 Legal support for anti-money laundering and sanctions compliance</t>
  </si>
  <si>
    <t>集团境内子公司制裁名单扫描合作 - 合规评审、协议修改</t>
  </si>
  <si>
    <t>虎牙直播业务洗钱风险缓释（与腾讯联防联控） - 合规评审</t>
  </si>
  <si>
    <t>Public - Knowledge Accumulation &amp; Sharing</t>
  </si>
  <si>
    <t>Others</t>
  </si>
  <si>
    <t>Providing training sessions/knowledge sharing</t>
  </si>
  <si>
    <t>知识库更新</t>
  </si>
  <si>
    <t>Preparing knowhow/memo/client alert</t>
  </si>
  <si>
    <t>跟进并同步公司法第88条第1款司法解释最新动态</t>
  </si>
  <si>
    <t>Public - Others</t>
  </si>
  <si>
    <t>Recording/reviewing deals updates/weekly time reports/other team summaries</t>
  </si>
  <si>
    <t>工作小时记录</t>
  </si>
  <si>
    <t xml:space="preserve">Total Hours:  </t>
  </si>
  <si>
    <t>Number of Actual Working Days:</t>
  </si>
  <si>
    <t>C列</t>
  </si>
  <si>
    <t>Investment Related - IPO</t>
  </si>
  <si>
    <t>Public - Infrastructure &amp; Guidance</t>
  </si>
  <si>
    <t>H列</t>
  </si>
  <si>
    <t>CTD (合规交易部 - 公司事务及国际监管法务中心)</t>
  </si>
  <si>
    <t>Preparing policies/procedures/guidance/booklet</t>
  </si>
  <si>
    <t>Participating regular team meetings</t>
  </si>
  <si>
    <t>Conducting LDD/reviewing LDD results</t>
  </si>
  <si>
    <t>Establishing/improving IT systems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</si>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</sst>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numFmts count="36">
    <numFmt numFmtId="176" formatCode="[DBNum1][$-804]yyyy&quot;年&quot;m&quot;月&quot;"/>
    <numFmt numFmtId="23" formatCode="\$#,##0_);\(\$#,##0\)"/>
    <numFmt numFmtId="177" formatCode="#\ ??/??"/>
    <numFmt numFmtId="178" formatCode="mmmm\-yy"/>
    <numFmt numFmtId="25" formatCode="\$#,##0.00_);\(\$#,##0.00\)"/>
    <numFmt numFmtId="179" formatCode="h:mm:ss\ AM/PM"/>
    <numFmt numFmtId="26" formatCode="\$#,##0.00_);[Red]\(\$#,##0.00\)"/>
    <numFmt numFmtId="180" formatCode="[DBNum1]上午/下午h&quot;时&quot;mm&quot;分&quot;"/>
    <numFmt numFmtId="181" formatCode="[$-804]aaaa"/>
    <numFmt numFmtId="182" formatCode="yyyy/m/d\ h:mm\ AM/PM"/>
    <numFmt numFmtId="183" formatCode="m/d"/>
    <numFmt numFmtId="44" formatCode="_ &quot;￥&quot;* #,##0.00_ ;_ &quot;￥&quot;* \-#,##0.00_ ;_ &quot;￥&quot;* &quot;-&quot;??_ ;_ @_ "/>
    <numFmt numFmtId="184" formatCode="dd\-mmm\-yy"/>
    <numFmt numFmtId="185" formatCode="mmmmm"/>
    <numFmt numFmtId="24" formatCode="\$#,##0_);[Red]\(\$#,##0\)"/>
    <numFmt numFmtId="43" formatCode="_ * #,##0.00_ ;_ * \-#,##0.00_ ;_ * &quot;-&quot;??_ ;_ @_ "/>
    <numFmt numFmtId="186" formatCode="h:mm\ AM/PM"/>
    <numFmt numFmtId="187" formatCode="#\ ?/?"/>
    <numFmt numFmtId="8" formatCode="&quot;￥&quot;#,##0.00;[Red]&quot;￥&quot;\-#,##0.00"/>
    <numFmt numFmtId="7" formatCode="&quot;￥&quot;#,##0.00;&quot;￥&quot;\-#,##0.00"/>
    <numFmt numFmtId="188" formatCode="[$-804]aaa"/>
    <numFmt numFmtId="189" formatCode="[DBNum1][$-804]m&quot;月&quot;d&quot;日&quot;"/>
    <numFmt numFmtId="190" formatCode="mmmmm\-yy"/>
    <numFmt numFmtId="191" formatCode="[DBNum1]h&quot;时&quot;mm&quot;分&quot;"/>
    <numFmt numFmtId="192" formatCode="#\ ??"/>
    <numFmt numFmtId="193" formatCode="\¥#,##0;\¥\-#,##0"/>
    <numFmt numFmtId="6" formatCode="&quot;￥&quot;#,##0;[Red]&quot;￥&quot;\-#,##0"/>
    <numFmt numFmtId="194" formatCode="yy/m/d"/>
    <numFmt numFmtId="195" formatCode="\¥#,##0.00;\¥\-#,##0.00"/>
    <numFmt numFmtId="196" formatCode="\¥#,##0;[Red]\¥\-#,##0"/>
    <numFmt numFmtId="41" formatCode="_ * #,##0_ ;_ * \-#,##0_ ;_ * &quot;-&quot;_ ;_ @_ "/>
    <numFmt numFmtId="197" formatCode="[DBNum1][$-804]yyyy&quot;年&quot;m&quot;月&quot;d&quot;日&quot;"/>
    <numFmt numFmtId="5" formatCode="&quot;￥&quot;#,##0;&quot;￥&quot;\-#,##0"/>
    <numFmt numFmtId="198" formatCode="mm/dd/yy"/>
    <numFmt numFmtId="199" formatCode="\¥#,##0.00;[Red]\¥\-#,##0.00"/>
    <numFmt numFmtId="42" formatCode="_ &quot;￥&quot;* #,##0_ ;_ &quot;￥&quot;* \-#,##0_ ;_ &quot;￥&quot;* &quot;-&quot;_ ;_ @_ "/>
  </numFmts>
  <fonts count="27">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sz val="10"/>
      <color rgb="FF000000"/>
      <name val="等线"/>
      <charset val="134"/>
    </font>
    <font>
      <b/>
      <i/>
      <sz val="10"/>
      <color theme="4" tint="-0.499984740745262"/>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sz val="11"/>
      <color rgb="FFFF0000"/>
      <name val="等线"/>
      <charset val="0"/>
      <scheme val="minor"/>
    </font>
    <font>
      <u/>
      <sz val="11"/>
      <color rgb="FF800080"/>
      <name val="等线"/>
      <charset val="0"/>
      <scheme val="minor"/>
    </font>
    <font>
      <b/>
      <sz val="18"/>
      <color theme="3"/>
      <name val="等线"/>
      <charset val="134"/>
      <scheme val="minor"/>
    </font>
    <font>
      <b/>
      <sz val="11"/>
      <color theme="3"/>
      <name val="等线"/>
      <charset val="134"/>
      <scheme val="minor"/>
    </font>
    <font>
      <i/>
      <sz val="11"/>
      <color rgb="FF7F7F7F"/>
      <name val="等线"/>
      <charset val="0"/>
      <scheme val="minor"/>
    </font>
    <font>
      <u/>
      <sz val="11"/>
      <color rgb="FF0000FF"/>
      <name val="等线"/>
      <charset val="0"/>
      <scheme val="minor"/>
    </font>
    <font>
      <b/>
      <sz val="15"/>
      <color theme="3"/>
      <name val="等线"/>
      <charset val="134"/>
      <scheme val="minor"/>
    </font>
    <font>
      <b/>
      <sz val="11"/>
      <color rgb="FFFA7D00"/>
      <name val="等线"/>
      <charset val="0"/>
      <scheme val="minor"/>
    </font>
    <font>
      <b/>
      <sz val="11"/>
      <color rgb="FF3F3F3F"/>
      <name val="等线"/>
      <charset val="0"/>
      <scheme val="minor"/>
    </font>
    <font>
      <sz val="11"/>
      <color rgb="FF006100"/>
      <name val="等线"/>
      <charset val="0"/>
      <scheme val="minor"/>
    </font>
    <font>
      <sz val="11"/>
      <color rgb="FF9C0006"/>
      <name val="等线"/>
      <charset val="0"/>
      <scheme val="minor"/>
    </font>
    <font>
      <b/>
      <sz val="11"/>
      <color theme="1"/>
      <name val="等线"/>
      <charset val="0"/>
      <scheme val="minor"/>
    </font>
    <font>
      <sz val="11"/>
      <color rgb="FF9C6500"/>
      <name val="等线"/>
      <charset val="0"/>
      <scheme val="minor"/>
    </font>
    <font>
      <b/>
      <sz val="13"/>
      <color theme="3"/>
      <name val="等线"/>
      <charset val="134"/>
      <scheme val="minor"/>
    </font>
    <font>
      <b/>
      <sz val="11"/>
      <color rgb="FFFFFFFF"/>
      <name val="等线"/>
      <charset val="0"/>
      <scheme val="minor"/>
    </font>
    <font>
      <sz val="11"/>
      <color rgb="FF3F3F76"/>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theme="8"/>
        <bgColor indexed="64"/>
      </patternFill>
    </fill>
    <fill>
      <patternFill patternType="solid">
        <fgColor theme="6"/>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theme="4" tint="0.799981688894314"/>
        <bgColor indexed="64"/>
      </patternFill>
    </fill>
    <fill>
      <patternFill patternType="solid">
        <fgColor theme="4"/>
        <bgColor indexed="64"/>
      </patternFill>
    </fill>
    <fill>
      <patternFill patternType="solid">
        <fgColor rgb="FFC6EFCE"/>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rgb="FFFFFFCC"/>
        <bgColor indexed="64"/>
      </patternFill>
    </fill>
    <fill>
      <patternFill patternType="solid">
        <fgColor rgb="FFFFC7CE"/>
        <bgColor indexed="64"/>
      </patternFill>
    </fill>
    <fill>
      <patternFill patternType="solid">
        <fgColor theme="5"/>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FFEB9C"/>
        <bgColor indexed="64"/>
      </patternFill>
    </fill>
    <fill>
      <patternFill patternType="solid">
        <fgColor theme="7"/>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rgb="FFA5A5A5"/>
        <bgColor indexed="64"/>
      </patternFill>
    </fill>
    <fill>
      <patternFill patternType="solid">
        <fgColor rgb="FFFFCC99"/>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right style="thick">
        <color auto="1"/>
      </right>
      <top/>
      <bottom style="thick">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10" fillId="28" borderId="0" applyNumberFormat="0" applyBorder="0" applyAlignment="0" applyProtection="0">
      <alignment vertical="center"/>
    </xf>
    <xf numFmtId="0" fontId="9" fillId="22" borderId="0" applyNumberFormat="0" applyBorder="0" applyAlignment="0" applyProtection="0">
      <alignment vertical="center"/>
    </xf>
    <xf numFmtId="0" fontId="10" fillId="26" borderId="0" applyNumberFormat="0" applyBorder="0" applyAlignment="0" applyProtection="0">
      <alignment vertical="center"/>
    </xf>
    <xf numFmtId="0" fontId="26" fillId="33" borderId="22" applyNumberFormat="0" applyAlignment="0" applyProtection="0">
      <alignment vertical="center"/>
    </xf>
    <xf numFmtId="0" fontId="9" fillId="21" borderId="0" applyNumberFormat="0" applyBorder="0" applyAlignment="0" applyProtection="0">
      <alignment vertical="center"/>
    </xf>
    <xf numFmtId="0" fontId="9" fillId="27" borderId="0" applyNumberFormat="0" applyBorder="0" applyAlignment="0" applyProtection="0">
      <alignment vertical="center"/>
    </xf>
    <xf numFmtId="44" fontId="0" fillId="0" borderId="0" applyFont="0" applyFill="0" applyBorder="0" applyAlignment="0" applyProtection="0">
      <alignment vertical="center"/>
    </xf>
    <xf numFmtId="0" fontId="10" fillId="6" borderId="0" applyNumberFormat="0" applyBorder="0" applyAlignment="0" applyProtection="0">
      <alignment vertical="center"/>
    </xf>
    <xf numFmtId="9" fontId="0" fillId="0" borderId="0" applyFont="0" applyFill="0" applyBorder="0" applyAlignment="0" applyProtection="0">
      <alignment vertical="center"/>
    </xf>
    <xf numFmtId="0" fontId="10" fillId="31" borderId="0" applyNumberFormat="0" applyBorder="0" applyAlignment="0" applyProtection="0">
      <alignment vertical="center"/>
    </xf>
    <xf numFmtId="0" fontId="10" fillId="24" borderId="0" applyNumberFormat="0" applyBorder="0" applyAlignment="0" applyProtection="0">
      <alignment vertical="center"/>
    </xf>
    <xf numFmtId="0" fontId="10" fillId="20" borderId="0" applyNumberFormat="0" applyBorder="0" applyAlignment="0" applyProtection="0">
      <alignment vertical="center"/>
    </xf>
    <xf numFmtId="0" fontId="10" fillId="8" borderId="0" applyNumberFormat="0" applyBorder="0" applyAlignment="0" applyProtection="0">
      <alignment vertical="center"/>
    </xf>
    <xf numFmtId="0" fontId="10" fillId="17" borderId="0" applyNumberFormat="0" applyBorder="0" applyAlignment="0" applyProtection="0">
      <alignment vertical="center"/>
    </xf>
    <xf numFmtId="0" fontId="18" fillId="12" borderId="22" applyNumberFormat="0" applyAlignment="0" applyProtection="0">
      <alignment vertical="center"/>
    </xf>
    <xf numFmtId="0" fontId="10" fillId="14" borderId="0" applyNumberFormat="0" applyBorder="0" applyAlignment="0" applyProtection="0">
      <alignment vertical="center"/>
    </xf>
    <xf numFmtId="0" fontId="23" fillId="25" borderId="0" applyNumberFormat="0" applyBorder="0" applyAlignment="0" applyProtection="0">
      <alignment vertical="center"/>
    </xf>
    <xf numFmtId="0" fontId="9" fillId="29" borderId="0" applyNumberFormat="0" applyBorder="0" applyAlignment="0" applyProtection="0">
      <alignment vertical="center"/>
    </xf>
    <xf numFmtId="0" fontId="20" fillId="15" borderId="0" applyNumberFormat="0" applyBorder="0" applyAlignment="0" applyProtection="0">
      <alignment vertical="center"/>
    </xf>
    <xf numFmtId="0" fontId="9" fillId="13" borderId="0" applyNumberFormat="0" applyBorder="0" applyAlignment="0" applyProtection="0">
      <alignment vertical="center"/>
    </xf>
    <xf numFmtId="0" fontId="22" fillId="0" borderId="25" applyNumberFormat="0" applyFill="0" applyAlignment="0" applyProtection="0">
      <alignment vertical="center"/>
    </xf>
    <xf numFmtId="0" fontId="21" fillId="19" borderId="0" applyNumberFormat="0" applyBorder="0" applyAlignment="0" applyProtection="0">
      <alignment vertical="center"/>
    </xf>
    <xf numFmtId="0" fontId="25" fillId="32" borderId="26" applyNumberFormat="0" applyAlignment="0" applyProtection="0">
      <alignment vertical="center"/>
    </xf>
    <xf numFmtId="0" fontId="19" fillId="12" borderId="23" applyNumberFormat="0" applyAlignment="0" applyProtection="0">
      <alignment vertical="center"/>
    </xf>
    <xf numFmtId="0" fontId="17" fillId="0" borderId="21" applyNumberFormat="0" applyFill="0" applyAlignment="0" applyProtection="0">
      <alignment vertical="center"/>
    </xf>
    <xf numFmtId="0" fontId="15" fillId="0" borderId="0" applyNumberFormat="0" applyFill="0" applyBorder="0" applyAlignment="0" applyProtection="0">
      <alignment vertical="center"/>
    </xf>
    <xf numFmtId="0" fontId="9" fillId="11" borderId="0" applyNumberFormat="0" applyBorder="0" applyAlignment="0" applyProtection="0">
      <alignment vertical="center"/>
    </xf>
    <xf numFmtId="0" fontId="14"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10"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9" fillId="7" borderId="0" applyNumberFormat="0" applyBorder="0" applyAlignment="0" applyProtection="0">
      <alignment vertical="center"/>
    </xf>
    <xf numFmtId="0" fontId="11" fillId="0" borderId="0" applyNumberFormat="0" applyFill="0" applyBorder="0" applyAlignment="0" applyProtection="0">
      <alignment vertical="center"/>
    </xf>
    <xf numFmtId="0" fontId="10" fillId="4" borderId="0" applyNumberFormat="0" applyBorder="0" applyAlignment="0" applyProtection="0">
      <alignment vertical="center"/>
    </xf>
    <xf numFmtId="0" fontId="0" fillId="18" borderId="24" applyNumberFormat="0" applyFont="0" applyAlignment="0" applyProtection="0">
      <alignment vertical="center"/>
    </xf>
    <xf numFmtId="0" fontId="9" fillId="30" borderId="0" applyNumberFormat="0" applyBorder="0" applyAlignment="0" applyProtection="0">
      <alignment vertical="center"/>
    </xf>
    <xf numFmtId="0" fontId="10" fillId="5" borderId="0" applyNumberFormat="0" applyBorder="0" applyAlignment="0" applyProtection="0">
      <alignment vertical="center"/>
    </xf>
    <xf numFmtId="0" fontId="9" fillId="16" borderId="0" applyNumberFormat="0" applyBorder="0" applyAlignment="0" applyProtection="0">
      <alignment vertical="center"/>
    </xf>
    <xf numFmtId="0" fontId="16" fillId="0" borderId="0" applyNumberFormat="0" applyFill="0" applyBorder="0" applyAlignment="0" applyProtection="0">
      <alignment vertical="center"/>
    </xf>
    <xf numFmtId="41" fontId="0" fillId="0" borderId="0" applyFont="0" applyFill="0" applyBorder="0" applyAlignment="0" applyProtection="0">
      <alignment vertical="center"/>
    </xf>
    <xf numFmtId="0" fontId="24" fillId="0" borderId="21" applyNumberFormat="0" applyFill="0" applyAlignment="0" applyProtection="0">
      <alignment vertical="center"/>
    </xf>
    <xf numFmtId="0" fontId="9" fillId="9" borderId="0" applyNumberFormat="0" applyBorder="0" applyAlignment="0" applyProtection="0">
      <alignment vertical="center"/>
    </xf>
    <xf numFmtId="0" fontId="14" fillId="0" borderId="20" applyNumberFormat="0" applyFill="0" applyAlignment="0" applyProtection="0">
      <alignment vertical="center"/>
    </xf>
    <xf numFmtId="0" fontId="10" fillId="23" borderId="0" applyNumberFormat="0" applyBorder="0" applyAlignment="0" applyProtection="0">
      <alignment vertical="center"/>
    </xf>
    <xf numFmtId="0" fontId="9" fillId="3" borderId="0" applyNumberFormat="0" applyBorder="0" applyAlignment="0" applyProtection="0">
      <alignment vertical="center"/>
    </xf>
    <xf numFmtId="0" fontId="8" fillId="0" borderId="19" applyNumberFormat="0" applyFill="0" applyAlignment="0" applyProtection="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49" fontId="1" fillId="0" borderId="0" xfId="0" applyNumberFormat="1" applyFont="1">
      <alignment vertical="center"/>
    </xf>
    <xf numFmtId="0" fontId="3" fillId="0" borderId="0" xfId="0"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6" fillId="0" borderId="4" xfId="0" applyFont="1" applyBorder="1">
      <alignmen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lignment vertical="center"/>
    </xf>
    <xf numFmtId="0" fontId="1" fillId="0" borderId="8" xfId="0" applyFont="1" applyBorder="1" applyAlignment="1">
      <alignment vertical="center" wrapText="1"/>
    </xf>
    <xf numFmtId="0" fontId="1" fillId="0" borderId="8" xfId="0" applyFont="1" applyBorder="1">
      <alignment vertical="center"/>
    </xf>
    <xf numFmtId="0" fontId="1" fillId="0" borderId="9" xfId="0" applyFont="1" applyBorder="1" applyAlignment="1">
      <alignment horizontal="righ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right" vertical="center" wrapText="1"/>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7" fillId="0" borderId="15" xfId="0" applyFont="1" applyBorder="1" applyAlignment="1">
      <alignment horizontal="center" vertical="center"/>
    </xf>
    <xf numFmtId="0" fontId="5" fillId="2" borderId="16" xfId="0" applyFont="1" applyFill="1" applyBorder="1" applyAlignment="1">
      <alignment vertical="center" wrapText="1"/>
    </xf>
    <xf numFmtId="0" fontId="1" fillId="0" borderId="16" xfId="0" applyFont="1" applyBorder="1">
      <alignment vertical="center"/>
    </xf>
    <xf numFmtId="0" fontId="1" fillId="0" borderId="16" xfId="0" applyFont="1" applyBorder="1" applyAlignment="1">
      <alignment vertical="center" wrapText="1"/>
    </xf>
    <xf numFmtId="0" fontId="1" fillId="0" borderId="17" xfId="0" applyFont="1" applyBorder="1" applyAlignment="1">
      <alignment horizontal="left" vertical="center"/>
    </xf>
    <xf numFmtId="0" fontId="1" fillId="0" borderId="18" xfId="0" applyFont="1" applyBorder="1"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open main="42" threadCnt="1"/>
    <sheetInfos>
      <sheetInfo cellCmpFml="1" sheetStid="1">
        <open threadCnt="1"/>
      </sheetInfo>
      <sheetInfo cellCmpFml="0" sheetStid="2">
        <open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4"/>
  <sheetViews>
    <sheetView tabSelected="1" topLeftCell="A8" workbookViewId="0">
      <selection activeCell="C25" sqref="C25"/>
    </sheetView>
  </sheetViews>
  <sheetFormatPr defaultColWidth="9" defaultRowHeight="14.25"/>
  <cols>
    <col min="2" max="2" width="10.5" customWidth="1"/>
    <col min="3" max="3" width="34.3333333333333" style="7" customWidth="1"/>
    <col min="4" max="4" width="15.1666666666667" customWidth="1"/>
    <col min="5" max="5" width="10.6666666666667" customWidth="1"/>
    <col min="6" max="6" width="29.8333333333333" style="7" customWidth="1"/>
    <col min="8" max="8" width="41.6666666666667" style="7" customWidth="1"/>
    <col min="9" max="9" width="39.8333333333333" customWidth="1"/>
  </cols>
  <sheetData>
    <row r="1" ht="15"/>
    <row r="2" ht="15" spans="2:9">
      <c r="B2" s="8" t="s">
        <v>0</v>
      </c>
      <c r="C2" s="9" t="s">
        <v>1</v>
      </c>
      <c r="D2" s="9" t="s">
        <v>2</v>
      </c>
      <c r="E2" s="9" t="s">
        <v>3</v>
      </c>
      <c r="F2" s="9" t="s">
        <v>4</v>
      </c>
      <c r="G2" s="9" t="s">
        <v>5</v>
      </c>
      <c r="H2" s="9" t="s">
        <v>6</v>
      </c>
      <c r="I2" s="28" t="s">
        <v>7</v>
      </c>
    </row>
    <row r="3" ht="208" customHeight="1" spans="2:9">
      <c r="B3" s="10" t="s">
        <v>8</v>
      </c>
      <c r="C3" s="11" t="s">
        <v>9</v>
      </c>
      <c r="D3" s="11" t="s">
        <v>10</v>
      </c>
      <c r="E3" s="11" t="s">
        <v>11</v>
      </c>
      <c r="F3" s="11" t="s">
        <v>12</v>
      </c>
      <c r="G3" s="11" t="s">
        <v>13</v>
      </c>
      <c r="H3" s="11" t="s">
        <v>14</v>
      </c>
      <c r="I3" s="29" t="s">
        <v>15</v>
      </c>
    </row>
    <row r="4" ht="25.5" spans="2:9">
      <c r="B4" s="12" t="s">
        <v>16</v>
      </c>
      <c r="C4" s="13" t="s">
        <v>17</v>
      </c>
      <c r="D4" s="14" t="s">
        <v>18</v>
      </c>
      <c r="E4" s="14" t="s">
        <v>19</v>
      </c>
      <c r="F4" s="13" t="s">
        <v>20</v>
      </c>
      <c r="G4" s="14">
        <v>13.6</v>
      </c>
      <c r="H4" s="13" t="s">
        <v>21</v>
      </c>
      <c r="I4" s="30" t="s">
        <v>22</v>
      </c>
    </row>
    <row r="5" ht="25.5" spans="2:9">
      <c r="B5" s="12" t="s">
        <v>16</v>
      </c>
      <c r="C5" s="13" t="s">
        <v>17</v>
      </c>
      <c r="D5" s="14" t="s">
        <v>23</v>
      </c>
      <c r="E5" s="14" t="s">
        <v>19</v>
      </c>
      <c r="F5" s="13" t="s">
        <v>20</v>
      </c>
      <c r="G5" s="14">
        <v>2</v>
      </c>
      <c r="H5" s="13" t="s">
        <v>21</v>
      </c>
      <c r="I5" s="30" t="s">
        <v>24</v>
      </c>
    </row>
    <row r="6" ht="25.5" spans="2:9">
      <c r="B6" s="12" t="s">
        <v>16</v>
      </c>
      <c r="C6" s="13" t="s">
        <v>17</v>
      </c>
      <c r="D6" s="14" t="s">
        <v>25</v>
      </c>
      <c r="E6" s="14" t="s">
        <v>19</v>
      </c>
      <c r="F6" s="13" t="s">
        <v>20</v>
      </c>
      <c r="G6" s="14">
        <v>1</v>
      </c>
      <c r="H6" s="13" t="s">
        <v>21</v>
      </c>
      <c r="I6" s="30" t="s">
        <v>24</v>
      </c>
    </row>
    <row r="7" ht="25.5" spans="2:9">
      <c r="B7" s="12" t="s">
        <v>16</v>
      </c>
      <c r="C7" s="13" t="s">
        <v>17</v>
      </c>
      <c r="D7" s="14" t="s">
        <v>26</v>
      </c>
      <c r="E7" s="14" t="s">
        <v>19</v>
      </c>
      <c r="F7" s="13" t="s">
        <v>20</v>
      </c>
      <c r="G7" s="14">
        <v>0.2</v>
      </c>
      <c r="H7" s="13" t="s">
        <v>21</v>
      </c>
      <c r="I7" s="30" t="s">
        <v>27</v>
      </c>
    </row>
    <row r="8" ht="25.5" spans="2:9">
      <c r="B8" s="12" t="s">
        <v>16</v>
      </c>
      <c r="C8" s="13" t="s">
        <v>17</v>
      </c>
      <c r="D8" s="14" t="s">
        <v>28</v>
      </c>
      <c r="E8" s="14" t="s">
        <v>19</v>
      </c>
      <c r="F8" s="13" t="s">
        <v>20</v>
      </c>
      <c r="G8" s="14">
        <v>9.2</v>
      </c>
      <c r="H8" s="13" t="s">
        <v>21</v>
      </c>
      <c r="I8" s="30" t="s">
        <v>29</v>
      </c>
    </row>
    <row r="9" ht="25.5" spans="2:9">
      <c r="B9" s="12" t="s">
        <v>16</v>
      </c>
      <c r="C9" s="13" t="s">
        <v>17</v>
      </c>
      <c r="D9" s="14" t="s">
        <v>30</v>
      </c>
      <c r="E9" s="14" t="s">
        <v>19</v>
      </c>
      <c r="F9" s="13" t="s">
        <v>20</v>
      </c>
      <c r="G9" s="14">
        <v>0.7</v>
      </c>
      <c r="H9" s="13" t="s">
        <v>21</v>
      </c>
      <c r="I9" s="30" t="s">
        <v>29</v>
      </c>
    </row>
    <row r="10" ht="25.5" spans="2:9">
      <c r="B10" s="12" t="s">
        <v>16</v>
      </c>
      <c r="C10" s="13" t="s">
        <v>17</v>
      </c>
      <c r="D10" s="14" t="s">
        <v>31</v>
      </c>
      <c r="E10" s="14" t="s">
        <v>19</v>
      </c>
      <c r="F10" s="13" t="s">
        <v>20</v>
      </c>
      <c r="G10" s="14">
        <v>1</v>
      </c>
      <c r="H10" s="13" t="s">
        <v>21</v>
      </c>
      <c r="I10" s="30" t="s">
        <v>32</v>
      </c>
    </row>
    <row r="11" ht="25.5" spans="2:9">
      <c r="B11" s="12" t="s">
        <v>16</v>
      </c>
      <c r="C11" s="13" t="s">
        <v>33</v>
      </c>
      <c r="D11" s="15" t="s">
        <v>34</v>
      </c>
      <c r="E11" s="14" t="s">
        <v>19</v>
      </c>
      <c r="F11" s="13" t="s">
        <v>20</v>
      </c>
      <c r="G11" s="14">
        <v>0.7</v>
      </c>
      <c r="H11" s="13" t="s">
        <v>21</v>
      </c>
      <c r="I11" s="30" t="s">
        <v>35</v>
      </c>
    </row>
    <row r="12" ht="25.5" spans="2:9">
      <c r="B12" s="12" t="s">
        <v>16</v>
      </c>
      <c r="C12" s="13" t="s">
        <v>33</v>
      </c>
      <c r="D12" s="14" t="s">
        <v>36</v>
      </c>
      <c r="E12" s="14" t="s">
        <v>19</v>
      </c>
      <c r="F12" s="13" t="s">
        <v>20</v>
      </c>
      <c r="G12" s="14">
        <v>1</v>
      </c>
      <c r="H12" s="13" t="s">
        <v>21</v>
      </c>
      <c r="I12" s="30"/>
    </row>
    <row r="13" ht="25.5" spans="2:9">
      <c r="B13" s="12" t="s">
        <v>16</v>
      </c>
      <c r="C13" s="13" t="s">
        <v>33</v>
      </c>
      <c r="D13" s="14" t="s">
        <v>37</v>
      </c>
      <c r="E13" s="14" t="s">
        <v>19</v>
      </c>
      <c r="F13" s="13" t="s">
        <v>20</v>
      </c>
      <c r="G13" s="14">
        <v>0.4</v>
      </c>
      <c r="H13" s="13" t="s">
        <v>21</v>
      </c>
      <c r="I13" s="30"/>
    </row>
    <row r="14" ht="25.5" spans="2:9">
      <c r="B14" s="12" t="s">
        <v>16</v>
      </c>
      <c r="C14" s="13" t="s">
        <v>33</v>
      </c>
      <c r="D14" s="14" t="s">
        <v>38</v>
      </c>
      <c r="E14" s="14" t="s">
        <v>19</v>
      </c>
      <c r="F14" s="13" t="s">
        <v>20</v>
      </c>
      <c r="G14" s="14">
        <v>0.2</v>
      </c>
      <c r="H14" s="13" t="s">
        <v>21</v>
      </c>
      <c r="I14" s="30"/>
    </row>
    <row r="15" ht="25.5" spans="2:9">
      <c r="B15" s="12" t="s">
        <v>16</v>
      </c>
      <c r="C15" s="13" t="s">
        <v>33</v>
      </c>
      <c r="D15" s="14" t="s">
        <v>39</v>
      </c>
      <c r="E15" s="14" t="s">
        <v>19</v>
      </c>
      <c r="F15" s="13" t="s">
        <v>20</v>
      </c>
      <c r="G15" s="14">
        <v>0.4</v>
      </c>
      <c r="H15" s="13" t="s">
        <v>21</v>
      </c>
      <c r="I15" s="30"/>
    </row>
    <row r="16" ht="38.25" spans="2:9">
      <c r="B16" s="12" t="s">
        <v>16</v>
      </c>
      <c r="C16" s="13" t="s">
        <v>40</v>
      </c>
      <c r="D16" s="14"/>
      <c r="E16" s="14" t="s">
        <v>19</v>
      </c>
      <c r="F16" s="13" t="s">
        <v>41</v>
      </c>
      <c r="G16" s="14">
        <v>7.5</v>
      </c>
      <c r="H16" s="13" t="s">
        <v>42</v>
      </c>
      <c r="I16" s="30" t="s">
        <v>43</v>
      </c>
    </row>
    <row r="17" ht="38.25" spans="2:9">
      <c r="B17" s="12" t="s">
        <v>16</v>
      </c>
      <c r="C17" s="13" t="s">
        <v>40</v>
      </c>
      <c r="D17" s="14"/>
      <c r="E17" s="14" t="s">
        <v>19</v>
      </c>
      <c r="F17" s="13" t="s">
        <v>44</v>
      </c>
      <c r="G17" s="14">
        <v>1</v>
      </c>
      <c r="H17" s="13" t="s">
        <v>42</v>
      </c>
      <c r="I17" s="31" t="s">
        <v>45</v>
      </c>
    </row>
    <row r="18" ht="38.25" spans="2:9">
      <c r="B18" s="12" t="s">
        <v>16</v>
      </c>
      <c r="C18" s="13" t="s">
        <v>40</v>
      </c>
      <c r="D18" s="14"/>
      <c r="E18" s="14" t="s">
        <v>19</v>
      </c>
      <c r="F18" s="13" t="s">
        <v>44</v>
      </c>
      <c r="G18" s="14">
        <v>1.2</v>
      </c>
      <c r="H18" s="13" t="s">
        <v>42</v>
      </c>
      <c r="I18" s="31" t="s">
        <v>46</v>
      </c>
    </row>
    <row r="19" spans="2:9">
      <c r="B19" s="12" t="s">
        <v>16</v>
      </c>
      <c r="C19" s="13" t="s">
        <v>47</v>
      </c>
      <c r="D19" s="14"/>
      <c r="E19" s="14" t="s">
        <v>48</v>
      </c>
      <c r="F19" s="13"/>
      <c r="G19" s="14">
        <v>1.5</v>
      </c>
      <c r="H19" s="13" t="s">
        <v>49</v>
      </c>
      <c r="I19" s="30" t="s">
        <v>50</v>
      </c>
    </row>
    <row r="20" spans="2:9">
      <c r="B20" s="12" t="s">
        <v>16</v>
      </c>
      <c r="C20" s="13" t="s">
        <v>47</v>
      </c>
      <c r="D20" s="14"/>
      <c r="E20" s="14" t="s">
        <v>48</v>
      </c>
      <c r="F20" s="13"/>
      <c r="G20" s="14">
        <v>0.7</v>
      </c>
      <c r="H20" s="13" t="s">
        <v>51</v>
      </c>
      <c r="I20" s="30" t="s">
        <v>52</v>
      </c>
    </row>
    <row r="21" ht="25.5" spans="2:9">
      <c r="B21" s="12" t="s">
        <v>16</v>
      </c>
      <c r="C21" s="13" t="s">
        <v>53</v>
      </c>
      <c r="D21" s="14"/>
      <c r="E21" s="14" t="s">
        <v>48</v>
      </c>
      <c r="F21" s="13"/>
      <c r="G21" s="14">
        <v>1.9</v>
      </c>
      <c r="H21" s="13" t="s">
        <v>54</v>
      </c>
      <c r="I21" s="30" t="s">
        <v>55</v>
      </c>
    </row>
    <row r="22" spans="2:9">
      <c r="B22" s="16"/>
      <c r="C22" s="17"/>
      <c r="D22" s="18"/>
      <c r="E22" s="18"/>
      <c r="F22" s="22" t="s">
        <v>56</v>
      </c>
      <c r="G22" s="23">
        <f>SUM(G3:G21)</f>
        <v>44.2</v>
      </c>
      <c r="H22" s="24"/>
      <c r="I22" s="32"/>
    </row>
    <row r="23" ht="15" spans="2:9">
      <c r="B23" s="19"/>
      <c r="C23" s="20"/>
      <c r="D23" s="21"/>
      <c r="E23" s="21"/>
      <c r="F23" s="25" t="s">
        <v>57</v>
      </c>
      <c r="G23" s="26">
        <v>5</v>
      </c>
      <c r="H23" s="27"/>
      <c r="I23" s="33"/>
    </row>
    <row r="24" ht="15"/>
  </sheetData>
  <sheetProtection formatCells="0" insertHyperlinks="0" autoFilter="0"/>
  <mergeCells count="2">
    <mergeCell ref="G22:I22"/>
    <mergeCell ref="G23:I23"/>
  </mergeCells>
  <dataValidations count="4">
    <dataValidation type="list" allowBlank="1" showInputMessage="1" showErrorMessage="1" sqref="H4:H21">
      <formula1>hh</formula1>
    </dataValidation>
    <dataValidation type="list" allowBlank="1" showInputMessage="1" showErrorMessage="1" sqref="F4:F21">
      <formula1>INDIRECT(E4)</formula1>
    </dataValidation>
    <dataValidation type="list" allowBlank="1" showInputMessage="1" showErrorMessage="1" sqref="E4:E23">
      <formula1>数据标签!$B$11:$D$11</formula1>
    </dataValidation>
    <dataValidation type="list" allowBlank="1" showInputMessage="1" showErrorMessage="1" sqref="C4:C23">
      <formula1>数据标签!$B$2:$H$2</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zoomScale="140" zoomScaleNormal="140" workbookViewId="0">
      <selection activeCell="H13" sqref="H13"/>
    </sheetView>
  </sheetViews>
  <sheetFormatPr defaultColWidth="8.83333333333333" defaultRowHeight="12.75" outlineLevelCol="7"/>
  <cols>
    <col min="1" max="1" width="8.83333333333333" style="1"/>
    <col min="2" max="2" width="26.8333333333333" style="1" customWidth="1"/>
    <col min="3" max="3" width="21.6666666666667" style="1" customWidth="1"/>
    <col min="4" max="7" width="28.6666666666667" style="1" customWidth="1"/>
    <col min="8" max="8" width="27.3333333333333" style="1" customWidth="1"/>
    <col min="9" max="16384" width="8.83333333333333" style="1"/>
  </cols>
  <sheetData>
    <row r="2" ht="25.5" spans="1:8">
      <c r="A2" s="2" t="s">
        <v>58</v>
      </c>
      <c r="B2" s="3" t="s">
        <v>17</v>
      </c>
      <c r="C2" s="3" t="s">
        <v>59</v>
      </c>
      <c r="D2" s="3" t="s">
        <v>33</v>
      </c>
      <c r="E2" s="3" t="s">
        <v>40</v>
      </c>
      <c r="F2" s="3" t="s">
        <v>60</v>
      </c>
      <c r="G2" s="3" t="s">
        <v>47</v>
      </c>
      <c r="H2" s="3" t="s">
        <v>53</v>
      </c>
    </row>
    <row r="3" ht="25.5" spans="1:8">
      <c r="A3" s="2" t="s">
        <v>61</v>
      </c>
      <c r="B3" s="3" t="s">
        <v>21</v>
      </c>
      <c r="C3" s="3" t="s">
        <v>21</v>
      </c>
      <c r="D3" s="3" t="s">
        <v>21</v>
      </c>
      <c r="E3" s="3" t="s">
        <v>62</v>
      </c>
      <c r="F3" s="3" t="s">
        <v>63</v>
      </c>
      <c r="G3" s="3" t="s">
        <v>51</v>
      </c>
      <c r="H3" s="3" t="s">
        <v>64</v>
      </c>
    </row>
    <row r="4" ht="38.25" spans="2:8">
      <c r="B4" s="3" t="s">
        <v>65</v>
      </c>
      <c r="C4" s="3" t="s">
        <v>65</v>
      </c>
      <c r="D4" s="3" t="s">
        <v>65</v>
      </c>
      <c r="E4" s="3" t="s">
        <v>42</v>
      </c>
      <c r="F4" s="6" t="s">
        <v>66</v>
      </c>
      <c r="G4" s="3" t="s">
        <v>49</v>
      </c>
      <c r="H4" s="3" t="s">
        <v>54</v>
      </c>
    </row>
    <row r="5" spans="2:8">
      <c r="B5" s="3" t="s">
        <v>67</v>
      </c>
      <c r="C5" s="3" t="s">
        <v>67</v>
      </c>
      <c r="D5" s="3" t="s">
        <v>67</v>
      </c>
      <c r="E5" s="3" t="s">
        <v>68</v>
      </c>
      <c r="F5" s="1" t="s">
        <v>48</v>
      </c>
      <c r="G5" s="3" t="s">
        <v>69</v>
      </c>
      <c r="H5" s="3" t="s">
        <v>70</v>
      </c>
    </row>
    <row r="6" ht="25.5" spans="2:8">
      <c r="B6" s="3" t="s">
        <v>71</v>
      </c>
      <c r="C6" s="3" t="s">
        <v>71</v>
      </c>
      <c r="D6" s="3" t="s">
        <v>71</v>
      </c>
      <c r="E6" s="3" t="s">
        <v>72</v>
      </c>
      <c r="G6" s="3" t="s">
        <v>73</v>
      </c>
      <c r="H6" s="3" t="s">
        <v>74</v>
      </c>
    </row>
    <row r="7" ht="38.25" spans="2:8">
      <c r="B7" s="3" t="s">
        <v>75</v>
      </c>
      <c r="C7" s="3" t="s">
        <v>75</v>
      </c>
      <c r="D7" s="3" t="s">
        <v>75</v>
      </c>
      <c r="E7" s="3" t="s">
        <v>76</v>
      </c>
      <c r="G7" s="1" t="s">
        <v>48</v>
      </c>
      <c r="H7" s="3" t="s">
        <v>77</v>
      </c>
    </row>
    <row r="8" spans="2:8">
      <c r="B8" s="1" t="s">
        <v>48</v>
      </c>
      <c r="C8" s="1" t="s">
        <v>48</v>
      </c>
      <c r="D8" s="1" t="s">
        <v>48</v>
      </c>
      <c r="E8" s="4"/>
      <c r="F8" s="6"/>
      <c r="G8" s="4"/>
      <c r="H8" s="4" t="s">
        <v>78</v>
      </c>
    </row>
    <row r="9" spans="3:8">
      <c r="C9" s="4"/>
      <c r="D9" s="4"/>
      <c r="H9" s="1" t="s">
        <v>48</v>
      </c>
    </row>
    <row r="11" spans="1:4">
      <c r="A11" s="1" t="s">
        <v>79</v>
      </c>
      <c r="B11" s="1" t="s">
        <v>19</v>
      </c>
      <c r="C11" s="1" t="s">
        <v>80</v>
      </c>
      <c r="D11" s="1" t="s">
        <v>48</v>
      </c>
    </row>
    <row r="12" ht="38.25" spans="1:2">
      <c r="A12" s="1" t="s">
        <v>81</v>
      </c>
      <c r="B12" s="3" t="s">
        <v>82</v>
      </c>
    </row>
    <row r="13" ht="25.5" spans="2:4">
      <c r="B13" s="3" t="s">
        <v>20</v>
      </c>
      <c r="C13" s="5" t="s">
        <v>83</v>
      </c>
      <c r="D13" s="5" t="s">
        <v>83</v>
      </c>
    </row>
    <row r="14" ht="25.5" spans="2:4">
      <c r="B14" s="3" t="s">
        <v>84</v>
      </c>
      <c r="C14" s="5" t="s">
        <v>83</v>
      </c>
      <c r="D14" s="5" t="s">
        <v>83</v>
      </c>
    </row>
    <row r="15" ht="51" spans="2:4">
      <c r="B15" s="3" t="s">
        <v>85</v>
      </c>
      <c r="C15" s="5" t="s">
        <v>83</v>
      </c>
      <c r="D15" s="5" t="s">
        <v>83</v>
      </c>
    </row>
    <row r="16" ht="51" spans="2:4">
      <c r="B16" s="3" t="s">
        <v>41</v>
      </c>
      <c r="C16" s="5" t="s">
        <v>83</v>
      </c>
      <c r="D16" s="5" t="s">
        <v>83</v>
      </c>
    </row>
    <row r="17" ht="38.25" spans="2:4">
      <c r="B17" s="3" t="s">
        <v>44</v>
      </c>
      <c r="C17" s="5" t="s">
        <v>83</v>
      </c>
      <c r="D17" s="5" t="s">
        <v>83</v>
      </c>
    </row>
    <row r="18" ht="51" spans="2:4">
      <c r="B18" s="3" t="s">
        <v>86</v>
      </c>
      <c r="C18" s="5" t="s">
        <v>83</v>
      </c>
      <c r="D18" s="5" t="s">
        <v>83</v>
      </c>
    </row>
    <row r="19" ht="38.25" spans="2:4">
      <c r="B19" s="3" t="s">
        <v>87</v>
      </c>
      <c r="C19" s="5" t="s">
        <v>83</v>
      </c>
      <c r="D19" s="5" t="s">
        <v>83</v>
      </c>
    </row>
    <row r="20" ht="38.25" spans="2:4">
      <c r="B20" s="3" t="s">
        <v>88</v>
      </c>
      <c r="C20" s="5" t="s">
        <v>83</v>
      </c>
      <c r="D20" s="5" t="s">
        <v>83</v>
      </c>
    </row>
    <row r="21" ht="25.5" spans="2:4">
      <c r="B21" s="3" t="s">
        <v>89</v>
      </c>
      <c r="C21" s="5" t="s">
        <v>83</v>
      </c>
      <c r="D21" s="5" t="s">
        <v>83</v>
      </c>
    </row>
    <row r="22" ht="38.25" spans="2:4">
      <c r="B22" s="3" t="s">
        <v>90</v>
      </c>
      <c r="C22" s="5" t="s">
        <v>83</v>
      </c>
      <c r="D22" s="5" t="s">
        <v>83</v>
      </c>
    </row>
    <row r="23" ht="38.25" spans="2:4">
      <c r="B23" s="3" t="s">
        <v>91</v>
      </c>
      <c r="C23" s="5"/>
      <c r="D23" s="5"/>
    </row>
    <row r="24" ht="63.75" spans="2:4">
      <c r="B24" s="3" t="s">
        <v>92</v>
      </c>
      <c r="C24" s="5" t="s">
        <v>83</v>
      </c>
      <c r="D24" s="5" t="s">
        <v>83</v>
      </c>
    </row>
    <row r="25" ht="38.25" spans="2:4">
      <c r="B25" s="3" t="s">
        <v>93</v>
      </c>
      <c r="C25" s="5" t="s">
        <v>83</v>
      </c>
      <c r="D25" s="5" t="s">
        <v>83</v>
      </c>
    </row>
    <row r="26" ht="38.25" spans="2:4">
      <c r="B26" s="3" t="s">
        <v>94</v>
      </c>
      <c r="C26" s="5" t="s">
        <v>83</v>
      </c>
      <c r="D26" s="5" t="s">
        <v>83</v>
      </c>
    </row>
    <row r="27" ht="25.5" spans="2:4">
      <c r="B27" s="3" t="s">
        <v>95</v>
      </c>
      <c r="C27" s="5" t="s">
        <v>83</v>
      </c>
      <c r="D27" s="5" t="s">
        <v>83</v>
      </c>
    </row>
  </sheetData>
  <sheetProtection formatCells="0" insertHyperlinks="0" autoFilter="0"/>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WWO_base_provider_20241024114842-a8ac09253f</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2024-12-10T10:24:00Z</dcterms:created>
  <dcterms:modified xsi:type="dcterms:W3CDTF">2024-12-30T09:35:00Z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2052-0.0.0.0</vt:lpwstr>
  </property>
</Properties>
</file>