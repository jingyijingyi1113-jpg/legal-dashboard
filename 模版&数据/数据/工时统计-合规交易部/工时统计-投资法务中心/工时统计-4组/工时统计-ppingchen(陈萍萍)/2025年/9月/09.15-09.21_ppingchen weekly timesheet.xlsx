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0D230D1B-C3FF-4220-8A83-2AF9EC96343B}"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<sst xmlns="http://schemas.openxmlformats.org/spreadsheetml/2006/main" count="184" uniqueCount="97">
  <si>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</si>
  <si>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</si>
  <si>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</si>
  <si>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</si>
  <si>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</si>
  <si>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</si>
  <si>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</si>
  <si>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</si>
  <si>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</si>
  <si>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</si>
  <si>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</si>
  <si>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</si>
  <si>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</si>
  <si>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</si>
  <si>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</si>
  <si>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</si>
  <si>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</si>
  <si>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</si>
  <si>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</si>
  <si>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</si>
  <si>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</si>
  <si>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</si>
  <si>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</si>
  <si>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</si>
  <si>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</si>
  <si>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</si>
  <si>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</si>
  <si>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</si>
  <si>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</si>
  <si>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</si>
  <si>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</si>
  <si>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</si>
  <si>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</si>
  <si>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</si>
  <si>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</si>
  <si>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</si>
  <si>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</si>
  <si>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</si>
  <si>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</si>
  <si>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</si>
  <si>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</si>
  <si>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</si>
  <si>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</si>
  <si>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</si>
  <si>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</si>
  <si>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</si>
  <si>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</si>
  <si>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</si>
  <si>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</si>
  <si>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</si>
  <si>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</si>
  <si>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</si>
  <si>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</si>
  <si>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</si>
  <si>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</si>
  <si>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</si>
  <si>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</si>
  <si>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</si>
  <si>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</si>
  <si>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</si>
  <si>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</si>
  <si>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</si>
  <si>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</si>
  <si>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</si>
  <si>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</si>
  <si>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</si>
  <si>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</si>
  <si>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</si>
  <si>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</si>
  <si>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</si>
  <si>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</si>
  <si>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</si>
  <si>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</si>
  <si>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</si>
  <si>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</si>
  <si>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</si>
  <si>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自选填写项目：简要描述工作内容
(Optional) Please insert the narrative of your work</t>
    <phoneticPr fontId="7" type="noConversion"/>
  </si>
  <si>
    <t>Neo financials</t>
    <phoneticPr fontId="7" type="noConversion"/>
  </si>
  <si>
    <t>Project Kiwi II</t>
    <phoneticPr fontId="7" type="noConversion"/>
  </si>
  <si>
    <t>coordinated ICM review, reviewed DI/13D/Form 144, guide TPP on internal process, coordinated comsec with TPP legal, discussed with outside counsel</t>
    <phoneticPr fontId="7" type="noConversion"/>
  </si>
  <si>
    <t>星锐医疗</t>
    <phoneticPr fontId="7" type="noConversion"/>
  </si>
  <si>
    <t>Relevant matters related to engagement of law firms/team's legal fees summary</t>
  </si>
  <si>
    <t>legal fee payment matters</t>
    <phoneticPr fontId="7" type="noConversion"/>
  </si>
  <si>
    <t>Investment Related - Corporate Matter</t>
    <phoneticPr fontId="7" type="noConversion"/>
  </si>
  <si>
    <t>途虎养车</t>
    <phoneticPr fontId="7" type="noConversion"/>
  </si>
  <si>
    <t>TS comment</t>
    <phoneticPr fontId="7" type="noConversion"/>
  </si>
  <si>
    <t>Qunio</t>
    <phoneticPr fontId="7" type="noConversion"/>
  </si>
  <si>
    <t>reverted CSRC questionnaire</t>
    <phoneticPr fontId="7" type="noConversion"/>
  </si>
  <si>
    <t>猎豹移动</t>
    <phoneticPr fontId="7" type="noConversion"/>
  </si>
  <si>
    <t>discussion on potential sales, engaged outside counsel to conduct de-affiliate analysis</t>
    <phoneticPr fontId="7" type="noConversion"/>
  </si>
  <si>
    <t>BVP Forge II</t>
    <phoneticPr fontId="7" type="noConversion"/>
  </si>
  <si>
    <t>updated the team on the ICA review status</t>
    <phoneticPr fontId="7" type="noConversion"/>
  </si>
  <si>
    <t>transaction documents reveiwed</t>
    <phoneticPr fontId="7" type="noConversion"/>
  </si>
  <si>
    <t>CFIUS analys, communicated with SD and the target</t>
    <phoneticPr fontId="7" type="noConversion"/>
  </si>
  <si>
    <t>coordinated internal approval for signing of SKD EL</t>
    <phoneticPr fontId="7" type="noConversion"/>
  </si>
  <si>
    <t>控股和重点投资公司法务风险管理 Legal risk management for controlled and key invested portfolios</t>
  </si>
  <si>
    <t>prepration for risk review for kay invested portfolios, risk review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</si>
</sst>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4" xfId="0" applyFont="1" applyBorder="1">
      <alignment vertical="center"/>
    </xf>
    <xf numFmtId="0" fontId="9" fillId="0" borderId="3" xfId="0" applyFont="1" applyBorder="1">
      <alignment vertical="center"/>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D9" zoomScale="145" zoomScaleNormal="145" workbookViewId="0">
      <selection activeCell="H13" sqref="H13"/>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76</v>
      </c>
    </row>
    <row r="4" spans="2:9" ht="38.25" x14ac:dyDescent="0.2">
      <c r="B4" s="16" t="s">
        <v>70</v>
      </c>
      <c r="C4" s="17" t="s">
        <v>13</v>
      </c>
      <c r="D4" s="34" t="s">
        <v>78</v>
      </c>
      <c r="E4" s="19" t="s">
        <v>38</v>
      </c>
      <c r="F4" s="17" t="s">
        <v>71</v>
      </c>
      <c r="G4" s="20">
        <v>6</v>
      </c>
      <c r="H4" s="17" t="s">
        <v>19</v>
      </c>
      <c r="I4" s="21" t="s">
        <v>79</v>
      </c>
    </row>
    <row r="5" spans="2:9" ht="25.5" x14ac:dyDescent="0.2">
      <c r="B5" s="16" t="s">
        <v>70</v>
      </c>
      <c r="C5" s="17" t="s">
        <v>13</v>
      </c>
      <c r="D5" s="18" t="s">
        <v>80</v>
      </c>
      <c r="E5" s="19" t="s">
        <v>38</v>
      </c>
      <c r="F5" s="17" t="s">
        <v>71</v>
      </c>
      <c r="G5" s="20">
        <v>6</v>
      </c>
      <c r="H5" s="17" t="s">
        <v>19</v>
      </c>
      <c r="I5" s="21" t="s">
        <v>85</v>
      </c>
    </row>
    <row r="6" spans="2:9" ht="25.5" x14ac:dyDescent="0.2">
      <c r="B6" s="16" t="s">
        <v>70</v>
      </c>
      <c r="C6" s="17" t="s">
        <v>13</v>
      </c>
      <c r="D6" s="18" t="s">
        <v>90</v>
      </c>
      <c r="E6" s="19" t="s">
        <v>38</v>
      </c>
      <c r="F6" s="17" t="s">
        <v>71</v>
      </c>
      <c r="G6" s="20">
        <v>10</v>
      </c>
      <c r="H6" s="17" t="s">
        <v>19</v>
      </c>
      <c r="I6" s="21" t="s">
        <v>92</v>
      </c>
    </row>
    <row r="7" spans="2:9" ht="25.5" x14ac:dyDescent="0.2">
      <c r="B7" s="16" t="s">
        <v>70</v>
      </c>
      <c r="C7" s="17" t="s">
        <v>13</v>
      </c>
      <c r="D7" s="18" t="s">
        <v>88</v>
      </c>
      <c r="E7" s="19" t="s">
        <v>38</v>
      </c>
      <c r="F7" s="17" t="s">
        <v>71</v>
      </c>
      <c r="G7" s="20">
        <v>8</v>
      </c>
      <c r="H7" s="17" t="s">
        <v>19</v>
      </c>
      <c r="I7" s="21" t="s">
        <v>89</v>
      </c>
    </row>
    <row r="8" spans="2:9" customFormat="1" ht="25.5" x14ac:dyDescent="0.2">
      <c r="B8" s="35" t="s">
        <v>70</v>
      </c>
      <c r="C8" s="36" t="s">
        <v>83</v>
      </c>
      <c r="D8" s="34" t="s">
        <v>86</v>
      </c>
      <c r="E8" s="34" t="s">
        <v>38</v>
      </c>
      <c r="F8" s="36" t="s">
        <v>71</v>
      </c>
      <c r="G8" s="37">
        <v>4</v>
      </c>
      <c r="H8" s="36" t="s">
        <v>19</v>
      </c>
      <c r="I8" s="38" t="s">
        <v>93</v>
      </c>
    </row>
    <row r="9" spans="2:9" customFormat="1" ht="25.5" x14ac:dyDescent="0.2">
      <c r="B9" s="35" t="s">
        <v>70</v>
      </c>
      <c r="C9" s="36" t="s">
        <v>83</v>
      </c>
      <c r="D9" s="34" t="s">
        <v>84</v>
      </c>
      <c r="E9" s="34" t="s">
        <v>38</v>
      </c>
      <c r="F9" s="36" t="s">
        <v>71</v>
      </c>
      <c r="G9" s="37">
        <v>0.5</v>
      </c>
      <c r="H9" s="36" t="s">
        <v>19</v>
      </c>
      <c r="I9" s="38" t="s">
        <v>87</v>
      </c>
    </row>
    <row r="10" spans="2:9" ht="66" customHeight="1" x14ac:dyDescent="0.2">
      <c r="B10" s="16" t="s">
        <v>70</v>
      </c>
      <c r="C10" s="17" t="s">
        <v>15</v>
      </c>
      <c r="D10" s="18" t="s">
        <v>77</v>
      </c>
      <c r="E10" s="19" t="s">
        <v>38</v>
      </c>
      <c r="F10" s="17" t="s">
        <v>71</v>
      </c>
      <c r="G10" s="20">
        <v>1</v>
      </c>
      <c r="H10" s="17" t="s">
        <v>19</v>
      </c>
      <c r="I10" s="21" t="s">
        <v>91</v>
      </c>
    </row>
    <row r="11" spans="2:9" ht="66" customHeight="1" x14ac:dyDescent="0.2">
      <c r="B11" s="16" t="s">
        <v>70</v>
      </c>
      <c r="C11" s="17" t="s">
        <v>15</v>
      </c>
      <c r="D11" s="18"/>
      <c r="E11" s="19" t="s">
        <v>38</v>
      </c>
      <c r="F11" s="17" t="s">
        <v>95</v>
      </c>
      <c r="G11" s="20">
        <v>6</v>
      </c>
      <c r="H11" s="17" t="s">
        <v>35</v>
      </c>
      <c r="I11" s="21" t="s">
        <v>96</v>
      </c>
    </row>
    <row r="12" spans="2:9" customFormat="1" ht="56.25" customHeight="1" x14ac:dyDescent="0.2">
      <c r="B12" s="35" t="s">
        <v>70</v>
      </c>
      <c r="C12" s="36" t="s">
        <v>17</v>
      </c>
      <c r="D12" s="34"/>
      <c r="E12" s="34" t="s">
        <v>38</v>
      </c>
      <c r="F12" s="36"/>
      <c r="G12" s="37">
        <v>1</v>
      </c>
      <c r="H12" s="36" t="s">
        <v>81</v>
      </c>
      <c r="I12" s="38" t="s">
        <v>94</v>
      </c>
    </row>
    <row r="13" spans="2:9" ht="56.25" customHeight="1" x14ac:dyDescent="0.2">
      <c r="B13" s="16" t="s">
        <v>70</v>
      </c>
      <c r="C13" s="17" t="s">
        <v>17</v>
      </c>
      <c r="D13" s="18"/>
      <c r="E13" s="19" t="s">
        <v>26</v>
      </c>
      <c r="F13" s="17"/>
      <c r="G13" s="20">
        <v>0.5</v>
      </c>
      <c r="H13" s="17" t="s">
        <v>26</v>
      </c>
      <c r="I13" s="21" t="s">
        <v>82</v>
      </c>
    </row>
    <row r="14" spans="2:9" ht="25.5" x14ac:dyDescent="0.2">
      <c r="B14" s="16" t="s">
        <v>70</v>
      </c>
      <c r="C14" s="17" t="s">
        <v>75</v>
      </c>
      <c r="D14" s="18"/>
      <c r="E14" s="19" t="s">
        <v>38</v>
      </c>
      <c r="F14" s="22"/>
      <c r="G14" s="20">
        <v>1</v>
      </c>
      <c r="H14" s="17" t="s">
        <v>72</v>
      </c>
      <c r="I14" s="21" t="s">
        <v>73</v>
      </c>
    </row>
    <row r="15" spans="2:9" x14ac:dyDescent="0.2">
      <c r="B15" s="16"/>
      <c r="C15" s="17"/>
      <c r="D15" s="18"/>
      <c r="E15" s="19"/>
      <c r="F15" s="17"/>
      <c r="G15" s="20"/>
      <c r="H15" s="17"/>
      <c r="I15" s="21"/>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22"/>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5"/>
      <c r="C27" s="26"/>
      <c r="D27" s="27"/>
      <c r="E27" s="27"/>
      <c r="F27" s="28" t="s">
        <v>65</v>
      </c>
      <c r="G27" s="42">
        <f>SUM(G3:G26)</f>
        <v>44</v>
      </c>
      <c r="H27" s="43"/>
      <c r="I27" s="44"/>
    </row>
    <row r="28" spans="2:9" ht="15" thickBot="1" x14ac:dyDescent="0.25">
      <c r="B28" s="29"/>
      <c r="C28" s="30"/>
      <c r="D28" s="31"/>
      <c r="E28" s="31"/>
      <c r="F28" s="32" t="s">
        <v>66</v>
      </c>
      <c r="G28" s="39">
        <v>5</v>
      </c>
      <c r="H28" s="40"/>
      <c r="I28" s="41"/>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E4:E7 E10:E11 E13:E28</xm:sqref>
        </x14:dataValidation>
        <x14:dataValidation type="list" allowBlank="1" showInputMessage="1" showErrorMessage="1" xr:uid="{41621C03-871D-4F35-A08D-A1A20441013C}">
          <x14:formula1>
            <xm:f>数据标签!$B$2:$H$2</xm:f>
          </x14:formula1>
          <xm:sqref>C4:C7 C10:C11 C13:C28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2025-09-25T09:11:38Z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