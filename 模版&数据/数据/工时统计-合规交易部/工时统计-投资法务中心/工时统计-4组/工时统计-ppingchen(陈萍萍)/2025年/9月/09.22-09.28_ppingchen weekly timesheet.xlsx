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A1C0F733-CB7B-4754-AA3B-3D74244B8010}"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<sst xmlns="http://schemas.openxmlformats.org/spreadsheetml/2006/main" count="214" uniqueCount="103">
  <si>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</si>
  <si>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</si>
  <si>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</si>
  <si>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</si>
  <si>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</si>
  <si>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</si>
  <si>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</si>
  <si>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</si>
  <si>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</si>
  <si>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</si>
  <si>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</si>
  <si>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</si>
  <si>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</si>
  <si>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</si>
  <si>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</si>
  <si>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</si>
  <si>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</si>
  <si>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</si>
  <si>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</si>
  <si>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</si>
  <si>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</si>
  <si>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</si>
  <si>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</si>
  <si>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</si>
  <si>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</si>
  <si>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</si>
  <si>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</si>
  <si>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</si>
  <si>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</si>
  <si>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</si>
  <si>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</si>
  <si>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</si>
  <si>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</si>
  <si>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</si>
  <si>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</si>
  <si>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</si>
  <si>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</si>
  <si>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</si>
  <si>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</si>
  <si>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</si>
  <si>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</si>
  <si>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</si>
  <si>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</si>
  <si>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</si>
  <si>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</si>
  <si>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</si>
  <si>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</si>
  <si>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</si>
  <si>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</si>
  <si>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</si>
  <si>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</si>
  <si>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</si>
  <si>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</si>
  <si>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</si>
  <si>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</si>
  <si>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</si>
  <si>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</si>
  <si>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</si>
  <si>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</si>
  <si>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</si>
  <si>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</si>
  <si>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</si>
  <si>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</si>
  <si>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</si>
  <si>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</si>
  <si>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</si>
  <si>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</si>
  <si>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</si>
  <si>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</si>
  <si>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</si>
  <si>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</si>
  <si>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</si>
  <si>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</si>
  <si>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</si>
  <si>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</si>
  <si>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</si>
  <si>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自选填写项目：简要描述工作内容
(Optional) Please insert the narrative of your work</t>
    <phoneticPr fontId="7" type="noConversion"/>
  </si>
  <si>
    <t>Project Kiwi II</t>
    <phoneticPr fontId="7" type="noConversion"/>
  </si>
  <si>
    <t>星锐医疗</t>
    <phoneticPr fontId="7" type="noConversion"/>
  </si>
  <si>
    <t>Investment Related - Corporate Matter</t>
    <phoneticPr fontId="7" type="noConversion"/>
  </si>
  <si>
    <t>TS comment</t>
    <phoneticPr fontId="7" type="noConversion"/>
  </si>
  <si>
    <t>Qunio</t>
    <phoneticPr fontId="7" type="noConversion"/>
  </si>
  <si>
    <t>猎豹移动</t>
    <phoneticPr fontId="7" type="noConversion"/>
  </si>
  <si>
    <t>BVP Forge II</t>
    <phoneticPr fontId="7" type="noConversion"/>
  </si>
  <si>
    <t>transaction documents reveiwed</t>
    <phoneticPr fontId="7" type="noConversion"/>
  </si>
  <si>
    <t>Swiggy</t>
    <phoneticPr fontId="7" type="noConversion"/>
  </si>
  <si>
    <t>secondary market sale</t>
    <phoneticPr fontId="7" type="noConversion"/>
  </si>
  <si>
    <t>Alaph Life</t>
    <phoneticPr fontId="7" type="noConversion"/>
  </si>
  <si>
    <t>revert to SD re pre-deal CFIUS analysis, report to Yan re the same</t>
    <phoneticPr fontId="7" type="noConversion"/>
  </si>
  <si>
    <t>comment on filing issues</t>
    <phoneticPr fontId="7" type="noConversion"/>
  </si>
  <si>
    <t>科思明德</t>
    <phoneticPr fontId="7" type="noConversion"/>
  </si>
  <si>
    <t>board material review</t>
    <phoneticPr fontId="7" type="noConversion"/>
  </si>
  <si>
    <t>58同城</t>
    <phoneticPr fontId="7" type="noConversion"/>
  </si>
  <si>
    <t>board material review (on loan exchange)</t>
    <phoneticPr fontId="7" type="noConversion"/>
  </si>
  <si>
    <t>Corxel</t>
    <phoneticPr fontId="7" type="noConversion"/>
  </si>
  <si>
    <t>discussed with outside counsel re fee quote</t>
    <phoneticPr fontId="7" type="noConversion"/>
  </si>
  <si>
    <t>team meeting</t>
    <phoneticPr fontId="7" type="noConversion"/>
  </si>
  <si>
    <t>Indian FPI annual KYC</t>
    <phoneticPr fontId="7" type="noConversion"/>
  </si>
  <si>
    <t>易车</t>
    <phoneticPr fontId="7" type="noConversion"/>
  </si>
  <si>
    <t>未经营VIE的处理讨论和同步</t>
    <phoneticPr fontId="7" type="noConversion"/>
  </si>
  <si>
    <t>SHA amendment, communicated with Hammer, coordinated internally to seek confirmation from Martin/James re Hammer request</t>
    <phoneticPr fontId="7" type="noConversion"/>
  </si>
  <si>
    <t>engaged outside counsel to conduct pre-deal CFIUS analysis,</t>
    <phoneticPr fontId="7" type="noConversion"/>
  </si>
  <si>
    <t>discussion on potential sales, engaged outside counsel to conduct de-affiliate analysis, coordinated with company on documents needed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</si>
</sst>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4" xfId="0" applyFont="1" applyBorder="1">
      <alignment vertical="center"/>
    </xf>
    <xf numFmtId="0" fontId="9" fillId="0" borderId="3" xfId="0" applyFont="1" applyBorder="1">
      <alignment vertical="center"/>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C1" zoomScale="145" zoomScaleNormal="145" workbookViewId="0">
      <selection activeCell="G5" sqref="G5"/>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76</v>
      </c>
    </row>
    <row r="4" spans="2:9" ht="25.5" x14ac:dyDescent="0.2">
      <c r="B4" s="16" t="s">
        <v>70</v>
      </c>
      <c r="C4" s="17" t="s">
        <v>13</v>
      </c>
      <c r="D4" s="34" t="s">
        <v>77</v>
      </c>
      <c r="E4" s="19" t="s">
        <v>38</v>
      </c>
      <c r="F4" s="17" t="s">
        <v>71</v>
      </c>
      <c r="G4" s="20">
        <v>2.5</v>
      </c>
      <c r="H4" s="17" t="s">
        <v>35</v>
      </c>
      <c r="I4" s="21" t="s">
        <v>89</v>
      </c>
    </row>
    <row r="5" spans="2:9" ht="25.5" x14ac:dyDescent="0.2">
      <c r="B5" s="16" t="s">
        <v>70</v>
      </c>
      <c r="C5" s="17" t="s">
        <v>13</v>
      </c>
      <c r="D5" s="18" t="s">
        <v>78</v>
      </c>
      <c r="E5" s="19" t="s">
        <v>38</v>
      </c>
      <c r="F5" s="17" t="s">
        <v>71</v>
      </c>
      <c r="G5" s="20">
        <v>4</v>
      </c>
      <c r="H5" s="17" t="s">
        <v>19</v>
      </c>
      <c r="I5" s="21" t="s">
        <v>80</v>
      </c>
    </row>
    <row r="6" spans="2:9" ht="25.5" x14ac:dyDescent="0.2">
      <c r="B6" s="16" t="s">
        <v>70</v>
      </c>
      <c r="C6" s="17" t="s">
        <v>13</v>
      </c>
      <c r="D6" s="18" t="s">
        <v>83</v>
      </c>
      <c r="E6" s="19" t="s">
        <v>38</v>
      </c>
      <c r="F6" s="17" t="s">
        <v>71</v>
      </c>
      <c r="G6" s="20">
        <v>2</v>
      </c>
      <c r="H6" s="17" t="s">
        <v>19</v>
      </c>
      <c r="I6" s="21" t="s">
        <v>84</v>
      </c>
    </row>
    <row r="7" spans="2:9" ht="38.25" x14ac:dyDescent="0.2">
      <c r="B7" s="16" t="s">
        <v>70</v>
      </c>
      <c r="C7" s="17" t="s">
        <v>13</v>
      </c>
      <c r="D7" s="18" t="s">
        <v>82</v>
      </c>
      <c r="E7" s="19" t="s">
        <v>38</v>
      </c>
      <c r="F7" s="17" t="s">
        <v>71</v>
      </c>
      <c r="G7" s="20">
        <v>2</v>
      </c>
      <c r="H7" s="17" t="s">
        <v>35</v>
      </c>
      <c r="I7" s="21" t="s">
        <v>102</v>
      </c>
    </row>
    <row r="8" spans="2:9" customFormat="1" ht="25.5" x14ac:dyDescent="0.2">
      <c r="B8" s="35" t="s">
        <v>70</v>
      </c>
      <c r="C8" s="17" t="s">
        <v>13</v>
      </c>
      <c r="D8" s="34" t="s">
        <v>85</v>
      </c>
      <c r="E8" s="34" t="s">
        <v>38</v>
      </c>
      <c r="F8" s="36" t="s">
        <v>71</v>
      </c>
      <c r="G8" s="37">
        <v>2</v>
      </c>
      <c r="H8" s="36" t="s">
        <v>35</v>
      </c>
      <c r="I8" s="38" t="s">
        <v>86</v>
      </c>
    </row>
    <row r="9" spans="2:9" customFormat="1" ht="25.5" x14ac:dyDescent="0.2">
      <c r="B9" s="35" t="s">
        <v>70</v>
      </c>
      <c r="C9" s="17" t="s">
        <v>13</v>
      </c>
      <c r="D9" s="34" t="s">
        <v>94</v>
      </c>
      <c r="E9" s="34" t="s">
        <v>38</v>
      </c>
      <c r="F9" s="36" t="s">
        <v>71</v>
      </c>
      <c r="G9" s="37">
        <v>1</v>
      </c>
      <c r="H9" s="36" t="s">
        <v>35</v>
      </c>
      <c r="I9" s="38" t="s">
        <v>95</v>
      </c>
    </row>
    <row r="10" spans="2:9" customFormat="1" ht="38.25" x14ac:dyDescent="0.2">
      <c r="B10" s="35" t="s">
        <v>70</v>
      </c>
      <c r="C10" s="17" t="s">
        <v>13</v>
      </c>
      <c r="D10" s="34" t="s">
        <v>98</v>
      </c>
      <c r="E10" s="34" t="s">
        <v>38</v>
      </c>
      <c r="F10" s="36" t="s">
        <v>71</v>
      </c>
      <c r="G10" s="37">
        <v>4</v>
      </c>
      <c r="H10" s="36" t="s">
        <v>35</v>
      </c>
      <c r="I10" s="38" t="s">
        <v>100</v>
      </c>
    </row>
    <row r="11" spans="2:9" customFormat="1" ht="25.5" x14ac:dyDescent="0.2">
      <c r="B11" s="35" t="s">
        <v>70</v>
      </c>
      <c r="C11" s="36" t="s">
        <v>79</v>
      </c>
      <c r="D11" s="34" t="s">
        <v>87</v>
      </c>
      <c r="E11" s="34" t="s">
        <v>38</v>
      </c>
      <c r="F11" s="36" t="s">
        <v>71</v>
      </c>
      <c r="G11" s="37">
        <v>3</v>
      </c>
      <c r="H11" s="36" t="s">
        <v>35</v>
      </c>
      <c r="I11" s="38" t="s">
        <v>101</v>
      </c>
    </row>
    <row r="12" spans="2:9" customFormat="1" ht="25.5" x14ac:dyDescent="0.2">
      <c r="B12" s="35" t="s">
        <v>70</v>
      </c>
      <c r="C12" s="17" t="s">
        <v>15</v>
      </c>
      <c r="D12" s="34" t="s">
        <v>81</v>
      </c>
      <c r="E12" s="34" t="s">
        <v>38</v>
      </c>
      <c r="F12" s="36" t="s">
        <v>71</v>
      </c>
      <c r="G12" s="37">
        <v>1.5</v>
      </c>
      <c r="H12" s="36" t="s">
        <v>35</v>
      </c>
      <c r="I12" s="38" t="s">
        <v>88</v>
      </c>
    </row>
    <row r="13" spans="2:9" customFormat="1" ht="25.5" x14ac:dyDescent="0.2">
      <c r="B13" s="35" t="s">
        <v>70</v>
      </c>
      <c r="C13" s="17" t="s">
        <v>15</v>
      </c>
      <c r="D13" s="34" t="s">
        <v>90</v>
      </c>
      <c r="E13" s="34" t="s">
        <v>38</v>
      </c>
      <c r="F13" s="36" t="s">
        <v>71</v>
      </c>
      <c r="G13" s="37">
        <v>1.5</v>
      </c>
      <c r="H13" s="36" t="s">
        <v>19</v>
      </c>
      <c r="I13" s="38" t="s">
        <v>91</v>
      </c>
    </row>
    <row r="14" spans="2:9" customFormat="1" ht="25.5" x14ac:dyDescent="0.2">
      <c r="B14" s="35" t="s">
        <v>70</v>
      </c>
      <c r="C14" s="17" t="s">
        <v>15</v>
      </c>
      <c r="D14" s="34" t="s">
        <v>92</v>
      </c>
      <c r="E14" s="34" t="s">
        <v>38</v>
      </c>
      <c r="F14" s="36" t="s">
        <v>71</v>
      </c>
      <c r="G14" s="37">
        <v>8</v>
      </c>
      <c r="H14" s="36" t="s">
        <v>19</v>
      </c>
      <c r="I14" s="38" t="s">
        <v>93</v>
      </c>
    </row>
    <row r="15" spans="2:9" customFormat="1" ht="25.5" x14ac:dyDescent="0.2">
      <c r="B15" s="35" t="s">
        <v>70</v>
      </c>
      <c r="C15" s="17" t="s">
        <v>15</v>
      </c>
      <c r="D15" s="34" t="s">
        <v>98</v>
      </c>
      <c r="E15" s="34" t="s">
        <v>38</v>
      </c>
      <c r="F15" s="36" t="s">
        <v>71</v>
      </c>
      <c r="G15" s="37">
        <v>1.5</v>
      </c>
      <c r="H15" s="36" t="s">
        <v>19</v>
      </c>
      <c r="I15" s="38" t="s">
        <v>99</v>
      </c>
    </row>
    <row r="16" spans="2:9" customFormat="1" ht="25.5" x14ac:dyDescent="0.2">
      <c r="B16" s="35" t="s">
        <v>70</v>
      </c>
      <c r="C16" s="17" t="s">
        <v>15</v>
      </c>
      <c r="D16" s="34"/>
      <c r="E16" s="34" t="s">
        <v>38</v>
      </c>
      <c r="F16" s="36" t="s">
        <v>71</v>
      </c>
      <c r="G16" s="37">
        <v>4</v>
      </c>
      <c r="H16" s="36" t="s">
        <v>19</v>
      </c>
      <c r="I16" s="38" t="s">
        <v>97</v>
      </c>
    </row>
    <row r="17" spans="2:9" ht="56.25" customHeight="1" x14ac:dyDescent="0.2">
      <c r="B17" s="16" t="s">
        <v>70</v>
      </c>
      <c r="C17" s="17" t="s">
        <v>17</v>
      </c>
      <c r="D17" s="18"/>
      <c r="E17" s="19" t="s">
        <v>38</v>
      </c>
      <c r="F17" s="17"/>
      <c r="G17" s="20">
        <v>2</v>
      </c>
      <c r="H17" s="17" t="s">
        <v>23</v>
      </c>
      <c r="I17" s="21" t="s">
        <v>96</v>
      </c>
    </row>
    <row r="18" spans="2:9" ht="25.5" x14ac:dyDescent="0.2">
      <c r="B18" s="16" t="s">
        <v>70</v>
      </c>
      <c r="C18" s="17" t="s">
        <v>75</v>
      </c>
      <c r="D18" s="18"/>
      <c r="E18" s="19" t="s">
        <v>38</v>
      </c>
      <c r="F18" s="22"/>
      <c r="G18" s="20">
        <v>1.5</v>
      </c>
      <c r="H18" s="17" t="s">
        <v>72</v>
      </c>
      <c r="I18" s="21" t="s">
        <v>73</v>
      </c>
    </row>
    <row r="19" spans="2:9" x14ac:dyDescent="0.2">
      <c r="B19" s="16"/>
      <c r="C19" s="17"/>
      <c r="D19" s="18"/>
      <c r="E19" s="19"/>
      <c r="F19" s="17"/>
      <c r="G19" s="20"/>
      <c r="H19" s="17"/>
      <c r="I19" s="21"/>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22"/>
      <c r="I26" s="24"/>
    </row>
    <row r="27" spans="2:9" x14ac:dyDescent="0.2">
      <c r="B27" s="23"/>
      <c r="C27" s="17"/>
      <c r="D27" s="19"/>
      <c r="E27" s="19"/>
      <c r="F27" s="17"/>
      <c r="G27" s="19"/>
      <c r="H27" s="17"/>
      <c r="I27" s="24"/>
    </row>
    <row r="28" spans="2:9" x14ac:dyDescent="0.2">
      <c r="B28" s="23"/>
      <c r="C28" s="17"/>
      <c r="D28" s="19"/>
      <c r="E28" s="19"/>
      <c r="F28" s="17"/>
      <c r="G28" s="19"/>
      <c r="H28" s="17"/>
      <c r="I28" s="24"/>
    </row>
    <row r="29" spans="2:9" x14ac:dyDescent="0.2">
      <c r="B29" s="23"/>
      <c r="C29" s="17"/>
      <c r="D29" s="19"/>
      <c r="E29" s="19"/>
      <c r="F29" s="17"/>
      <c r="G29" s="19"/>
      <c r="H29" s="17"/>
      <c r="I29" s="24"/>
    </row>
    <row r="30" spans="2:9" x14ac:dyDescent="0.2">
      <c r="B30" s="23"/>
      <c r="C30" s="17"/>
      <c r="D30" s="19"/>
      <c r="E30" s="19"/>
      <c r="F30" s="17"/>
      <c r="G30" s="19"/>
      <c r="H30" s="17"/>
      <c r="I30" s="24"/>
    </row>
    <row r="31" spans="2:9" x14ac:dyDescent="0.2">
      <c r="B31" s="25"/>
      <c r="C31" s="26"/>
      <c r="D31" s="27"/>
      <c r="E31" s="27"/>
      <c r="F31" s="28" t="s">
        <v>65</v>
      </c>
      <c r="G31" s="42">
        <f>SUM(G3:G30)</f>
        <v>40.5</v>
      </c>
      <c r="H31" s="43"/>
      <c r="I31" s="44"/>
    </row>
    <row r="32" spans="2:9" ht="15" thickBot="1" x14ac:dyDescent="0.25">
      <c r="B32" s="29"/>
      <c r="C32" s="30"/>
      <c r="D32" s="31"/>
      <c r="E32" s="31"/>
      <c r="F32" s="32" t="s">
        <v>66</v>
      </c>
      <c r="G32" s="39">
        <v>6</v>
      </c>
      <c r="H32" s="40"/>
      <c r="I32" s="41"/>
    </row>
    <row r="33" ht="15" thickTop="1" x14ac:dyDescent="0.2"/>
  </sheetData>
  <mergeCells count="2">
    <mergeCell ref="G32:I32"/>
    <mergeCell ref="G31:I31"/>
  </mergeCells>
  <phoneticPr fontId="7" type="noConversion"/>
  <dataValidations count="2">
    <dataValidation type="list" allowBlank="1" showInputMessage="1" showErrorMessage="1" sqref="H4:H30" xr:uid="{6A4A47A0-F4D0-40A6-AD31-5A81AA67D186}">
      <formula1>hh</formula1>
    </dataValidation>
    <dataValidation type="list" allowBlank="1" showInputMessage="1" showErrorMessage="1" sqref="F4:F30"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E17:E32 E4:E7</xm:sqref>
        </x14:dataValidation>
        <x14:dataValidation type="list" allowBlank="1" showInputMessage="1" showErrorMessage="1" xr:uid="{41621C03-871D-4F35-A08D-A1A20441013C}">
          <x14:formula1>
            <xm:f>数据标签!$B$2:$H$2</xm:f>
          </x14:formula1>
          <xm:sqref>C12:C32 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2025-10-09T06:31:02Z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