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22FD5D2A-91D3-4166-B7AF-77BA25A48064}"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<sst xmlns="http://schemas.openxmlformats.org/spreadsheetml/2006/main" count="189" uniqueCount="96">
  <si>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</si>
  <si>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</si>
  <si>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</si>
  <si>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</si>
  <si>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</si>
  <si>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</si>
  <si>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</si>
  <si>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</si>
  <si>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</si>
  <si>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</si>
  <si>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</si>
  <si>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</si>
  <si>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</si>
  <si>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</si>
  <si>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</si>
  <si>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</si>
  <si>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</si>
  <si>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</si>
  <si>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</si>
  <si>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</si>
  <si>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</si>
  <si>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</si>
  <si>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</si>
  <si>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</si>
  <si>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</si>
  <si>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</si>
  <si>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</si>
  <si>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</si>
  <si>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</si>
  <si>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</si>
  <si>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</si>
  <si>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</si>
  <si>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</si>
  <si>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</si>
  <si>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</si>
  <si>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</si>
  <si>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</si>
  <si>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</si>
  <si>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</si>
  <si>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</si>
  <si>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</si>
  <si>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</si>
  <si>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</si>
  <si>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</si>
  <si>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</si>
  <si>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</si>
  <si>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</si>
  <si>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</si>
  <si>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</si>
  <si>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</si>
  <si>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</si>
  <si>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</si>
  <si>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</si>
  <si>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</si>
  <si>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</si>
  <si>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</si>
  <si>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</si>
  <si>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</si>
  <si>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</si>
  <si>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</si>
  <si>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</si>
  <si>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</si>
  <si>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</si>
  <si>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</si>
  <si>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</si>
  <si>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</si>
  <si>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</si>
  <si>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</si>
  <si>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</si>
  <si>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</si>
  <si>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</si>
  <si>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</si>
  <si>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</si>
  <si>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</si>
  <si>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</si>
  <si>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</si>
  <si>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</si>
  <si>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</si>
  <si>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Didi</t>
    <phoneticPr fontId="7" type="noConversion"/>
  </si>
  <si>
    <t>石头汽车</t>
    <phoneticPr fontId="7" type="noConversion"/>
  </si>
  <si>
    <t>Public - Infrastructure &amp; Guidance</t>
  </si>
  <si>
    <t>资本市场证券交易全流程合规体系建设 Full-process compliance system  for securities trading in capital markets</t>
  </si>
  <si>
    <t>非码</t>
    <phoneticPr fontId="7" type="noConversion"/>
  </si>
  <si>
    <t>猎豹</t>
    <phoneticPr fontId="7" type="noConversion"/>
  </si>
  <si>
    <t xml:space="preserve">coordinated to provide comments on updated transaction documents, communicated with company counsel on changes of transaction docuemnts and sig-pages </t>
    <phoneticPr fontId="7" type="noConversion"/>
  </si>
  <si>
    <t>coordinated to revert to the connected parties review sent by company</t>
    <phoneticPr fontId="7" type="noConversion"/>
  </si>
  <si>
    <t>coordinated outside counsel for a call re issues on crypto tokens investment in Eum with SD</t>
    <phoneticPr fontId="7" type="noConversion"/>
  </si>
  <si>
    <t>updated redemption notice per finance comments</t>
    <phoneticPr fontId="7" type="noConversion"/>
  </si>
  <si>
    <t>coordinated sig-pages exchange and 工商文件邮寄</t>
    <phoneticPr fontId="7" type="noConversion"/>
  </si>
  <si>
    <t>revert to questions raised by other colleague re capitcal market issues</t>
    <phoneticPr fontId="7" type="noConversion"/>
  </si>
  <si>
    <t>comment on the measure to be taken for MNPI clearance on IC and board level, fo US/HK and Main land China markets</t>
    <phoneticPr fontId="7" type="noConversion"/>
  </si>
  <si>
    <t>discussed with outside counsel on sanction issue fee quote, reviewed and commnet on transaction documents, communicated with company on sanction questions., conduct sanction dowjones DD</t>
    <phoneticPr fontId="7" type="noConversion"/>
  </si>
  <si>
    <t>provided comments and suggesston on apporoval thresholds for board, checking thresholds adopted by other listoco</t>
    <phoneticPr fontId="7" type="noConversion"/>
  </si>
  <si>
    <t>participated training re 国际影视合作项目风险防控攻略</t>
    <phoneticPr fontId="7" type="noConversion"/>
  </si>
  <si>
    <t>淘车</t>
    <phoneticPr fontId="7" type="noConversion"/>
  </si>
  <si>
    <t>reviewed updated SPA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</si>
</sst>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5" zoomScale="115" zoomScaleNormal="115" workbookViewId="0">
      <selection activeCell="I12" sqref="I12:I13"/>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25.5" x14ac:dyDescent="0.2">
      <c r="B4" s="28" t="s">
        <v>71</v>
      </c>
      <c r="C4" s="14" t="s">
        <v>14</v>
      </c>
      <c r="D4" s="29" t="s">
        <v>77</v>
      </c>
      <c r="E4" s="9" t="s">
        <v>39</v>
      </c>
      <c r="F4" s="14" t="s">
        <v>72</v>
      </c>
      <c r="G4" s="30">
        <v>1</v>
      </c>
      <c r="H4" s="14" t="s">
        <v>27</v>
      </c>
      <c r="I4" s="31" t="s">
        <v>88</v>
      </c>
    </row>
    <row r="5" spans="2:9" ht="51" x14ac:dyDescent="0.2">
      <c r="B5" s="28" t="s">
        <v>71</v>
      </c>
      <c r="C5" s="14" t="s">
        <v>14</v>
      </c>
      <c r="D5" s="29" t="s">
        <v>74</v>
      </c>
      <c r="E5" s="9" t="s">
        <v>39</v>
      </c>
      <c r="F5" s="14" t="s">
        <v>72</v>
      </c>
      <c r="G5" s="30">
        <v>6</v>
      </c>
      <c r="H5" s="14" t="s">
        <v>20</v>
      </c>
      <c r="I5" s="31" t="s">
        <v>91</v>
      </c>
    </row>
    <row r="6" spans="2:9" ht="25.5" x14ac:dyDescent="0.2">
      <c r="B6" s="28" t="s">
        <v>71</v>
      </c>
      <c r="C6" s="14" t="s">
        <v>14</v>
      </c>
      <c r="D6" s="29" t="s">
        <v>94</v>
      </c>
      <c r="E6" s="9" t="s">
        <v>39</v>
      </c>
      <c r="F6" s="14" t="s">
        <v>72</v>
      </c>
      <c r="G6" s="30">
        <v>1</v>
      </c>
      <c r="H6" s="14" t="s">
        <v>20</v>
      </c>
      <c r="I6" s="31" t="s">
        <v>95</v>
      </c>
    </row>
    <row r="7" spans="2:9" ht="38.25" x14ac:dyDescent="0.2">
      <c r="B7" s="28" t="s">
        <v>71</v>
      </c>
      <c r="C7" s="14" t="s">
        <v>14</v>
      </c>
      <c r="D7" s="29" t="s">
        <v>78</v>
      </c>
      <c r="E7" s="9" t="s">
        <v>39</v>
      </c>
      <c r="F7" s="14" t="s">
        <v>72</v>
      </c>
      <c r="G7" s="30">
        <v>3</v>
      </c>
      <c r="H7" s="14" t="s">
        <v>20</v>
      </c>
      <c r="I7" s="31" t="s">
        <v>92</v>
      </c>
    </row>
    <row r="8" spans="2:9" ht="25.5" x14ac:dyDescent="0.2">
      <c r="B8" s="28" t="s">
        <v>71</v>
      </c>
      <c r="C8" s="14" t="s">
        <v>16</v>
      </c>
      <c r="D8" s="29" t="s">
        <v>83</v>
      </c>
      <c r="E8" s="9" t="s">
        <v>39</v>
      </c>
      <c r="F8" s="14" t="s">
        <v>72</v>
      </c>
      <c r="G8" s="30">
        <v>0.5</v>
      </c>
      <c r="H8" s="14" t="s">
        <v>36</v>
      </c>
      <c r="I8" s="31" t="s">
        <v>85</v>
      </c>
    </row>
    <row r="9" spans="2:9" ht="51" x14ac:dyDescent="0.2">
      <c r="B9" s="28" t="s">
        <v>71</v>
      </c>
      <c r="C9" s="14" t="s">
        <v>14</v>
      </c>
      <c r="D9" s="29" t="s">
        <v>79</v>
      </c>
      <c r="E9" s="9" t="s">
        <v>39</v>
      </c>
      <c r="F9" s="14" t="s">
        <v>72</v>
      </c>
      <c r="G9" s="30">
        <v>3</v>
      </c>
      <c r="H9" s="14" t="s">
        <v>27</v>
      </c>
      <c r="I9" s="31" t="s">
        <v>84</v>
      </c>
    </row>
    <row r="10" spans="2:9" ht="25.5" x14ac:dyDescent="0.2">
      <c r="B10" s="28" t="s">
        <v>71</v>
      </c>
      <c r="C10" s="14" t="s">
        <v>16</v>
      </c>
      <c r="D10" s="29"/>
      <c r="E10" s="9" t="s">
        <v>39</v>
      </c>
      <c r="F10" s="14" t="s">
        <v>72</v>
      </c>
      <c r="G10" s="30">
        <v>2</v>
      </c>
      <c r="H10" s="14" t="s">
        <v>28</v>
      </c>
      <c r="I10" s="31" t="s">
        <v>86</v>
      </c>
    </row>
    <row r="11" spans="2:9" ht="25.5" x14ac:dyDescent="0.2">
      <c r="B11" s="28" t="s">
        <v>71</v>
      </c>
      <c r="C11" s="14" t="s">
        <v>16</v>
      </c>
      <c r="D11" s="29" t="s">
        <v>82</v>
      </c>
      <c r="E11" s="9" t="s">
        <v>39</v>
      </c>
      <c r="F11" s="14" t="s">
        <v>72</v>
      </c>
      <c r="G11" s="30">
        <v>0.5</v>
      </c>
      <c r="H11" s="14" t="s">
        <v>20</v>
      </c>
      <c r="I11" s="31" t="s">
        <v>87</v>
      </c>
    </row>
    <row r="12" spans="2:9" ht="25.5" x14ac:dyDescent="0.2">
      <c r="B12" s="28" t="s">
        <v>71</v>
      </c>
      <c r="C12" s="14" t="s">
        <v>18</v>
      </c>
      <c r="D12" s="29"/>
      <c r="E12" s="9" t="s">
        <v>39</v>
      </c>
      <c r="F12" s="14" t="s">
        <v>72</v>
      </c>
      <c r="G12" s="30">
        <v>1</v>
      </c>
      <c r="H12" s="14" t="s">
        <v>27</v>
      </c>
      <c r="I12" s="31" t="s">
        <v>89</v>
      </c>
    </row>
    <row r="13" spans="2:9" ht="38.25" x14ac:dyDescent="0.2">
      <c r="B13" s="28" t="s">
        <v>71</v>
      </c>
      <c r="C13" s="32" t="s">
        <v>80</v>
      </c>
      <c r="D13" s="29"/>
      <c r="E13" s="29" t="s">
        <v>39</v>
      </c>
      <c r="F13" s="32" t="s">
        <v>81</v>
      </c>
      <c r="G13" s="33">
        <v>1</v>
      </c>
      <c r="H13" s="32" t="s">
        <v>27</v>
      </c>
      <c r="I13" s="31" t="s">
        <v>90</v>
      </c>
    </row>
    <row r="14" spans="2:9" ht="27.75" customHeight="1" x14ac:dyDescent="0.2">
      <c r="B14" s="28" t="s">
        <v>71</v>
      </c>
      <c r="C14" s="32" t="s">
        <v>80</v>
      </c>
      <c r="D14" s="29"/>
      <c r="E14" s="29"/>
      <c r="F14" s="32"/>
      <c r="G14" s="33">
        <v>2</v>
      </c>
      <c r="H14" s="32"/>
      <c r="I14" s="31" t="s">
        <v>93</v>
      </c>
    </row>
    <row r="15" spans="2:9" ht="25.5" x14ac:dyDescent="0.2">
      <c r="B15" s="28" t="s">
        <v>71</v>
      </c>
      <c r="C15" s="14" t="s">
        <v>18</v>
      </c>
      <c r="D15" s="29"/>
      <c r="E15" s="9" t="s">
        <v>39</v>
      </c>
      <c r="F15" s="32"/>
      <c r="G15" s="30">
        <v>1</v>
      </c>
      <c r="H15" s="14" t="s">
        <v>73</v>
      </c>
      <c r="I15" s="31" t="s">
        <v>75</v>
      </c>
    </row>
    <row r="16" spans="2:9" x14ac:dyDescent="0.2">
      <c r="B16" s="28"/>
      <c r="C16" s="14"/>
      <c r="D16" s="29"/>
      <c r="E16" s="9"/>
      <c r="F16" s="14"/>
      <c r="G16" s="30"/>
      <c r="H16" s="14"/>
      <c r="I16" s="31"/>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32"/>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23"/>
      <c r="C28" s="24"/>
      <c r="D28" s="25"/>
      <c r="E28" s="25"/>
      <c r="F28" s="27" t="s">
        <v>66</v>
      </c>
      <c r="G28" s="37">
        <f>SUM(G3:G27)</f>
        <v>22</v>
      </c>
      <c r="H28" s="38"/>
      <c r="I28" s="39"/>
    </row>
    <row r="29" spans="2:9" ht="15" thickBot="1" x14ac:dyDescent="0.25">
      <c r="B29" s="19"/>
      <c r="C29" s="20"/>
      <c r="D29" s="21"/>
      <c r="E29" s="21"/>
      <c r="F29" s="26" t="s">
        <v>67</v>
      </c>
      <c r="G29" s="34">
        <v>3.5</v>
      </c>
      <c r="H29" s="35"/>
      <c r="I29" s="36"/>
    </row>
    <row r="30" spans="2:9" ht="15" thickTop="1" x14ac:dyDescent="0.2"/>
  </sheetData>
  <mergeCells count="2">
    <mergeCell ref="G29:I29"/>
    <mergeCell ref="G28:I28"/>
  </mergeCells>
  <phoneticPr fontId="7" type="noConversion"/>
  <dataValidations count="2">
    <dataValidation type="list" allowBlank="1" showInputMessage="1" showErrorMessage="1" sqref="H4:H27" xr:uid="{6A4A47A0-F4D0-40A6-AD31-5A81AA67D186}">
      <formula1>hh</formula1>
    </dataValidation>
    <dataValidation type="list" allowBlank="1" showInputMessage="1" showErrorMessage="1" sqref="F4:F27"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E15:E29 E4:E12</xm:sqref>
        </x14:dataValidation>
        <x14:dataValidation type="list" allowBlank="1" showInputMessage="1" showErrorMessage="1" xr:uid="{41621C03-871D-4F35-A08D-A1A20441013C}">
          <x14:formula1>
            <xm:f>数据标签!$B$2:$H$2</xm:f>
          </x14:formula1>
          <xm:sqref>C15:C29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2025-05-06T07:23:37Z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