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125F5E36-1CF8-4924-9ECC-5AD41E2FDD62}"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<sst xmlns="http://schemas.openxmlformats.org/spreadsheetml/2006/main" count="208" uniqueCount="100">
  <si>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</si>
  <si>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</si>
  <si>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</si>
  <si>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</si>
  <si>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</si>
  <si>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</si>
  <si>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</si>
  <si>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</si>
  <si>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</si>
  <si>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</si>
  <si>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</si>
  <si>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</si>
  <si>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</si>
  <si>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</si>
  <si>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</si>
  <si>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</si>
  <si>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</si>
  <si>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</si>
  <si>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</si>
  <si>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</si>
  <si>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</si>
  <si>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</si>
  <si>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</si>
  <si>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</si>
  <si>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</si>
  <si>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</si>
  <si>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</si>
  <si>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</si>
  <si>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</si>
  <si>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</si>
  <si>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</si>
  <si>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</si>
  <si>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</si>
  <si>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</si>
  <si>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</si>
  <si>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</si>
  <si>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</si>
  <si>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</si>
  <si>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</si>
  <si>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</si>
  <si>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</si>
  <si>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</si>
  <si>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</si>
  <si>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</si>
  <si>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</si>
  <si>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</si>
  <si>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</si>
  <si>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</si>
  <si>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</si>
  <si>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</si>
  <si>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</si>
  <si>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</si>
  <si>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</si>
  <si>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</si>
  <si>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</si>
  <si>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</si>
  <si>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</si>
  <si>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</si>
  <si>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</si>
  <si>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</si>
  <si>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</si>
  <si>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</si>
  <si>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</si>
  <si>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</si>
  <si>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</si>
  <si>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</si>
  <si>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</si>
  <si>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</si>
  <si>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</si>
  <si>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</si>
  <si>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</si>
  <si>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</si>
  <si>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</si>
  <si>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</si>
  <si>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</si>
  <si>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Public - Infrastructure &amp; Guidance</t>
  </si>
  <si>
    <t>永航</t>
    <phoneticPr fontId="7" type="noConversion"/>
  </si>
  <si>
    <t>猎豹</t>
    <phoneticPr fontId="7" type="noConversion"/>
  </si>
  <si>
    <t>资本市场证券交易全流程合规体系建设 Full-process compliance system  for securities trading in capital markets</t>
  </si>
  <si>
    <t>快手</t>
    <phoneticPr fontId="7" type="noConversion"/>
  </si>
  <si>
    <t>communicated with other investors, negotiated with counterparty</t>
    <phoneticPr fontId="7" type="noConversion"/>
  </si>
  <si>
    <t>易车</t>
    <phoneticPr fontId="7" type="noConversion"/>
  </si>
  <si>
    <t xml:space="preserve">revised SHA </t>
    <phoneticPr fontId="7" type="noConversion"/>
  </si>
  <si>
    <t xml:space="preserve">JD </t>
    <phoneticPr fontId="7" type="noConversion"/>
  </si>
  <si>
    <t>reviewed comments from the company on director  questionnaire</t>
    <phoneticPr fontId="7" type="noConversion"/>
  </si>
  <si>
    <t>attended to questions raised by MA team on the secondary market transaction</t>
    <phoneticPr fontId="7" type="noConversion"/>
  </si>
  <si>
    <t>非码</t>
    <phoneticPr fontId="7" type="noConversion"/>
  </si>
  <si>
    <t>reviewed documents on shareholder meeting</t>
    <phoneticPr fontId="7" type="noConversion"/>
  </si>
  <si>
    <t>coordinated closing documents, comment on offshore SPA and coordinate the signing</t>
    <phoneticPr fontId="7" type="noConversion"/>
  </si>
  <si>
    <t>team meeting</t>
    <phoneticPr fontId="7" type="noConversion"/>
  </si>
  <si>
    <t>Recording/reviewing deals updates/weekly time reports/other team summaries</t>
  </si>
  <si>
    <t>recording timesheet</t>
    <phoneticPr fontId="7" type="noConversion"/>
  </si>
  <si>
    <t>石头汽车</t>
    <phoneticPr fontId="7" type="noConversion"/>
  </si>
  <si>
    <t>reviewed board resolutions</t>
    <phoneticPr fontId="7" type="noConversion"/>
  </si>
  <si>
    <t>discussed internally on simplifiying trhe MNPI clearance processm discussed with outside counsel on case researches</t>
    <phoneticPr fontId="7" type="noConversion"/>
  </si>
  <si>
    <t>discussed with finance on the possibilites of using financing system to track the changes of a certain class in listing companies</t>
    <phoneticPr fontId="7" type="noConversion"/>
  </si>
  <si>
    <t>贝壳</t>
    <phoneticPr fontId="7" type="noConversion"/>
  </si>
  <si>
    <t xml:space="preserve">attended to questions raised by MA team on potential trade </t>
    <phoneticPr fontId="7" type="noConversion"/>
  </si>
  <si>
    <t>drafting 13D amendment and email to Comsec</t>
    <phoneticPr fontId="7" type="noConversion"/>
  </si>
  <si>
    <t>reviewed director  questionnaire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</si>
</sst>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11" zoomScale="115" zoomScaleNormal="115" workbookViewId="0">
      <selection activeCell="H12" sqref="H12"/>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25.5" x14ac:dyDescent="0.2">
      <c r="B4" s="28" t="s">
        <v>72</v>
      </c>
      <c r="C4" s="14" t="s">
        <v>14</v>
      </c>
      <c r="D4" s="29" t="s">
        <v>73</v>
      </c>
      <c r="E4" s="9" t="s">
        <v>40</v>
      </c>
      <c r="F4" s="14" t="s">
        <v>74</v>
      </c>
      <c r="G4" s="30">
        <v>6</v>
      </c>
      <c r="H4" s="14" t="s">
        <v>20</v>
      </c>
      <c r="I4" s="31" t="s">
        <v>80</v>
      </c>
    </row>
    <row r="5" spans="2:9" ht="25.5" x14ac:dyDescent="0.2">
      <c r="B5" s="28" t="s">
        <v>72</v>
      </c>
      <c r="C5" s="14" t="s">
        <v>14</v>
      </c>
      <c r="D5" s="29" t="s">
        <v>81</v>
      </c>
      <c r="E5" s="9" t="s">
        <v>40</v>
      </c>
      <c r="F5" s="14" t="s">
        <v>74</v>
      </c>
      <c r="G5" s="30">
        <v>4</v>
      </c>
      <c r="H5" s="14" t="s">
        <v>36</v>
      </c>
      <c r="I5" s="31" t="s">
        <v>82</v>
      </c>
    </row>
    <row r="6" spans="2:9" ht="25.5" x14ac:dyDescent="0.2">
      <c r="B6" s="28" t="s">
        <v>72</v>
      </c>
      <c r="C6" s="14" t="s">
        <v>14</v>
      </c>
      <c r="D6" s="29" t="s">
        <v>83</v>
      </c>
      <c r="E6" s="9" t="s">
        <v>40</v>
      </c>
      <c r="F6" s="14" t="s">
        <v>74</v>
      </c>
      <c r="G6" s="30">
        <v>3</v>
      </c>
      <c r="H6" s="14" t="s">
        <v>20</v>
      </c>
      <c r="I6" s="31" t="s">
        <v>85</v>
      </c>
    </row>
    <row r="7" spans="2:9" ht="25.5" x14ac:dyDescent="0.2">
      <c r="B7" s="28" t="s">
        <v>72</v>
      </c>
      <c r="C7" s="14" t="s">
        <v>14</v>
      </c>
      <c r="D7" s="29" t="s">
        <v>76</v>
      </c>
      <c r="E7" s="9" t="s">
        <v>40</v>
      </c>
      <c r="F7" s="14" t="s">
        <v>74</v>
      </c>
      <c r="G7" s="30">
        <v>1</v>
      </c>
      <c r="H7" s="14" t="s">
        <v>20</v>
      </c>
      <c r="I7" s="31" t="s">
        <v>88</v>
      </c>
    </row>
    <row r="8" spans="2:9" ht="25.5" x14ac:dyDescent="0.2">
      <c r="B8" s="28" t="s">
        <v>72</v>
      </c>
      <c r="C8" s="14" t="s">
        <v>14</v>
      </c>
      <c r="D8" s="29" t="s">
        <v>96</v>
      </c>
      <c r="E8" s="9" t="s">
        <v>40</v>
      </c>
      <c r="F8" s="14" t="s">
        <v>74</v>
      </c>
      <c r="G8" s="30">
        <v>0.5</v>
      </c>
      <c r="H8" s="14" t="s">
        <v>36</v>
      </c>
      <c r="I8" s="31" t="s">
        <v>97</v>
      </c>
    </row>
    <row r="9" spans="2:9" ht="25.5" x14ac:dyDescent="0.2">
      <c r="B9" s="28" t="s">
        <v>72</v>
      </c>
      <c r="C9" s="14" t="s">
        <v>16</v>
      </c>
      <c r="D9" s="29" t="s">
        <v>86</v>
      </c>
      <c r="E9" s="9" t="s">
        <v>40</v>
      </c>
      <c r="F9" s="14" t="s">
        <v>74</v>
      </c>
      <c r="G9" s="30">
        <v>1</v>
      </c>
      <c r="H9" s="14" t="s">
        <v>20</v>
      </c>
      <c r="I9" s="31" t="s">
        <v>87</v>
      </c>
    </row>
    <row r="10" spans="2:9" ht="25.5" x14ac:dyDescent="0.2">
      <c r="B10" s="28" t="s">
        <v>72</v>
      </c>
      <c r="C10" s="14" t="s">
        <v>16</v>
      </c>
      <c r="D10" s="29" t="s">
        <v>79</v>
      </c>
      <c r="E10" s="9" t="s">
        <v>40</v>
      </c>
      <c r="F10" s="14" t="s">
        <v>74</v>
      </c>
      <c r="G10" s="30">
        <v>1</v>
      </c>
      <c r="H10" s="14" t="s">
        <v>20</v>
      </c>
      <c r="I10" s="31" t="s">
        <v>84</v>
      </c>
    </row>
    <row r="11" spans="2:9" ht="25.5" x14ac:dyDescent="0.2">
      <c r="B11" s="28" t="s">
        <v>72</v>
      </c>
      <c r="C11" s="14" t="s">
        <v>16</v>
      </c>
      <c r="D11" s="29" t="s">
        <v>79</v>
      </c>
      <c r="E11" s="9" t="s">
        <v>40</v>
      </c>
      <c r="F11" s="14" t="s">
        <v>74</v>
      </c>
      <c r="G11" s="30">
        <v>1</v>
      </c>
      <c r="H11" s="14" t="s">
        <v>20</v>
      </c>
      <c r="I11" s="31" t="s">
        <v>99</v>
      </c>
    </row>
    <row r="12" spans="2:9" ht="25.5" x14ac:dyDescent="0.2">
      <c r="B12" s="28" t="s">
        <v>72</v>
      </c>
      <c r="C12" s="14" t="s">
        <v>16</v>
      </c>
      <c r="D12" s="29" t="s">
        <v>92</v>
      </c>
      <c r="E12" s="9" t="s">
        <v>40</v>
      </c>
      <c r="F12" s="14" t="s">
        <v>74</v>
      </c>
      <c r="G12" s="30">
        <v>0.5</v>
      </c>
      <c r="H12" s="14" t="s">
        <v>20</v>
      </c>
      <c r="I12" s="31" t="s">
        <v>93</v>
      </c>
    </row>
    <row r="13" spans="2:9" ht="25.5" x14ac:dyDescent="0.2">
      <c r="B13" s="28" t="s">
        <v>72</v>
      </c>
      <c r="C13" s="14" t="s">
        <v>16</v>
      </c>
      <c r="D13" s="29" t="s">
        <v>77</v>
      </c>
      <c r="E13" s="9" t="s">
        <v>40</v>
      </c>
      <c r="F13" s="14" t="s">
        <v>74</v>
      </c>
      <c r="G13" s="30">
        <v>1</v>
      </c>
      <c r="H13" s="14" t="s">
        <v>20</v>
      </c>
      <c r="I13" s="31" t="s">
        <v>98</v>
      </c>
    </row>
    <row r="14" spans="2:9" ht="38.25" x14ac:dyDescent="0.2">
      <c r="B14" s="28" t="s">
        <v>72</v>
      </c>
      <c r="C14" s="14" t="s">
        <v>75</v>
      </c>
      <c r="D14" s="29"/>
      <c r="E14" s="9" t="s">
        <v>40</v>
      </c>
      <c r="F14" s="14" t="s">
        <v>78</v>
      </c>
      <c r="G14" s="30">
        <v>2</v>
      </c>
      <c r="H14" s="14" t="s">
        <v>22</v>
      </c>
      <c r="I14" s="31" t="s">
        <v>94</v>
      </c>
    </row>
    <row r="15" spans="2:9" ht="38.25" x14ac:dyDescent="0.2">
      <c r="B15" s="28" t="s">
        <v>72</v>
      </c>
      <c r="C15" s="14" t="s">
        <v>75</v>
      </c>
      <c r="D15" s="29"/>
      <c r="E15" s="9" t="s">
        <v>40</v>
      </c>
      <c r="F15" s="14" t="s">
        <v>78</v>
      </c>
      <c r="G15" s="30">
        <v>1</v>
      </c>
      <c r="H15" s="14" t="s">
        <v>27</v>
      </c>
      <c r="I15" s="31" t="s">
        <v>95</v>
      </c>
    </row>
    <row r="16" spans="2:9" ht="38.25" x14ac:dyDescent="0.2">
      <c r="B16" s="28" t="s">
        <v>72</v>
      </c>
      <c r="C16" s="14" t="s">
        <v>18</v>
      </c>
      <c r="D16" s="29"/>
      <c r="E16" s="9" t="s">
        <v>40</v>
      </c>
      <c r="F16" s="14" t="s">
        <v>78</v>
      </c>
      <c r="G16" s="30">
        <v>4</v>
      </c>
      <c r="H16" s="14" t="s">
        <v>24</v>
      </c>
      <c r="I16" s="31" t="s">
        <v>89</v>
      </c>
    </row>
    <row r="17" spans="2:9" ht="38.25" x14ac:dyDescent="0.2">
      <c r="B17" s="28" t="s">
        <v>72</v>
      </c>
      <c r="C17" s="14" t="s">
        <v>18</v>
      </c>
      <c r="D17" s="29"/>
      <c r="E17" s="9" t="s">
        <v>40</v>
      </c>
      <c r="F17" s="14" t="s">
        <v>78</v>
      </c>
      <c r="G17" s="30">
        <v>1</v>
      </c>
      <c r="H17" s="14" t="s">
        <v>90</v>
      </c>
      <c r="I17" s="31" t="s">
        <v>91</v>
      </c>
    </row>
    <row r="18" spans="2:9" x14ac:dyDescent="0.2">
      <c r="B18" s="28"/>
      <c r="C18" s="14"/>
      <c r="D18" s="29"/>
      <c r="E18" s="9"/>
      <c r="F18" s="14"/>
      <c r="G18" s="30"/>
      <c r="H18" s="14"/>
      <c r="I18" s="31"/>
    </row>
    <row r="19" spans="2:9" x14ac:dyDescent="0.2">
      <c r="B19" s="28"/>
      <c r="C19" s="14"/>
      <c r="D19" s="29"/>
      <c r="E19" s="9"/>
      <c r="F19" s="14"/>
      <c r="G19" s="30"/>
      <c r="H19" s="14"/>
      <c r="I19" s="31"/>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23"/>
      <c r="C31" s="24"/>
      <c r="D31" s="25"/>
      <c r="E31" s="25"/>
      <c r="F31" s="27" t="s">
        <v>67</v>
      </c>
      <c r="G31" s="35">
        <f>SUM(G3:G30)</f>
        <v>27</v>
      </c>
      <c r="H31" s="36"/>
      <c r="I31" s="37"/>
    </row>
    <row r="32" spans="2:9" ht="15" thickBot="1" x14ac:dyDescent="0.25">
      <c r="B32" s="19"/>
      <c r="C32" s="20"/>
      <c r="D32" s="21"/>
      <c r="E32" s="21"/>
      <c r="F32" s="26" t="s">
        <v>68</v>
      </c>
      <c r="G32" s="32">
        <v>5</v>
      </c>
      <c r="H32" s="33"/>
      <c r="I32" s="34"/>
    </row>
    <row r="33" ht="15" thickTop="1" x14ac:dyDescent="0.2"/>
  </sheetData>
  <mergeCells count="2">
    <mergeCell ref="G32:I32"/>
    <mergeCell ref="G31:I31"/>
  </mergeCells>
  <phoneticPr fontId="7" type="noConversion"/>
  <dataValidations count="2">
    <dataValidation type="list" allowBlank="1" showInputMessage="1" showErrorMessage="1" sqref="H4:H30" xr:uid="{6A4A47A0-F4D0-40A6-AD31-5A81AA67D186}">
      <formula1>hh</formula1>
    </dataValidation>
    <dataValidation type="list" allowBlank="1" showInputMessage="1" showErrorMessage="1" sqref="F4:F30"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E4:E32</xm:sqref>
        </x14:dataValidation>
        <x14:dataValidation type="list" allowBlank="1" showInputMessage="1" showErrorMessage="1" xr:uid="{41621C03-871D-4F35-A08D-A1A20441013C}">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2025-03-04T07:15:17Z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