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69EA77AD-4E62-4EEE-AAEE-EF9A4A6CCFE2}"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<sst xmlns="http://schemas.openxmlformats.org/spreadsheetml/2006/main" count="154" uniqueCount="85">
  <si>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</si>
  <si>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</si>
  <si>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</si>
  <si>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</si>
  <si>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</si>
  <si>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</si>
  <si>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</si>
  <si>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</si>
  <si>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</si>
  <si>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</si>
  <si>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</si>
  <si>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</si>
  <si>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</si>
  <si>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</si>
  <si>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</si>
  <si>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</si>
  <si>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</si>
  <si>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</si>
  <si>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</si>
  <si>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</si>
  <si>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</si>
  <si>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</si>
  <si>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</si>
  <si>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</si>
  <si>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</si>
  <si>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</si>
  <si>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</si>
  <si>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</si>
  <si>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</si>
  <si>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</si>
  <si>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</si>
  <si>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</si>
  <si>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</si>
  <si>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</si>
  <si>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</si>
  <si>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</si>
  <si>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</si>
  <si>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</si>
  <si>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</si>
  <si>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</si>
  <si>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</si>
  <si>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</si>
  <si>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</si>
  <si>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</si>
  <si>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</si>
  <si>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</si>
  <si>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</si>
  <si>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</si>
  <si>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</si>
  <si>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</si>
  <si>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</si>
  <si>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</si>
  <si>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</si>
  <si>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</si>
  <si>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</si>
  <si>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</si>
  <si>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</si>
  <si>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</si>
  <si>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</si>
  <si>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</si>
  <si>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</si>
  <si>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</si>
  <si>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</si>
  <si>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</si>
  <si>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</si>
  <si>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</si>
  <si>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</si>
  <si>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</si>
  <si>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</si>
  <si>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</si>
  <si>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</si>
  <si>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</si>
  <si>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</si>
  <si>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</si>
  <si>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</si>
  <si>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Public - Infrastructure &amp; Guidance</t>
  </si>
  <si>
    <t>ppingchen</t>
    <phoneticPr fontId="7" type="noConversion"/>
  </si>
  <si>
    <t>commented on FPI KYC list, coordinated to provide KYC documents</t>
    <phoneticPr fontId="7" type="noConversion"/>
  </si>
  <si>
    <t xml:space="preserve">reviewed transaction documents, coordiated outside counsel to review </t>
    <phoneticPr fontId="7" type="noConversion"/>
  </si>
  <si>
    <t>金山</t>
    <phoneticPr fontId="7" type="noConversion"/>
  </si>
  <si>
    <t>attended to questions raised by Comsec re DI of Kingsoft</t>
    <phoneticPr fontId="7" type="noConversion"/>
  </si>
  <si>
    <t>永航</t>
    <phoneticPr fontId="7" type="noConversion"/>
  </si>
  <si>
    <t>coordinated to obtained docouments needed for CSRC report, coordinated with counterparty for closing related matters, engaged law firm to draft transaction document on offshore closing matter</t>
    <phoneticPr fontId="7" type="noConversion"/>
  </si>
  <si>
    <t>uploaded documents to iwiki</t>
    <phoneticPr fontId="7" type="noConversion"/>
  </si>
  <si>
    <t>attended to request for address change of Yongxing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</si>
</sst>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8" zoomScale="115" zoomScaleNormal="115" workbookViewId="0">
      <selection activeCell="H10" sqref="H10"/>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25.5" x14ac:dyDescent="0.2">
      <c r="B4" s="28" t="s">
        <v>72</v>
      </c>
      <c r="C4" s="14" t="s">
        <v>14</v>
      </c>
      <c r="D4" s="29" t="s">
        <v>73</v>
      </c>
      <c r="E4" s="9" t="s">
        <v>40</v>
      </c>
      <c r="F4" s="14" t="s">
        <v>74</v>
      </c>
      <c r="G4" s="30">
        <v>1</v>
      </c>
      <c r="H4" s="14" t="s">
        <v>20</v>
      </c>
      <c r="I4" s="31" t="s">
        <v>78</v>
      </c>
    </row>
    <row r="5" spans="2:9" ht="25.5" x14ac:dyDescent="0.2">
      <c r="B5" s="28" t="s">
        <v>72</v>
      </c>
      <c r="C5" s="14" t="s">
        <v>16</v>
      </c>
      <c r="D5" s="29" t="s">
        <v>79</v>
      </c>
      <c r="E5" s="9" t="s">
        <v>40</v>
      </c>
      <c r="F5" s="14" t="s">
        <v>74</v>
      </c>
      <c r="G5" s="30">
        <v>2</v>
      </c>
      <c r="H5" s="14" t="s">
        <v>36</v>
      </c>
      <c r="I5" s="31" t="s">
        <v>80</v>
      </c>
    </row>
    <row r="6" spans="2:9" ht="25.5" x14ac:dyDescent="0.2">
      <c r="B6" s="28" t="s">
        <v>72</v>
      </c>
      <c r="C6" s="14" t="s">
        <v>16</v>
      </c>
      <c r="D6" s="29" t="s">
        <v>81</v>
      </c>
      <c r="E6" s="9" t="s">
        <v>40</v>
      </c>
      <c r="F6" s="14" t="s">
        <v>74</v>
      </c>
      <c r="G6" s="30">
        <v>1</v>
      </c>
      <c r="H6" s="14" t="s">
        <v>36</v>
      </c>
      <c r="I6" s="31" t="s">
        <v>84</v>
      </c>
    </row>
    <row r="7" spans="2:9" ht="51" x14ac:dyDescent="0.2">
      <c r="B7" s="28" t="s">
        <v>72</v>
      </c>
      <c r="C7" s="14" t="s">
        <v>14</v>
      </c>
      <c r="D7" s="29" t="s">
        <v>81</v>
      </c>
      <c r="E7" s="9" t="s">
        <v>40</v>
      </c>
      <c r="F7" s="14" t="s">
        <v>74</v>
      </c>
      <c r="G7" s="30">
        <v>4</v>
      </c>
      <c r="H7" s="14" t="s">
        <v>20</v>
      </c>
      <c r="I7" s="31" t="s">
        <v>82</v>
      </c>
    </row>
    <row r="8" spans="2:9" ht="25.5" x14ac:dyDescent="0.2">
      <c r="B8" s="28" t="s">
        <v>72</v>
      </c>
      <c r="C8" s="14" t="s">
        <v>75</v>
      </c>
      <c r="D8" s="29"/>
      <c r="E8" s="9" t="s">
        <v>40</v>
      </c>
      <c r="F8" s="14" t="s">
        <v>74</v>
      </c>
      <c r="G8" s="30">
        <v>3</v>
      </c>
      <c r="H8" s="14" t="s">
        <v>36</v>
      </c>
      <c r="I8" s="31" t="s">
        <v>83</v>
      </c>
    </row>
    <row r="9" spans="2:9" ht="25.5" x14ac:dyDescent="0.2">
      <c r="B9" s="28" t="s">
        <v>76</v>
      </c>
      <c r="C9" s="14" t="s">
        <v>75</v>
      </c>
      <c r="D9" s="29"/>
      <c r="E9" s="9" t="s">
        <v>40</v>
      </c>
      <c r="F9" s="14" t="s">
        <v>74</v>
      </c>
      <c r="G9" s="30">
        <v>2</v>
      </c>
      <c r="H9" s="14" t="s">
        <v>20</v>
      </c>
      <c r="I9" s="31" t="s">
        <v>77</v>
      </c>
    </row>
    <row r="10" spans="2:9" x14ac:dyDescent="0.2">
      <c r="B10" s="28"/>
      <c r="C10" s="14"/>
      <c r="D10" s="9"/>
      <c r="E10" s="9"/>
      <c r="F10" s="14"/>
      <c r="G10" s="30"/>
      <c r="H10" s="14"/>
      <c r="I10" s="31"/>
    </row>
    <row r="11" spans="2:9" x14ac:dyDescent="0.2">
      <c r="B11" s="28"/>
      <c r="C11" s="14"/>
      <c r="D11" s="9"/>
      <c r="E11" s="9"/>
      <c r="F11" s="14"/>
      <c r="G11" s="30"/>
      <c r="H11" s="14"/>
      <c r="I11" s="31"/>
    </row>
    <row r="12" spans="2:9" x14ac:dyDescent="0.2">
      <c r="B12" s="8"/>
      <c r="C12" s="14"/>
      <c r="D12" s="9"/>
      <c r="E12" s="9"/>
      <c r="F12" s="14"/>
      <c r="G12" s="9"/>
      <c r="H12" s="14"/>
      <c r="I12" s="12"/>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23"/>
      <c r="C31" s="24"/>
      <c r="D31" s="25"/>
      <c r="E31" s="25"/>
      <c r="F31" s="27" t="s">
        <v>67</v>
      </c>
      <c r="G31" s="35">
        <f>SUM(G3:G30)</f>
        <v>13</v>
      </c>
      <c r="H31" s="36"/>
      <c r="I31" s="37"/>
    </row>
    <row r="32" spans="2:9" ht="15" thickBot="1" x14ac:dyDescent="0.25">
      <c r="B32" s="19"/>
      <c r="C32" s="20"/>
      <c r="D32" s="21"/>
      <c r="E32" s="21"/>
      <c r="F32" s="26" t="s">
        <v>68</v>
      </c>
      <c r="G32" s="32">
        <v>3</v>
      </c>
      <c r="H32" s="33"/>
      <c r="I32" s="34"/>
    </row>
    <row r="33" ht="15" thickTop="1" x14ac:dyDescent="0.2"/>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2025-02-10T09:10:56Z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