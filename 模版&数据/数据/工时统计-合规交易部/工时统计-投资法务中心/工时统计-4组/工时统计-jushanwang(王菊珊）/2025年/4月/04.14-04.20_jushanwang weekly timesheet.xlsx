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4\"/>
    </mc:Choice>
  </mc:AlternateContent>
  <xr:revisionPtr revIDLastSave="0" documentId="13_ncr:1_{81129017-F11E-43C9-B1A5-A74AB81F197B}" xr6:coauthVersionLast="47" xr6:coauthVersionMax="47" xr10:uidLastSave="{00000000-0000-0000-0000-000000000000}"/>
  <bookViews>
    <workbookView xWindow="35550" yWindow="105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<sst xmlns="http://schemas.openxmlformats.org/spreadsheetml/2006/main" count="204" uniqueCount="104">
  <si>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</si>
  <si>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</si>
  <si>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</si>
  <si>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</si>
  <si>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</si>
  <si>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</si>
  <si>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</si>
  <si>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</si>
  <si>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</si>
  <si>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</si>
  <si>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</si>
  <si>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</si>
  <si>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</si>
  <si>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</si>
  <si>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</si>
  <si>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</si>
  <si>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</si>
  <si>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</si>
  <si>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</si>
  <si>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</si>
  <si>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</si>
  <si>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</si>
  <si>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</si>
  <si>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</si>
  <si>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</si>
  <si>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</si>
  <si>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</si>
  <si>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</si>
  <si>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</si>
  <si>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</si>
  <si>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</si>
  <si>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</si>
  <si>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</si>
  <si>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</si>
  <si>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</si>
  <si>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</si>
  <si>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</si>
  <si>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</si>
  <si>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</si>
  <si>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</si>
  <si>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</si>
  <si>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</si>
  <si>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</si>
  <si>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</si>
  <si>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</si>
  <si>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</si>
  <si>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</si>
  <si>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</si>
  <si>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</si>
  <si>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</si>
  <si>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</si>
  <si>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</si>
  <si>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</si>
  <si>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</si>
  <si>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</si>
  <si>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</si>
  <si>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</si>
  <si>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</si>
  <si>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</si>
  <si>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</si>
  <si>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</si>
  <si>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</si>
  <si>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</si>
  <si>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</si>
  <si>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</si>
  <si>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</si>
  <si>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</si>
  <si>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</si>
  <si>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</si>
  <si>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</si>
  <si>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</si>
  <si>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</si>
  <si>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</si>
  <si>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</si>
  <si>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</si>
  <si>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</si>
  <si>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Investment Related - M&amp;A Matter</t>
    <phoneticPr fontId="7" type="noConversion"/>
  </si>
  <si>
    <t>Hacker</t>
    <phoneticPr fontId="7" type="noConversion"/>
  </si>
  <si>
    <t>Revising documents, discussions with shareholders and team</t>
    <phoneticPr fontId="7" type="noConversion"/>
  </si>
  <si>
    <t>海外投资合规管理 Overseas investment compliance management</t>
  </si>
  <si>
    <t>Funcom</t>
    <phoneticPr fontId="7" type="noConversion"/>
  </si>
  <si>
    <t>华业天成</t>
    <phoneticPr fontId="7" type="noConversion"/>
  </si>
  <si>
    <t>Top 100 Listed Securities Summary</t>
    <phoneticPr fontId="7" type="noConversion"/>
  </si>
  <si>
    <t>Sumo</t>
    <phoneticPr fontId="7" type="noConversion"/>
  </si>
  <si>
    <t>Training on new HSR Form</t>
    <phoneticPr fontId="7" type="noConversion"/>
  </si>
  <si>
    <t>Providing training sessions/knowledge sharing</t>
  </si>
  <si>
    <t>Further discussions with SD on the Bulk Data Rule</t>
    <phoneticPr fontId="7" type="noConversion"/>
  </si>
  <si>
    <t>Intra-group loan extension</t>
    <phoneticPr fontId="7" type="noConversion"/>
  </si>
  <si>
    <t>反洗钱模型NDA</t>
    <phoneticPr fontId="7" type="noConversion"/>
  </si>
  <si>
    <t>反洗钱及制裁法务支持 Legal support for anti-money laundering and sanctions compliance</t>
  </si>
  <si>
    <t>Further questions on confidential info</t>
    <phoneticPr fontId="7" type="noConversion"/>
  </si>
  <si>
    <t>Law firm invoices and payments</t>
    <phoneticPr fontId="7" type="noConversion"/>
  </si>
  <si>
    <t>资本市场、投融资活动创新突破 Innovative breakthroughs in investments and capital market transactions</t>
  </si>
  <si>
    <t>Further updating the Top 100 Listed Securities Summary</t>
    <phoneticPr fontId="7" type="noConversion"/>
  </si>
  <si>
    <t>Time recording; Updating Key Terms Summary on TIM</t>
    <phoneticPr fontId="7" type="noConversion"/>
  </si>
  <si>
    <t>Reviewing and discussions on the Settlement Agreement</t>
    <phoneticPr fontId="7" type="noConversion"/>
  </si>
  <si>
    <t>三毛游</t>
    <phoneticPr fontId="7" type="noConversion"/>
  </si>
  <si>
    <t>Visiting company and meeting with founder</t>
    <phoneticPr fontId="7" type="noConversion"/>
  </si>
  <si>
    <t>声加科技</t>
    <phoneticPr fontId="7" type="noConversion"/>
  </si>
  <si>
    <t>Internal discussions on founders' proposal of share transfer to nominee shareholder</t>
    <phoneticPr fontId="7" type="noConversion"/>
  </si>
  <si>
    <t>食气生化</t>
    <phoneticPr fontId="7" type="noConversion"/>
  </si>
  <si>
    <t>Reviewing resolutions and internal discussions; and  finalising transaction documents for signing.</t>
    <phoneticPr fontId="7" type="noConversion"/>
  </si>
  <si>
    <t>Reviewing LPA, disucssions on the key issues</t>
    <phoneticPr fontId="7" type="noConversion"/>
  </si>
  <si>
    <t>Reviewing transaction documents for the Pre-A2+ round and internal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</si>
</sst>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5" zoomScaleNormal="100" workbookViewId="0">
      <selection activeCell="I13" sqref="I13"/>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76</v>
      </c>
      <c r="D4" s="26" t="s">
        <v>77</v>
      </c>
      <c r="E4" s="26" t="s">
        <v>39</v>
      </c>
      <c r="F4" s="25" t="s">
        <v>72</v>
      </c>
      <c r="G4" s="26">
        <v>4</v>
      </c>
      <c r="H4" s="25" t="s">
        <v>20</v>
      </c>
      <c r="I4" s="27" t="s">
        <v>101</v>
      </c>
    </row>
    <row r="5" spans="2:9" ht="25.5" x14ac:dyDescent="0.4">
      <c r="B5" s="12" t="s">
        <v>71</v>
      </c>
      <c r="C5" s="25" t="s">
        <v>16</v>
      </c>
      <c r="D5" s="26" t="s">
        <v>75</v>
      </c>
      <c r="E5" s="26" t="s">
        <v>39</v>
      </c>
      <c r="F5" s="25" t="s">
        <v>72</v>
      </c>
      <c r="G5" s="26">
        <v>5</v>
      </c>
      <c r="H5" s="25" t="s">
        <v>20</v>
      </c>
      <c r="I5" s="27" t="s">
        <v>78</v>
      </c>
    </row>
    <row r="6" spans="2:9" ht="25.5" x14ac:dyDescent="0.4">
      <c r="B6" s="12" t="s">
        <v>71</v>
      </c>
      <c r="C6" s="25" t="s">
        <v>76</v>
      </c>
      <c r="D6" s="26" t="s">
        <v>81</v>
      </c>
      <c r="E6" s="26" t="s">
        <v>39</v>
      </c>
      <c r="F6" s="25" t="s">
        <v>72</v>
      </c>
      <c r="G6" s="26">
        <v>4</v>
      </c>
      <c r="H6" s="25" t="s">
        <v>20</v>
      </c>
      <c r="I6" s="27" t="s">
        <v>102</v>
      </c>
    </row>
    <row r="7" spans="2:9" ht="28.5" customHeight="1" x14ac:dyDescent="0.4">
      <c r="B7" s="12" t="s">
        <v>71</v>
      </c>
      <c r="C7" s="25" t="s">
        <v>76</v>
      </c>
      <c r="D7" s="26" t="s">
        <v>100</v>
      </c>
      <c r="E7" s="26" t="s">
        <v>39</v>
      </c>
      <c r="F7" s="25" t="s">
        <v>72</v>
      </c>
      <c r="G7" s="26">
        <v>4</v>
      </c>
      <c r="H7" s="25" t="s">
        <v>20</v>
      </c>
      <c r="I7" s="27" t="s">
        <v>103</v>
      </c>
    </row>
    <row r="8" spans="2:9" ht="27.4" customHeight="1" x14ac:dyDescent="0.4">
      <c r="B8" s="12" t="s">
        <v>71</v>
      </c>
      <c r="C8" s="25" t="s">
        <v>16</v>
      </c>
      <c r="D8" s="26" t="s">
        <v>98</v>
      </c>
      <c r="E8" s="26" t="s">
        <v>39</v>
      </c>
      <c r="F8" s="25" t="s">
        <v>72</v>
      </c>
      <c r="G8" s="26">
        <v>1</v>
      </c>
      <c r="H8" s="25" t="s">
        <v>35</v>
      </c>
      <c r="I8" s="27" t="s">
        <v>99</v>
      </c>
    </row>
    <row r="9" spans="2:9" ht="25.5" x14ac:dyDescent="0.4">
      <c r="B9" s="12" t="s">
        <v>71</v>
      </c>
      <c r="C9" s="25" t="s">
        <v>16</v>
      </c>
      <c r="D9" s="26" t="s">
        <v>96</v>
      </c>
      <c r="E9" s="26" t="s">
        <v>39</v>
      </c>
      <c r="F9" s="25" t="s">
        <v>72</v>
      </c>
      <c r="G9" s="26">
        <v>6</v>
      </c>
      <c r="H9" s="25" t="s">
        <v>26</v>
      </c>
      <c r="I9" s="27" t="s">
        <v>97</v>
      </c>
    </row>
    <row r="10" spans="2:9" ht="25.5" x14ac:dyDescent="0.4">
      <c r="B10" s="12" t="s">
        <v>71</v>
      </c>
      <c r="C10" s="25" t="s">
        <v>16</v>
      </c>
      <c r="D10" s="26" t="s">
        <v>83</v>
      </c>
      <c r="E10" s="26" t="s">
        <v>39</v>
      </c>
      <c r="F10" s="25" t="s">
        <v>79</v>
      </c>
      <c r="G10" s="26">
        <v>4</v>
      </c>
      <c r="H10" s="25" t="s">
        <v>20</v>
      </c>
      <c r="I10" s="27" t="s">
        <v>95</v>
      </c>
    </row>
    <row r="11" spans="2:9" ht="25.5" x14ac:dyDescent="0.4">
      <c r="B11" s="12" t="s">
        <v>71</v>
      </c>
      <c r="C11" s="25" t="s">
        <v>16</v>
      </c>
      <c r="D11" s="26" t="s">
        <v>80</v>
      </c>
      <c r="E11" s="26" t="s">
        <v>39</v>
      </c>
      <c r="F11" s="25" t="s">
        <v>79</v>
      </c>
      <c r="G11" s="26">
        <v>2</v>
      </c>
      <c r="H11" s="25" t="s">
        <v>20</v>
      </c>
      <c r="I11" s="27" t="s">
        <v>87</v>
      </c>
    </row>
    <row r="12" spans="2:9" ht="51" x14ac:dyDescent="0.4">
      <c r="B12" s="12" t="s">
        <v>71</v>
      </c>
      <c r="C12" s="25" t="s">
        <v>16</v>
      </c>
      <c r="D12" s="25" t="s">
        <v>82</v>
      </c>
      <c r="E12" s="26" t="s">
        <v>39</v>
      </c>
      <c r="F12" s="25" t="s">
        <v>92</v>
      </c>
      <c r="G12" s="26">
        <v>4</v>
      </c>
      <c r="H12" s="25" t="s">
        <v>20</v>
      </c>
      <c r="I12" s="27" t="s">
        <v>93</v>
      </c>
    </row>
    <row r="13" spans="2:9" ht="35.25" customHeight="1" x14ac:dyDescent="0.4">
      <c r="B13" s="12" t="s">
        <v>71</v>
      </c>
      <c r="C13" s="25" t="s">
        <v>17</v>
      </c>
      <c r="D13" s="25" t="s">
        <v>88</v>
      </c>
      <c r="E13" s="26" t="s">
        <v>39</v>
      </c>
      <c r="F13" s="25" t="s">
        <v>89</v>
      </c>
      <c r="G13" s="26">
        <v>0.5</v>
      </c>
      <c r="H13" s="25" t="s">
        <v>20</v>
      </c>
      <c r="I13" s="27" t="s">
        <v>90</v>
      </c>
    </row>
    <row r="14" spans="2:9" ht="25.5" x14ac:dyDescent="0.4">
      <c r="B14" s="12" t="s">
        <v>71</v>
      </c>
      <c r="C14" s="25" t="s">
        <v>59</v>
      </c>
      <c r="D14" s="25"/>
      <c r="E14" s="26" t="s">
        <v>65</v>
      </c>
      <c r="F14" s="25"/>
      <c r="G14" s="26">
        <v>1</v>
      </c>
      <c r="H14" s="25" t="s">
        <v>85</v>
      </c>
      <c r="I14" s="27" t="s">
        <v>86</v>
      </c>
    </row>
    <row r="15" spans="2:9" ht="25.5" x14ac:dyDescent="0.4">
      <c r="B15" s="12" t="s">
        <v>71</v>
      </c>
      <c r="C15" s="25" t="s">
        <v>59</v>
      </c>
      <c r="D15" s="25"/>
      <c r="E15" s="26" t="s">
        <v>26</v>
      </c>
      <c r="F15" s="25"/>
      <c r="G15" s="26">
        <v>1</v>
      </c>
      <c r="H15" s="25" t="s">
        <v>33</v>
      </c>
      <c r="I15" s="27" t="s">
        <v>84</v>
      </c>
    </row>
    <row r="16" spans="2:9" ht="25.5" x14ac:dyDescent="0.4">
      <c r="B16" s="12" t="s">
        <v>71</v>
      </c>
      <c r="C16" s="25" t="s">
        <v>18</v>
      </c>
      <c r="D16" s="25"/>
      <c r="E16" s="26" t="s">
        <v>26</v>
      </c>
      <c r="F16" s="25"/>
      <c r="G16" s="26">
        <v>1</v>
      </c>
      <c r="H16" s="25" t="s">
        <v>37</v>
      </c>
      <c r="I16" s="27" t="s">
        <v>91</v>
      </c>
    </row>
    <row r="17" spans="2:9" ht="25.5" x14ac:dyDescent="0.4">
      <c r="B17" s="12" t="s">
        <v>71</v>
      </c>
      <c r="C17" s="25" t="s">
        <v>18</v>
      </c>
      <c r="D17" s="26"/>
      <c r="E17" s="26" t="s">
        <v>26</v>
      </c>
      <c r="F17" s="25"/>
      <c r="G17" s="26">
        <v>2</v>
      </c>
      <c r="H17" s="25" t="s">
        <v>73</v>
      </c>
      <c r="I17" s="27" t="s">
        <v>94</v>
      </c>
    </row>
    <row r="18" spans="2:9" x14ac:dyDescent="0.4">
      <c r="B18" s="20"/>
      <c r="C18" s="21"/>
      <c r="D18" s="22"/>
      <c r="E18" s="22"/>
      <c r="F18" s="24" t="s">
        <v>66</v>
      </c>
      <c r="G18" s="31">
        <f>SUM(G3:G17)</f>
        <v>39.5</v>
      </c>
      <c r="H18" s="32"/>
      <c r="I18" s="33"/>
    </row>
    <row r="19" spans="2:9" ht="14.25" thickBot="1" x14ac:dyDescent="0.45">
      <c r="B19" s="16"/>
      <c r="C19" s="17"/>
      <c r="D19" s="18"/>
      <c r="E19" s="18"/>
      <c r="F19" s="23" t="s">
        <v>67</v>
      </c>
      <c r="G19" s="28">
        <v>5</v>
      </c>
      <c r="H19" s="29"/>
      <c r="I19" s="30"/>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E18:E19</xm:sqref>
        </x14:dataValidation>
        <x14:dataValidation type="list" allowBlank="1" showInputMessage="1" showErrorMessage="1" xr:uid="{00000000-0002-0000-0000-000002000000}">
          <x14:formula1>
            <xm:f>数据标签!$B$2:$H$2</xm:f>
          </x14:formula1>
          <xm:sqref>C18:C19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2025-04-22T07:17:58Z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