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4\"/>
    </mc:Choice>
  </mc:AlternateContent>
  <xr:revisionPtr revIDLastSave="0" documentId="13_ncr:1_{6BE73094-29FC-4219-889B-EBD8C25818E7}" xr6:coauthVersionLast="47" xr6:coauthVersionMax="47" xr10:uidLastSave="{00000000-0000-0000-0000-000000000000}"/>
  <bookViews>
    <workbookView xWindow="27690" yWindow="1360" windowWidth="28820" windowHeight="178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<sst xmlns="http://schemas.openxmlformats.org/spreadsheetml/2006/main" count="154" uniqueCount="88">
  <si>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</si>
  <si>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</si>
  <si>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</si>
  <si>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</si>
  <si>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</si>
  <si>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</si>
  <si>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</si>
  <si>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</si>
  <si>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</si>
  <si>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</si>
  <si>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</si>
  <si>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</si>
  <si>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</si>
  <si>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</si>
  <si>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</si>
  <si>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</si>
  <si>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</si>
  <si>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</si>
  <si>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</si>
  <si>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</si>
  <si>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</si>
  <si>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</si>
  <si>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</si>
  <si>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</si>
  <si>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</si>
  <si>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</si>
  <si>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</si>
  <si>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</si>
  <si>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</si>
  <si>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</si>
  <si>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</si>
  <si>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</si>
  <si>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</si>
  <si>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</si>
  <si>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</si>
  <si>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</si>
  <si>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</si>
  <si>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</si>
  <si>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</si>
  <si>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</si>
  <si>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</si>
  <si>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</si>
  <si>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</si>
  <si>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</si>
  <si>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</si>
  <si>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</si>
  <si>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</si>
  <si>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</si>
  <si>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</si>
  <si>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</si>
  <si>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</si>
  <si>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</si>
  <si>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</si>
  <si>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</si>
  <si>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</si>
  <si>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</si>
  <si>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</si>
  <si>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</si>
  <si>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</si>
  <si>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</si>
  <si>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</si>
  <si>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</si>
  <si>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</si>
  <si>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</si>
  <si>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</si>
  <si>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</si>
  <si>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</si>
  <si>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</si>
  <si>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</si>
  <si>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</si>
  <si>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</si>
  <si>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</si>
  <si>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</si>
  <si>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</si>
  <si>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</si>
  <si>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</si>
  <si>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Investment Related - M&amp;A Matter</t>
    <phoneticPr fontId="7" type="noConversion"/>
  </si>
  <si>
    <t>海外投资合规管理 Overseas investment compliance management</t>
  </si>
  <si>
    <t>Adcentrx</t>
    <phoneticPr fontId="7" type="noConversion"/>
  </si>
  <si>
    <t>Reviewing documents and internal discussions on the background of the CB round</t>
    <phoneticPr fontId="7" type="noConversion"/>
  </si>
  <si>
    <t>Sumo</t>
    <phoneticPr fontId="7" type="noConversion"/>
  </si>
  <si>
    <t>Lunar</t>
    <phoneticPr fontId="7" type="noConversion"/>
  </si>
  <si>
    <t>Miniclip</t>
    <phoneticPr fontId="7" type="noConversion"/>
  </si>
  <si>
    <t>Time recording + Bi-weekly updates + portfolio 公司updates</t>
    <phoneticPr fontId="7" type="noConversion"/>
  </si>
  <si>
    <t>Liaising with external shareholders</t>
    <phoneticPr fontId="7" type="noConversion"/>
  </si>
  <si>
    <t>Attending the AGM and 2025 Q1 Updates; Reviewing the Proxy for the AGM</t>
    <phoneticPr fontId="7" type="noConversion"/>
  </si>
  <si>
    <t>Reviewing and confirming IC and Board Resolutions for Project Enigma</t>
    <phoneticPr fontId="7" type="noConversion"/>
  </si>
  <si>
    <t>Reviewing the Settlement Agreements for CC and PP, discussions with Sumo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</si>
</sst>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I5" sqref="I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76</v>
      </c>
      <c r="D4" s="26" t="s">
        <v>80</v>
      </c>
      <c r="E4" s="26" t="s">
        <v>39</v>
      </c>
      <c r="F4" s="25" t="s">
        <v>72</v>
      </c>
      <c r="G4" s="26">
        <v>8</v>
      </c>
      <c r="H4" s="25" t="s">
        <v>20</v>
      </c>
      <c r="I4" s="27" t="s">
        <v>87</v>
      </c>
    </row>
    <row r="5" spans="2:9" ht="36.4" customHeight="1" x14ac:dyDescent="0.4">
      <c r="B5" s="12" t="s">
        <v>71</v>
      </c>
      <c r="C5" s="25" t="s">
        <v>76</v>
      </c>
      <c r="D5" s="26" t="s">
        <v>78</v>
      </c>
      <c r="E5" s="26" t="s">
        <v>39</v>
      </c>
      <c r="F5" s="25" t="s">
        <v>77</v>
      </c>
      <c r="G5" s="26">
        <v>1.5</v>
      </c>
      <c r="H5" s="25" t="s">
        <v>20</v>
      </c>
      <c r="I5" s="27" t="s">
        <v>79</v>
      </c>
    </row>
    <row r="6" spans="2:9" ht="25.5" x14ac:dyDescent="0.4">
      <c r="B6" s="12" t="s">
        <v>71</v>
      </c>
      <c r="C6" s="25" t="s">
        <v>16</v>
      </c>
      <c r="D6" s="26" t="s">
        <v>75</v>
      </c>
      <c r="E6" s="26" t="s">
        <v>39</v>
      </c>
      <c r="F6" s="25" t="s">
        <v>72</v>
      </c>
      <c r="G6" s="26">
        <v>1</v>
      </c>
      <c r="H6" s="25" t="s">
        <v>20</v>
      </c>
      <c r="I6" s="27" t="s">
        <v>84</v>
      </c>
    </row>
    <row r="7" spans="2:9" ht="28.5" customHeight="1" x14ac:dyDescent="0.4">
      <c r="B7" s="12" t="s">
        <v>71</v>
      </c>
      <c r="C7" s="25" t="s">
        <v>16</v>
      </c>
      <c r="D7" s="26" t="s">
        <v>81</v>
      </c>
      <c r="E7" s="26" t="s">
        <v>39</v>
      </c>
      <c r="F7" s="25" t="s">
        <v>72</v>
      </c>
      <c r="G7" s="26">
        <v>2.5</v>
      </c>
      <c r="H7" s="25" t="s">
        <v>20</v>
      </c>
      <c r="I7" s="27" t="s">
        <v>85</v>
      </c>
    </row>
    <row r="8" spans="2:9" ht="27.4" customHeight="1" x14ac:dyDescent="0.4">
      <c r="B8" s="12" t="s">
        <v>71</v>
      </c>
      <c r="C8" s="25" t="s">
        <v>16</v>
      </c>
      <c r="D8" s="26" t="s">
        <v>82</v>
      </c>
      <c r="E8" s="26" t="s">
        <v>39</v>
      </c>
      <c r="F8" s="25" t="s">
        <v>72</v>
      </c>
      <c r="G8" s="26">
        <v>1</v>
      </c>
      <c r="H8" s="25" t="s">
        <v>20</v>
      </c>
      <c r="I8" s="27" t="s">
        <v>86</v>
      </c>
    </row>
    <row r="9" spans="2:9" ht="25.5" x14ac:dyDescent="0.4">
      <c r="B9" s="12" t="s">
        <v>71</v>
      </c>
      <c r="C9" s="25" t="s">
        <v>18</v>
      </c>
      <c r="D9" s="26"/>
      <c r="E9" s="26" t="s">
        <v>26</v>
      </c>
      <c r="F9" s="25"/>
      <c r="G9" s="26">
        <v>2</v>
      </c>
      <c r="H9" s="25" t="s">
        <v>73</v>
      </c>
      <c r="I9" s="27" t="s">
        <v>83</v>
      </c>
    </row>
    <row r="10" spans="2:9" x14ac:dyDescent="0.4">
      <c r="B10" s="20"/>
      <c r="C10" s="21"/>
      <c r="D10" s="22"/>
      <c r="E10" s="22"/>
      <c r="F10" s="24" t="s">
        <v>66</v>
      </c>
      <c r="G10" s="31">
        <f>SUM(G3:G9)</f>
        <v>16</v>
      </c>
      <c r="H10" s="32"/>
      <c r="I10" s="33"/>
    </row>
    <row r="11" spans="2:9" ht="14.25" thickBot="1" x14ac:dyDescent="0.45">
      <c r="B11" s="16"/>
      <c r="C11" s="17"/>
      <c r="D11" s="18"/>
      <c r="E11" s="18"/>
      <c r="F11" s="23" t="s">
        <v>67</v>
      </c>
      <c r="G11" s="28">
        <v>2</v>
      </c>
      <c r="H11" s="29"/>
      <c r="I11" s="30"/>
    </row>
    <row r="12" spans="2:9" ht="14.25" thickTop="1" x14ac:dyDescent="0.4"/>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E10:E11</xm:sqref>
        </x14:dataValidation>
        <x14:dataValidation type="list" allowBlank="1" showInputMessage="1" showErrorMessage="1" xr:uid="{00000000-0002-0000-0000-000002000000}">
          <x14:formula1>
            <xm:f>数据标签!$B$2:$H$2</xm:f>
          </x14:formula1>
          <xm:sqref>C10:C11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2025-05-06T08:29:52Z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