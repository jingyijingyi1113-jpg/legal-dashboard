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1\"/>
    </mc:Choice>
  </mc:AlternateContent>
  <xr:revisionPtr revIDLastSave="0" documentId="13_ncr:1_{5C4F5E37-D6B8-4555-9D9C-81C0238B4E9A}" xr6:coauthVersionLast="47" xr6:coauthVersionMax="47" xr10:uidLastSave="{00000000-0000-0000-0000-000000000000}"/>
  <bookViews>
    <workbookView xWindow="40370" yWindow="3550" windowWidth="25100" windowHeight="1643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<sst xmlns="http://schemas.openxmlformats.org/spreadsheetml/2006/main" count="173" uniqueCount="92">
  <si>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</si>
  <si>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</si>
  <si>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</si>
  <si>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</si>
  <si>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</si>
  <si>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</si>
  <si>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</si>
  <si>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</si>
  <si>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</si>
  <si>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</si>
  <si>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</si>
  <si>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</si>
  <si>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</si>
  <si>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</si>
  <si>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</si>
  <si>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</si>
  <si>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</si>
  <si>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</si>
  <si>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</si>
  <si>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</si>
  <si>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</si>
  <si>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</si>
  <si>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</si>
  <si>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</si>
  <si>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</si>
  <si>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</si>
  <si>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</si>
  <si>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</si>
  <si>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</si>
  <si>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</si>
  <si>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</si>
  <si>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</si>
  <si>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</si>
  <si>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</si>
  <si>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</si>
  <si>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</si>
  <si>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</si>
  <si>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</si>
  <si>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</si>
  <si>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</si>
  <si>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</si>
  <si>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</si>
  <si>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</si>
  <si>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</si>
  <si>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</si>
  <si>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</si>
  <si>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</si>
  <si>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</si>
  <si>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</si>
  <si>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</si>
  <si>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</si>
  <si>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</si>
  <si>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</si>
  <si>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</si>
  <si>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</si>
  <si>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</si>
  <si>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</si>
  <si>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</si>
  <si>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</si>
  <si>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</si>
  <si>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</si>
  <si>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</si>
  <si>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</si>
  <si>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</si>
  <si>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</si>
  <si>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</si>
  <si>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</si>
  <si>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</si>
  <si>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</si>
  <si>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</si>
  <si>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</si>
  <si>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</si>
  <si>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</si>
  <si>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</si>
  <si>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</si>
  <si>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</si>
  <si>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Recording/reviewing deals updates/weekly time reports/other team summaries</t>
  </si>
  <si>
    <t>欧科健</t>
    <phoneticPr fontId="7" type="noConversion"/>
  </si>
  <si>
    <t>食气生化</t>
    <phoneticPr fontId="7" type="noConversion"/>
  </si>
  <si>
    <t>Hacker</t>
    <phoneticPr fontId="7" type="noConversion"/>
  </si>
  <si>
    <t>海外投资合规管理 Overseas investment compliance management</t>
  </si>
  <si>
    <t>Timee</t>
    <phoneticPr fontId="7" type="noConversion"/>
  </si>
  <si>
    <t>Time recording</t>
    <phoneticPr fontId="7" type="noConversion"/>
  </si>
  <si>
    <t>Reviewing TRS Agreement</t>
    <phoneticPr fontId="7" type="noConversion"/>
  </si>
  <si>
    <t>Discussions with counsel and the bank on the TRS terms</t>
    <phoneticPr fontId="7" type="noConversion"/>
  </si>
  <si>
    <t>Lockwood</t>
    <phoneticPr fontId="7" type="noConversion"/>
  </si>
  <si>
    <t>Reviewing SHA and confirming the approval level for the CEO's salary request</t>
    <phoneticPr fontId="7" type="noConversion"/>
  </si>
  <si>
    <t>Internal discussions on Company's clarification on the updated ESOP plan</t>
    <phoneticPr fontId="7" type="noConversion"/>
  </si>
  <si>
    <t>Disucssions with company counsel on the terms; liasing for signature pack</t>
    <phoneticPr fontId="7" type="noConversion"/>
  </si>
  <si>
    <t>Reviewing the final version of the transaction documents</t>
    <phoneticPr fontId="7" type="noConversion"/>
  </si>
  <si>
    <t>Liaising with company and other shareholders re signing and closing</t>
    <phoneticPr fontId="7" type="noConversion"/>
  </si>
  <si>
    <t>CFIUS &amp; DSP Risk Assessment Matrix及内部流程指引;
制裁及出口管制线上筛查系统宣贯</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</si>
</sst>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F6" sqref="F6"/>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77</v>
      </c>
      <c r="E4" s="9" t="s">
        <v>37</v>
      </c>
      <c r="F4" s="14" t="s">
        <v>70</v>
      </c>
      <c r="G4" s="31">
        <v>5</v>
      </c>
      <c r="H4" s="14" t="s">
        <v>66</v>
      </c>
      <c r="I4" s="30" t="s">
        <v>89</v>
      </c>
    </row>
    <row r="5" spans="2:9" ht="25.5" x14ac:dyDescent="0.4">
      <c r="B5" s="16" t="s">
        <v>75</v>
      </c>
      <c r="C5" s="14" t="s">
        <v>12</v>
      </c>
      <c r="D5" s="29" t="s">
        <v>77</v>
      </c>
      <c r="E5" s="9" t="s">
        <v>37</v>
      </c>
      <c r="F5" s="14" t="s">
        <v>70</v>
      </c>
      <c r="G5" s="31">
        <v>7</v>
      </c>
      <c r="H5" s="14" t="s">
        <v>68</v>
      </c>
      <c r="I5" s="30" t="s">
        <v>90</v>
      </c>
    </row>
    <row r="6" spans="2:9" ht="25.5" x14ac:dyDescent="0.4">
      <c r="B6" s="16" t="s">
        <v>75</v>
      </c>
      <c r="C6" s="14" t="s">
        <v>12</v>
      </c>
      <c r="D6" s="29" t="s">
        <v>81</v>
      </c>
      <c r="E6" s="9" t="s">
        <v>37</v>
      </c>
      <c r="F6" s="14" t="s">
        <v>80</v>
      </c>
      <c r="G6" s="31">
        <v>5</v>
      </c>
      <c r="H6" s="14" t="s">
        <v>66</v>
      </c>
      <c r="I6" s="30" t="s">
        <v>83</v>
      </c>
    </row>
    <row r="7" spans="2:9" ht="25.5" x14ac:dyDescent="0.4">
      <c r="B7" s="16" t="s">
        <v>75</v>
      </c>
      <c r="C7" s="14" t="s">
        <v>12</v>
      </c>
      <c r="D7" s="29" t="s">
        <v>81</v>
      </c>
      <c r="E7" s="9" t="s">
        <v>37</v>
      </c>
      <c r="F7" s="14" t="s">
        <v>80</v>
      </c>
      <c r="G7" s="31">
        <v>10</v>
      </c>
      <c r="H7" s="14" t="s">
        <v>68</v>
      </c>
      <c r="I7" s="30" t="s">
        <v>84</v>
      </c>
    </row>
    <row r="8" spans="2:9" ht="25.5" x14ac:dyDescent="0.4">
      <c r="B8" s="16" t="s">
        <v>75</v>
      </c>
      <c r="C8" s="14" t="s">
        <v>14</v>
      </c>
      <c r="D8" s="29" t="s">
        <v>78</v>
      </c>
      <c r="E8" s="9" t="s">
        <v>37</v>
      </c>
      <c r="F8" s="14" t="s">
        <v>70</v>
      </c>
      <c r="G8" s="31">
        <v>3</v>
      </c>
      <c r="H8" s="14" t="s">
        <v>68</v>
      </c>
      <c r="I8" s="30" t="s">
        <v>88</v>
      </c>
    </row>
    <row r="9" spans="2:9" ht="25.5" x14ac:dyDescent="0.4">
      <c r="B9" s="16" t="s">
        <v>75</v>
      </c>
      <c r="C9" s="14" t="s">
        <v>14</v>
      </c>
      <c r="D9" s="29" t="s">
        <v>79</v>
      </c>
      <c r="E9" s="9" t="s">
        <v>37</v>
      </c>
      <c r="F9" s="14" t="s">
        <v>80</v>
      </c>
      <c r="G9" s="9">
        <v>2</v>
      </c>
      <c r="H9" s="14" t="s">
        <v>68</v>
      </c>
      <c r="I9" s="30" t="s">
        <v>87</v>
      </c>
    </row>
    <row r="10" spans="2:9" ht="25.5" x14ac:dyDescent="0.4">
      <c r="B10" s="16" t="s">
        <v>75</v>
      </c>
      <c r="C10" s="14" t="s">
        <v>14</v>
      </c>
      <c r="D10" s="29" t="s">
        <v>85</v>
      </c>
      <c r="E10" s="9" t="s">
        <v>37</v>
      </c>
      <c r="F10" s="14" t="s">
        <v>80</v>
      </c>
      <c r="G10" s="9">
        <v>2</v>
      </c>
      <c r="H10" s="14" t="s">
        <v>66</v>
      </c>
      <c r="I10" s="30" t="s">
        <v>86</v>
      </c>
    </row>
    <row r="11" spans="2:9" ht="38.25" x14ac:dyDescent="0.4">
      <c r="B11" s="16" t="s">
        <v>75</v>
      </c>
      <c r="C11" s="14" t="s">
        <v>16</v>
      </c>
      <c r="D11" s="29"/>
      <c r="E11" s="9"/>
      <c r="F11" s="14"/>
      <c r="G11" s="9">
        <v>2</v>
      </c>
      <c r="H11" s="14" t="s">
        <v>21</v>
      </c>
      <c r="I11" s="30" t="s">
        <v>91</v>
      </c>
    </row>
    <row r="12" spans="2:9" ht="25.5" x14ac:dyDescent="0.4">
      <c r="B12" s="16" t="s">
        <v>75</v>
      </c>
      <c r="C12" s="32" t="s">
        <v>16</v>
      </c>
      <c r="D12" s="29"/>
      <c r="E12" s="29"/>
      <c r="F12" s="32"/>
      <c r="G12" s="29">
        <v>1</v>
      </c>
      <c r="H12" s="32" t="s">
        <v>76</v>
      </c>
      <c r="I12" s="30" t="s">
        <v>82</v>
      </c>
    </row>
    <row r="13" spans="2:9" x14ac:dyDescent="0.4">
      <c r="B13" s="8"/>
      <c r="C13" s="14"/>
      <c r="D13" s="9"/>
      <c r="E13" s="9"/>
      <c r="F13" s="14"/>
      <c r="G13" s="9"/>
      <c r="H13" s="14"/>
      <c r="I13" s="12"/>
    </row>
    <row r="14" spans="2:9" x14ac:dyDescent="0.4">
      <c r="B14" s="8"/>
      <c r="C14" s="14"/>
      <c r="D14" s="9"/>
      <c r="E14" s="9"/>
      <c r="F14" s="14"/>
      <c r="G14" s="9"/>
      <c r="H14" s="14"/>
      <c r="I14" s="12"/>
    </row>
    <row r="15" spans="2:9" x14ac:dyDescent="0.4">
      <c r="B15" s="24"/>
      <c r="C15" s="25"/>
      <c r="D15" s="26"/>
      <c r="E15" s="26"/>
      <c r="F15" s="28" t="s">
        <v>61</v>
      </c>
      <c r="G15" s="36">
        <f>SUM(G4:G14)</f>
        <v>37</v>
      </c>
      <c r="H15" s="37"/>
      <c r="I15" s="38"/>
    </row>
    <row r="16" spans="2:9" ht="14.25" thickBot="1" x14ac:dyDescent="0.45">
      <c r="B16" s="20"/>
      <c r="C16" s="21"/>
      <c r="D16" s="22"/>
      <c r="E16" s="22"/>
      <c r="F16" s="27" t="s">
        <v>62</v>
      </c>
      <c r="G16" s="33">
        <v>5</v>
      </c>
      <c r="H16" s="34"/>
      <c r="I16" s="35"/>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C13:C16 C4:C11</xm:sqref>
        </x14:dataValidation>
        <x14:dataValidation type="list" allowBlank="1" showInputMessage="1" showErrorMessage="1" xr:uid="{00000000-0002-0000-0000-000003000000}">
          <x14:formula1>
            <xm:f>数据标签!$B$12:$C$12</xm:f>
          </x14:formula1>
          <xm:sqref>E13:E16 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2025-11-26T09:30:19Z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