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8\"/>
    </mc:Choice>
  </mc:AlternateContent>
  <xr:revisionPtr revIDLastSave="0" documentId="13_ncr:1_{E749B7B1-BB10-446F-9736-BC1F7E76F0DD}" xr6:coauthVersionLast="47" xr6:coauthVersionMax="47" xr10:uidLastSave="{00000000-0000-0000-0000-000000000000}"/>
  <bookViews>
    <workbookView xWindow="30430" yWindow="1470" windowWidth="28580" windowHeight="1597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<sst xmlns="http://schemas.openxmlformats.org/spreadsheetml/2006/main" count="195" uniqueCount="102">
  <si>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</si>
  <si>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</si>
  <si>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</si>
  <si>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</si>
  <si>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</si>
  <si>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</si>
  <si>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</si>
  <si>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</si>
  <si>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</si>
  <si>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</si>
  <si>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</si>
  <si>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</si>
  <si>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</si>
  <si>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</si>
  <si>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</si>
  <si>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</si>
  <si>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</si>
  <si>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</si>
  <si>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</si>
  <si>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</si>
  <si>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</si>
  <si>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</si>
  <si>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</si>
  <si>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</si>
  <si>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</si>
  <si>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</si>
  <si>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</si>
  <si>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</si>
  <si>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</si>
  <si>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</si>
  <si>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</si>
  <si>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</si>
  <si>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</si>
  <si>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</si>
  <si>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</si>
  <si>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</si>
  <si>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</si>
  <si>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</si>
  <si>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</si>
  <si>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</si>
  <si>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</si>
  <si>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</si>
  <si>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</si>
  <si>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</si>
  <si>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</si>
  <si>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</si>
  <si>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</si>
  <si>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</si>
  <si>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</si>
  <si>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</si>
  <si>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</si>
  <si>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</si>
  <si>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</si>
  <si>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</si>
  <si>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</si>
  <si>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</si>
  <si>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</si>
  <si>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</si>
  <si>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</si>
  <si>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</si>
  <si>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</si>
  <si>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</si>
  <si>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</si>
  <si>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</si>
  <si>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</si>
  <si>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</si>
  <si>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</si>
  <si>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</si>
  <si>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</si>
  <si>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</si>
  <si>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</si>
  <si>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</si>
  <si>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</si>
  <si>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</si>
  <si>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 xml:space="preserve">Investment Related - M&amp;A Deal </t>
    <phoneticPr fontId="7" type="noConversion"/>
  </si>
  <si>
    <t>Investment Related - M&amp;A Deal</t>
    <phoneticPr fontId="7" type="noConversion"/>
  </si>
  <si>
    <t>欧科健</t>
    <phoneticPr fontId="7" type="noConversion"/>
  </si>
  <si>
    <t>RRJ Fund V</t>
    <phoneticPr fontId="7" type="noConversion"/>
  </si>
  <si>
    <t xml:space="preserve">
光速光合美元基金VI
</t>
    <phoneticPr fontId="7" type="noConversion"/>
  </si>
  <si>
    <t>自选填写项目：简要描述工作内容
(Optional) Please insert the narrative of your work</t>
    <phoneticPr fontId="7" type="noConversion"/>
  </si>
  <si>
    <t>BrightStar Fund</t>
    <phoneticPr fontId="7" type="noConversion"/>
  </si>
  <si>
    <t>BSC</t>
    <phoneticPr fontId="7" type="noConversion"/>
  </si>
  <si>
    <t>海外投资合规管理 Overseas investment compliance management</t>
  </si>
  <si>
    <t>Newsdog</t>
    <phoneticPr fontId="7" type="noConversion"/>
  </si>
  <si>
    <t>Outcast Fund</t>
    <phoneticPr fontId="7" type="noConversion"/>
  </si>
  <si>
    <t>广州巨湾技研</t>
    <phoneticPr fontId="7" type="noConversion"/>
  </si>
  <si>
    <t>Reviewing transaction documents, internal discussions</t>
    <phoneticPr fontId="7" type="noConversion"/>
  </si>
  <si>
    <t>CFIUS discussions, reviewing fund documents</t>
    <phoneticPr fontId="7" type="noConversion"/>
  </si>
  <si>
    <t>Bauhinia</t>
    <phoneticPr fontId="7" type="noConversion"/>
  </si>
  <si>
    <t>Internal discussions and Term Sheet</t>
    <phoneticPr fontId="7" type="noConversion"/>
  </si>
  <si>
    <t>好衣库</t>
    <phoneticPr fontId="7" type="noConversion"/>
  </si>
  <si>
    <t>京颐科技</t>
    <phoneticPr fontId="7" type="noConversion"/>
  </si>
  <si>
    <t>Time recording</t>
    <phoneticPr fontId="7" type="noConversion"/>
  </si>
  <si>
    <t>IC memo</t>
    <phoneticPr fontId="7" type="noConversion"/>
  </si>
  <si>
    <t>Reviewing and commenting on the Side Letter, internal discussions, KYC documents</t>
    <phoneticPr fontId="7" type="noConversion"/>
  </si>
  <si>
    <t>Reviewing resolutions to approve the new ESOP plan, internal discussions</t>
  </si>
  <si>
    <t xml:space="preserve">Reviewing Redemption clause, preparing the Redemption Notice </t>
    <phoneticPr fontId="7" type="noConversion"/>
  </si>
  <si>
    <t>卓健科技</t>
    <phoneticPr fontId="7" type="noConversion"/>
  </si>
  <si>
    <t>Internal discussions on resignation of Tencent's director, historical CB</t>
    <phoneticPr fontId="7" type="noConversion"/>
  </si>
  <si>
    <t>Board Resolution approving new chair of board</t>
    <phoneticPr fontId="7" type="noConversion"/>
  </si>
  <si>
    <t>Reviewing GP's comments</t>
    <phoneticPr fontId="7" type="noConversion"/>
  </si>
  <si>
    <t>Reviewing docs for the 2nd closing, liaising for the signing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</si>
</sst>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I15" sqref="I15"/>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79</v>
      </c>
    </row>
    <row r="4" spans="2:9" ht="36.4" customHeight="1" x14ac:dyDescent="0.4">
      <c r="B4" s="12" t="s">
        <v>70</v>
      </c>
      <c r="C4" s="25" t="s">
        <v>74</v>
      </c>
      <c r="D4" s="25" t="s">
        <v>77</v>
      </c>
      <c r="E4" s="26" t="s">
        <v>38</v>
      </c>
      <c r="F4" s="25" t="s">
        <v>71</v>
      </c>
      <c r="G4" s="26">
        <v>3</v>
      </c>
      <c r="H4" s="25" t="s">
        <v>19</v>
      </c>
      <c r="I4" s="27" t="s">
        <v>93</v>
      </c>
    </row>
    <row r="5" spans="2:9" ht="36.4" customHeight="1" x14ac:dyDescent="0.4">
      <c r="B5" s="12" t="s">
        <v>70</v>
      </c>
      <c r="C5" s="25" t="s">
        <v>75</v>
      </c>
      <c r="D5" s="26" t="s">
        <v>80</v>
      </c>
      <c r="E5" s="26" t="s">
        <v>38</v>
      </c>
      <c r="F5" s="25" t="s">
        <v>71</v>
      </c>
      <c r="G5" s="26">
        <v>2</v>
      </c>
      <c r="H5" s="25" t="s">
        <v>19</v>
      </c>
      <c r="I5" s="27" t="s">
        <v>87</v>
      </c>
    </row>
    <row r="6" spans="2:9" ht="36.4" customHeight="1" x14ac:dyDescent="0.4">
      <c r="B6" s="12" t="s">
        <v>70</v>
      </c>
      <c r="C6" s="25" t="s">
        <v>75</v>
      </c>
      <c r="D6" s="25" t="s">
        <v>78</v>
      </c>
      <c r="E6" s="26" t="s">
        <v>38</v>
      </c>
      <c r="F6" s="25" t="s">
        <v>71</v>
      </c>
      <c r="G6" s="26">
        <v>8</v>
      </c>
      <c r="H6" s="25" t="s">
        <v>19</v>
      </c>
      <c r="I6" s="27" t="s">
        <v>94</v>
      </c>
    </row>
    <row r="7" spans="2:9" ht="25.5" x14ac:dyDescent="0.4">
      <c r="B7" s="12" t="s">
        <v>70</v>
      </c>
      <c r="C7" s="25" t="s">
        <v>75</v>
      </c>
      <c r="D7" s="26" t="s">
        <v>76</v>
      </c>
      <c r="E7" s="26" t="s">
        <v>81</v>
      </c>
      <c r="F7" s="25" t="s">
        <v>71</v>
      </c>
      <c r="G7" s="26">
        <v>6</v>
      </c>
      <c r="H7" s="25" t="s">
        <v>19</v>
      </c>
      <c r="I7" s="27" t="s">
        <v>86</v>
      </c>
    </row>
    <row r="8" spans="2:9" ht="25.5" x14ac:dyDescent="0.4">
      <c r="B8" s="12" t="s">
        <v>70</v>
      </c>
      <c r="C8" s="25" t="s">
        <v>75</v>
      </c>
      <c r="D8" s="26" t="s">
        <v>84</v>
      </c>
      <c r="E8" s="26" t="s">
        <v>81</v>
      </c>
      <c r="F8" s="25" t="s">
        <v>71</v>
      </c>
      <c r="G8" s="26">
        <v>1</v>
      </c>
      <c r="H8" s="25" t="s">
        <v>19</v>
      </c>
      <c r="I8" s="27" t="s">
        <v>100</v>
      </c>
    </row>
    <row r="9" spans="2:9" ht="25.5" x14ac:dyDescent="0.4">
      <c r="B9" s="12" t="s">
        <v>70</v>
      </c>
      <c r="C9" s="25" t="s">
        <v>75</v>
      </c>
      <c r="D9" s="26" t="s">
        <v>88</v>
      </c>
      <c r="E9" s="26" t="s">
        <v>81</v>
      </c>
      <c r="F9" s="25" t="s">
        <v>71</v>
      </c>
      <c r="G9" s="26">
        <v>4</v>
      </c>
      <c r="H9" s="25" t="s">
        <v>19</v>
      </c>
      <c r="I9" s="27" t="s">
        <v>89</v>
      </c>
    </row>
    <row r="10" spans="2:9" ht="27.4" customHeight="1" x14ac:dyDescent="0.4">
      <c r="B10" s="12" t="s">
        <v>70</v>
      </c>
      <c r="C10" s="25" t="s">
        <v>15</v>
      </c>
      <c r="D10" s="26" t="s">
        <v>85</v>
      </c>
      <c r="E10" s="26" t="s">
        <v>38</v>
      </c>
      <c r="F10" s="25" t="s">
        <v>71</v>
      </c>
      <c r="G10" s="26">
        <v>1</v>
      </c>
      <c r="H10" s="25" t="s">
        <v>19</v>
      </c>
      <c r="I10" s="27" t="s">
        <v>101</v>
      </c>
    </row>
    <row r="11" spans="2:9" ht="25.5" x14ac:dyDescent="0.4">
      <c r="B11" s="12" t="s">
        <v>70</v>
      </c>
      <c r="C11" s="25" t="s">
        <v>15</v>
      </c>
      <c r="D11" s="26" t="s">
        <v>90</v>
      </c>
      <c r="E11" s="26" t="s">
        <v>38</v>
      </c>
      <c r="F11" s="25" t="s">
        <v>82</v>
      </c>
      <c r="G11" s="26">
        <v>2</v>
      </c>
      <c r="H11" s="25" t="s">
        <v>19</v>
      </c>
      <c r="I11" s="27" t="s">
        <v>96</v>
      </c>
    </row>
    <row r="12" spans="2:9" ht="25.5" x14ac:dyDescent="0.4">
      <c r="B12" s="12" t="s">
        <v>70</v>
      </c>
      <c r="C12" s="25" t="s">
        <v>15</v>
      </c>
      <c r="D12" s="26" t="s">
        <v>97</v>
      </c>
      <c r="E12" s="26" t="s">
        <v>38</v>
      </c>
      <c r="F12" s="25" t="s">
        <v>82</v>
      </c>
      <c r="G12" s="26">
        <v>1</v>
      </c>
      <c r="H12" s="25" t="s">
        <v>19</v>
      </c>
      <c r="I12" s="27" t="s">
        <v>98</v>
      </c>
    </row>
    <row r="13" spans="2:9" ht="25.5" x14ac:dyDescent="0.4">
      <c r="B13" s="12" t="s">
        <v>70</v>
      </c>
      <c r="C13" s="25" t="s">
        <v>15</v>
      </c>
      <c r="D13" s="26" t="s">
        <v>83</v>
      </c>
      <c r="E13" s="26" t="s">
        <v>38</v>
      </c>
      <c r="F13" s="25" t="s">
        <v>71</v>
      </c>
      <c r="G13" s="26">
        <v>1</v>
      </c>
      <c r="H13" s="25" t="s">
        <v>19</v>
      </c>
      <c r="I13" s="27" t="s">
        <v>95</v>
      </c>
    </row>
    <row r="14" spans="2:9" ht="25.5" x14ac:dyDescent="0.4">
      <c r="B14" s="12" t="s">
        <v>70</v>
      </c>
      <c r="C14" s="25" t="s">
        <v>15</v>
      </c>
      <c r="D14" s="26" t="s">
        <v>91</v>
      </c>
      <c r="E14" s="26" t="s">
        <v>38</v>
      </c>
      <c r="F14" s="25" t="s">
        <v>71</v>
      </c>
      <c r="G14" s="26">
        <v>0.5</v>
      </c>
      <c r="H14" s="25" t="s">
        <v>19</v>
      </c>
      <c r="I14" s="27" t="s">
        <v>99</v>
      </c>
    </row>
    <row r="15" spans="2:9" ht="25.5" x14ac:dyDescent="0.4">
      <c r="B15" s="12" t="s">
        <v>70</v>
      </c>
      <c r="C15" s="25" t="s">
        <v>17</v>
      </c>
      <c r="D15" s="26"/>
      <c r="E15" s="26"/>
      <c r="F15" s="25"/>
      <c r="G15" s="26">
        <v>1</v>
      </c>
      <c r="H15" s="25" t="s">
        <v>72</v>
      </c>
      <c r="I15" s="27" t="s">
        <v>92</v>
      </c>
    </row>
    <row r="16" spans="2:9" x14ac:dyDescent="0.4">
      <c r="B16" s="20"/>
      <c r="C16" s="21"/>
      <c r="D16" s="22"/>
      <c r="E16" s="22"/>
      <c r="F16" s="24" t="s">
        <v>65</v>
      </c>
      <c r="G16" s="31">
        <f>SUM(G3:G15)</f>
        <v>30.5</v>
      </c>
      <c r="H16" s="32"/>
      <c r="I16" s="33"/>
    </row>
    <row r="17" spans="2:9" ht="14.25" thickBot="1" x14ac:dyDescent="0.45">
      <c r="B17" s="16"/>
      <c r="C17" s="17"/>
      <c r="D17" s="18"/>
      <c r="E17" s="18"/>
      <c r="F17" s="23" t="s">
        <v>66</v>
      </c>
      <c r="G17" s="28">
        <v>3</v>
      </c>
      <c r="H17" s="29"/>
      <c r="I17" s="30"/>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E16:E17</xm:sqref>
        </x14:dataValidation>
        <x14:dataValidation type="list" allowBlank="1" showInputMessage="1" showErrorMessage="1" xr:uid="{00000000-0002-0000-0000-000002000000}">
          <x14:formula1>
            <xm:f>数据标签!$B$2:$H$2</xm:f>
          </x14:formula1>
          <xm:sqref>C16:C17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2025-09-01T11:42:55Z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