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2BF2CDF0-345A-4DC0-A41F-20852009EA74}" xr6:coauthVersionLast="47" xr6:coauthVersionMax="47" xr10:uidLastSave="{00000000-0000-0000-0000-000000000000}"/>
  <bookViews>
    <workbookView xWindow="670" yWindow="670" windowWidth="18045" windowHeight="1041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<sst xmlns="http://schemas.openxmlformats.org/spreadsheetml/2006/main" count="169" uniqueCount="92">
  <si>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</si>
  <si>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</si>
  <si>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</si>
  <si>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</si>
  <si>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</si>
  <si>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</si>
  <si>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</si>
  <si>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</si>
  <si>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</si>
  <si>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</si>
  <si>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</si>
  <si>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</si>
  <si>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</si>
  <si>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</si>
  <si>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</si>
  <si>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</si>
  <si>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</si>
  <si>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</si>
  <si>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</si>
  <si>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</si>
  <si>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</si>
  <si>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</si>
  <si>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</si>
  <si>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</si>
  <si>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</si>
  <si>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</si>
  <si>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</si>
  <si>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</si>
  <si>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</si>
  <si>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</si>
  <si>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</si>
  <si>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</si>
  <si>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</si>
  <si>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</si>
  <si>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</si>
  <si>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</si>
  <si>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</si>
  <si>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</si>
  <si>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</si>
  <si>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</si>
  <si>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</si>
  <si>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</si>
  <si>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</si>
  <si>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</si>
  <si>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</si>
  <si>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</si>
  <si>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</si>
  <si>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</si>
  <si>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</si>
  <si>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</si>
  <si>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</si>
  <si>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</si>
  <si>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</si>
  <si>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</si>
  <si>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</si>
  <si>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</si>
  <si>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</si>
  <si>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</si>
  <si>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</si>
  <si>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</si>
  <si>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</si>
  <si>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</si>
  <si>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</si>
  <si>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</si>
  <si>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</si>
  <si>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</si>
  <si>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</si>
  <si>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</si>
  <si>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</si>
  <si>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</si>
  <si>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</si>
  <si>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</si>
  <si>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</si>
  <si>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</si>
  <si>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US investment team weekly biz meeting</t>
  </si>
  <si>
    <t>Recording/reviewing deals updates/weekly time reports/other team summaries</t>
  </si>
  <si>
    <t>Administrative</t>
  </si>
  <si>
    <t>Legal bills</t>
  </si>
  <si>
    <t>Misc</t>
  </si>
  <si>
    <t>Weekly business team meeting.</t>
  </si>
  <si>
    <t>Outpace Bio</t>
  </si>
  <si>
    <t>Outcast Ventures</t>
  </si>
  <si>
    <t>Review invoices, sent issues to COV; discuss billing fees.</t>
  </si>
  <si>
    <t>Aether Biomachines</t>
  </si>
  <si>
    <t>Discuss with biz team our preferred scenarios, full exit now, exit plus an earn out or pay over time a premium, Satellogic structure but still risk there are may need to reveal if DOJ questions, or just hold do nothing and get asked.</t>
  </si>
  <si>
    <t>Tencent Americas Giving (TAG)</t>
  </si>
  <si>
    <t>Time-entry; deal updates.</t>
  </si>
  <si>
    <t>Discussing volunteer event; upcoming Rebuilding together; approve FGT donation; approve jacket order; create PPT for all-hands meeting.</t>
  </si>
  <si>
    <t>New update the company collects human tissue microarrays &gt; 493 unknown origin but do not think genomic data can be derived from it; Respond back to biz team on carving out our inability invest T3 if company under DSP at that time; confirm ability to invest in T2/T3 if &lt;100 US persons; send advice/summary to biz team.</t>
  </si>
  <si>
    <t>Key Portfolio Risk assessment review preparation</t>
  </si>
  <si>
    <t>Sort/respond to emails and inquiries.</t>
  </si>
  <si>
    <t>Revie subscription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</si>
</sst>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19" xfId="0" applyFont="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0" fillId="3" borderId="19" xfId="0" applyFont="1" applyFill="1" applyBorder="1" applyAlignment="1">
      <alignment vertical="center" wrapText="1"/>
    </xf>
    <xf numFmtId="0" fontId="5" fillId="3" borderId="4" xfId="0" applyFont="1" applyFill="1" applyBorder="1">
      <alignment vertical="center"/>
    </xf>
    <xf numFmtId="0" fontId="5" fillId="3" borderId="4" xfId="0" applyFont="1" applyFill="1" applyBorder="1" applyAlignment="1">
      <alignment horizontal="center" vertical="center"/>
    </xf>
    <xf numFmtId="0" fontId="1" fillId="3" borderId="8" xfId="0" applyFont="1" applyFill="1" applyBorder="1" applyAlignment="1">
      <alignment vertical="center" wrapText="1"/>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5" zoomScale="70" zoomScaleNormal="70" workbookViewId="0">
      <selection activeCell="G12" sqref="G12"/>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3" t="s">
        <v>81</v>
      </c>
      <c r="E4" s="9" t="s">
        <v>40</v>
      </c>
      <c r="F4" s="12" t="s">
        <v>73</v>
      </c>
      <c r="G4" s="31">
        <v>4.5</v>
      </c>
      <c r="H4" s="12" t="s">
        <v>25</v>
      </c>
      <c r="I4" s="27" t="s">
        <v>91</v>
      </c>
    </row>
    <row r="5" spans="2:9" ht="94.5">
      <c r="B5" s="14" t="s">
        <v>72</v>
      </c>
      <c r="C5" s="12" t="s">
        <v>16</v>
      </c>
      <c r="D5" s="33" t="s">
        <v>80</v>
      </c>
      <c r="E5" s="9" t="s">
        <v>40</v>
      </c>
      <c r="F5" s="12" t="s">
        <v>73</v>
      </c>
      <c r="G5" s="31">
        <v>4</v>
      </c>
      <c r="H5" s="12" t="s">
        <v>25</v>
      </c>
      <c r="I5" s="27" t="s">
        <v>88</v>
      </c>
    </row>
    <row r="6" spans="2:9" s="40" customFormat="1" ht="67.5">
      <c r="B6" s="34" t="s">
        <v>72</v>
      </c>
      <c r="C6" s="35" t="s">
        <v>16</v>
      </c>
      <c r="D6" s="36" t="s">
        <v>83</v>
      </c>
      <c r="E6" s="37" t="s">
        <v>40</v>
      </c>
      <c r="F6" s="35" t="s">
        <v>73</v>
      </c>
      <c r="G6" s="38">
        <v>3</v>
      </c>
      <c r="H6" s="35" t="s">
        <v>25</v>
      </c>
      <c r="I6" s="39" t="s">
        <v>84</v>
      </c>
    </row>
    <row r="7" spans="2:9" ht="40.5">
      <c r="B7" s="14" t="s">
        <v>72</v>
      </c>
      <c r="C7" s="12" t="s">
        <v>16</v>
      </c>
      <c r="D7" s="28" t="s">
        <v>74</v>
      </c>
      <c r="E7" s="9" t="s">
        <v>27</v>
      </c>
      <c r="F7" s="12" t="s">
        <v>73</v>
      </c>
      <c r="G7" s="31">
        <v>3</v>
      </c>
      <c r="H7" s="12" t="s">
        <v>24</v>
      </c>
      <c r="I7" s="27" t="s">
        <v>79</v>
      </c>
    </row>
    <row r="8" spans="2:9" ht="54">
      <c r="B8" s="14" t="s">
        <v>72</v>
      </c>
      <c r="C8" s="12" t="s">
        <v>14</v>
      </c>
      <c r="D8" s="28" t="s">
        <v>89</v>
      </c>
      <c r="E8" s="9"/>
      <c r="F8" s="12"/>
      <c r="G8" s="31">
        <v>2</v>
      </c>
      <c r="H8" s="12"/>
      <c r="I8" s="27"/>
    </row>
    <row r="9" spans="2:9" ht="40.5">
      <c r="B9" s="14" t="s">
        <v>72</v>
      </c>
      <c r="C9" s="12" t="s">
        <v>18</v>
      </c>
      <c r="D9" s="28" t="s">
        <v>85</v>
      </c>
      <c r="E9" s="9" t="s">
        <v>27</v>
      </c>
      <c r="F9" s="12"/>
      <c r="G9" s="31">
        <v>5</v>
      </c>
      <c r="H9" s="12" t="s">
        <v>27</v>
      </c>
      <c r="I9" s="27" t="s">
        <v>87</v>
      </c>
    </row>
    <row r="10" spans="2:9" ht="27">
      <c r="B10" s="14" t="s">
        <v>72</v>
      </c>
      <c r="C10" s="12" t="s">
        <v>18</v>
      </c>
      <c r="D10" s="29" t="s">
        <v>76</v>
      </c>
      <c r="E10" s="9" t="s">
        <v>27</v>
      </c>
      <c r="F10" s="12"/>
      <c r="G10" s="31">
        <v>3</v>
      </c>
      <c r="H10" s="12" t="s">
        <v>75</v>
      </c>
      <c r="I10" s="27" t="s">
        <v>86</v>
      </c>
    </row>
    <row r="11" spans="2:9" ht="27">
      <c r="B11" s="14" t="s">
        <v>72</v>
      </c>
      <c r="C11" s="12" t="s">
        <v>18</v>
      </c>
      <c r="D11" s="29" t="s">
        <v>77</v>
      </c>
      <c r="E11" s="9" t="s">
        <v>27</v>
      </c>
      <c r="G11" s="31">
        <v>2</v>
      </c>
      <c r="H11" s="12" t="s">
        <v>38</v>
      </c>
      <c r="I11" s="27" t="s">
        <v>82</v>
      </c>
    </row>
    <row r="12" spans="2:9">
      <c r="B12" s="14" t="s">
        <v>72</v>
      </c>
      <c r="C12" s="12" t="s">
        <v>18</v>
      </c>
      <c r="D12" s="29" t="s">
        <v>78</v>
      </c>
      <c r="E12" s="9" t="s">
        <v>27</v>
      </c>
      <c r="F12" s="12"/>
      <c r="G12" s="31">
        <v>5</v>
      </c>
      <c r="H12" s="12" t="s">
        <v>27</v>
      </c>
      <c r="I12" s="27" t="s">
        <v>90</v>
      </c>
    </row>
    <row r="13" spans="2:9">
      <c r="B13" s="8"/>
      <c r="C13" s="12"/>
      <c r="D13" s="9"/>
      <c r="E13" s="9"/>
      <c r="F13" s="12"/>
      <c r="G13" s="31"/>
      <c r="H13" s="12"/>
      <c r="I13" s="25"/>
    </row>
    <row r="14" spans="2:9">
      <c r="B14" s="8"/>
      <c r="C14" s="12"/>
      <c r="D14" s="9"/>
      <c r="E14" s="9"/>
      <c r="F14" s="12"/>
      <c r="G14" s="31"/>
      <c r="H14" s="12"/>
      <c r="I14" s="25"/>
    </row>
    <row r="15" spans="2:9">
      <c r="B15" s="8"/>
      <c r="C15" s="12"/>
      <c r="D15" s="9"/>
      <c r="E15" s="9"/>
      <c r="F15" s="12"/>
      <c r="G15" s="31"/>
      <c r="H15" s="12"/>
      <c r="I15" s="25"/>
    </row>
    <row r="16" spans="2:9">
      <c r="B16" s="8"/>
      <c r="C16" s="12"/>
      <c r="D16" s="9"/>
      <c r="E16" s="9"/>
      <c r="F16" s="12"/>
      <c r="G16" s="31"/>
      <c r="H16" s="12"/>
      <c r="I16" s="25"/>
    </row>
    <row r="17" spans="2:9">
      <c r="B17" s="8"/>
      <c r="C17" s="12"/>
      <c r="D17" s="9"/>
      <c r="E17" s="9"/>
      <c r="F17" s="12"/>
      <c r="G17" s="31"/>
      <c r="H17" s="12"/>
      <c r="I17" s="25"/>
    </row>
    <row r="18" spans="2:9">
      <c r="B18" s="20"/>
      <c r="C18" s="21"/>
      <c r="D18" s="22"/>
      <c r="E18" s="22"/>
      <c r="F18" s="24" t="s">
        <v>67</v>
      </c>
      <c r="G18" s="44">
        <f>SUM(G3:G17)</f>
        <v>31.5</v>
      </c>
      <c r="H18" s="45"/>
      <c r="I18" s="46"/>
    </row>
    <row r="19" spans="2:9" ht="15.5" thickBot="1">
      <c r="B19" s="17"/>
      <c r="C19" s="18"/>
      <c r="D19" s="19"/>
      <c r="E19" s="19"/>
      <c r="F19" s="23" t="s">
        <v>68</v>
      </c>
      <c r="G19" s="41">
        <v>4</v>
      </c>
      <c r="H19" s="42"/>
      <c r="I19" s="43"/>
    </row>
    <row r="20" spans="2:9" ht="15.5" thickTop="1"/>
  </sheetData>
  <mergeCells count="2">
    <mergeCell ref="G19:I19"/>
    <mergeCell ref="G18:I18"/>
  </mergeCells>
  <phoneticPr fontId="7" type="noConversion"/>
  <dataValidations count="3">
    <dataValidation type="list" allowBlank="1" showInputMessage="1" showErrorMessage="1" sqref="F12:F17 F4:F9" xr:uid="{F83073F9-B682-4199-971B-076ADC9C0BFE}">
      <formula1>INDIRECT(E4)</formula1>
    </dataValidation>
    <dataValidation type="list" allowBlank="1" showInputMessage="1" showErrorMessage="1" sqref="F10" xr:uid="{8CE8A12B-034E-465D-A1D0-859CE9C488A8}">
      <formula1>INDIRECT(E11)</formula1>
    </dataValidation>
    <dataValidation type="list" allowBlank="1" showInputMessage="1" showErrorMessage="1" sqref="H4:H17" xr:uid="{6CD1C274-5853-4956-B137-C6C59D3FCF7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82133A2-5039-400A-BFF2-791B63B7B1CD}">
          <x14:formula1>
            <xm:f>数据标签!$B$11:$D$11</xm:f>
          </x14:formula1>
          <xm:sqref>E4:E19</xm:sqref>
        </x14:dataValidation>
        <x14:dataValidation type="list" allowBlank="1" showInputMessage="1" showErrorMessage="1" xr:uid="{FF6AA621-4A8B-4F89-A7EB-EAD05C7EE20B}">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40.5">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2025-09-23T01:10:51Z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