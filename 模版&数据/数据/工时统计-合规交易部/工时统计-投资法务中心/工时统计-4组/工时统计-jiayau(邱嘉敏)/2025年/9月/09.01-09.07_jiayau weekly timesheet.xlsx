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ia\Documents\WXWork\1688851418278620\WeDrive\腾讯\工时统计-jiayau(邱嘉敏)\2025年\9月\"/>
    </mc:Choice>
  </mc:AlternateContent>
  <xr:revisionPtr revIDLastSave="0" documentId="13_ncr:1_{EFD8BA1C-FFC6-4B8F-A642-009775FC1944}"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<sst xmlns="http://schemas.openxmlformats.org/spreadsheetml/2006/main" count="178" uniqueCount="95">
  <si>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</si>
  <si>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</si>
  <si>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</si>
  <si>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</si>
  <si>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</si>
  <si>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</si>
  <si>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</si>
  <si>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</si>
  <si>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</si>
  <si>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</si>
  <si>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</si>
  <si>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</si>
  <si>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</si>
  <si>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</si>
  <si>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</si>
  <si>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</si>
  <si>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</si>
  <si>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</si>
  <si>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</si>
  <si>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</si>
  <si>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</si>
  <si>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</si>
  <si>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</si>
  <si>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</si>
  <si>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</si>
  <si>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</si>
  <si>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</si>
  <si>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</si>
  <si>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</si>
  <si>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</si>
  <si>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</si>
  <si>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</si>
  <si>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</si>
  <si>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</si>
  <si>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</si>
  <si>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</si>
  <si>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</si>
  <si>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</si>
  <si>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</si>
  <si>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</si>
  <si>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</si>
  <si>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</si>
  <si>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</si>
  <si>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</si>
  <si>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</si>
  <si>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</si>
  <si>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</si>
  <si>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</si>
  <si>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</si>
  <si>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</si>
  <si>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</si>
  <si>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</si>
  <si>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</si>
  <si>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</si>
  <si>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</si>
  <si>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</si>
  <si>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</si>
  <si>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</si>
  <si>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</si>
  <si>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</si>
  <si>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</si>
  <si>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</si>
  <si>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</si>
  <si>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</si>
  <si>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</si>
  <si>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</si>
  <si>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</si>
  <si>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</si>
  <si>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</si>
  <si>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</si>
  <si>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</si>
  <si>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</si>
  <si>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</si>
  <si>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</si>
  <si>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</si>
  <si>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</si>
  <si>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</si>
  <si>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</si>
  <si>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</si>
  <si>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</si>
  <si>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</si>
  <si>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Outcast Ventures</t>
  </si>
  <si>
    <t>Review invoices, sent issues to COV; discuss billing fees.</t>
  </si>
  <si>
    <t>Aether Biomachines</t>
  </si>
  <si>
    <t>Discuss with biz team our preferred scenarios, full exit now, exit plus an earn out or pay over time a premium, Satellogic structure but still risk there are may need to reveal if DOJ questions, or just hold do nothing and get asked.</t>
  </si>
  <si>
    <t>Sort/respond to emails and inquiries; status update to Catherine/Jed on leave cases.</t>
  </si>
  <si>
    <t>Flutterwave</t>
  </si>
  <si>
    <t>Responding to Mandavi and emailing Steven on company Series E round.</t>
  </si>
  <si>
    <t>Tencent Americas Giving (TAG)</t>
  </si>
  <si>
    <t>Review updates.</t>
  </si>
  <si>
    <t>Domain take-down question</t>
  </si>
  <si>
    <t>Discuss and respond to Stevenf regarding a domain take-down hosted by Tencent; suggest they follow standard Tencent process and info requested.</t>
  </si>
  <si>
    <t>Time-entry; deal updates.</t>
  </si>
  <si>
    <t>Discussing volunteer event; upcoming Rebuilding together; approve FGT donation; approve jacket order; create PPT for all-hands meeting.</t>
  </si>
  <si>
    <t>New update the company collects human tissue microarrays &gt; 493 unknown origin but do not think genomic data can be derived from it; Respond back to biz team on carving out our inability invest T3 if company under DSP at that time; confirm ability to invest in T2/T3 if &lt;100 US persons; send advice/summary to biz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</si>
</sst>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70" zoomScaleNormal="70" workbookViewId="0">
      <selection activeCell="B10" sqref="B10"/>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81</v>
      </c>
      <c r="E4" s="9" t="s">
        <v>40</v>
      </c>
      <c r="F4" s="12" t="s">
        <v>73</v>
      </c>
      <c r="G4" s="31">
        <v>2.5</v>
      </c>
      <c r="H4" s="12" t="s">
        <v>25</v>
      </c>
      <c r="I4" s="27" t="s">
        <v>89</v>
      </c>
    </row>
    <row r="5" spans="2:9" ht="94.5">
      <c r="B5" s="14" t="s">
        <v>72</v>
      </c>
      <c r="C5" s="12" t="s">
        <v>16</v>
      </c>
      <c r="D5" s="33" t="s">
        <v>80</v>
      </c>
      <c r="E5" s="9" t="s">
        <v>40</v>
      </c>
      <c r="F5" s="12" t="s">
        <v>73</v>
      </c>
      <c r="G5" s="31">
        <v>4.5</v>
      </c>
      <c r="H5" s="12" t="s">
        <v>25</v>
      </c>
      <c r="I5" s="27" t="s">
        <v>94</v>
      </c>
    </row>
    <row r="6" spans="2:9" s="40" customFormat="1" ht="67.5">
      <c r="B6" s="34" t="s">
        <v>72</v>
      </c>
      <c r="C6" s="35" t="s">
        <v>16</v>
      </c>
      <c r="D6" s="36" t="s">
        <v>83</v>
      </c>
      <c r="E6" s="37" t="s">
        <v>40</v>
      </c>
      <c r="F6" s="35" t="s">
        <v>73</v>
      </c>
      <c r="G6" s="38">
        <v>3.5</v>
      </c>
      <c r="H6" s="35" t="s">
        <v>25</v>
      </c>
      <c r="I6" s="39" t="s">
        <v>84</v>
      </c>
    </row>
    <row r="7" spans="2:9" s="40" customFormat="1" ht="27">
      <c r="B7" s="34" t="s">
        <v>72</v>
      </c>
      <c r="C7" s="35" t="s">
        <v>16</v>
      </c>
      <c r="D7" s="36" t="s">
        <v>86</v>
      </c>
      <c r="E7" s="37" t="s">
        <v>40</v>
      </c>
      <c r="F7" s="35" t="s">
        <v>73</v>
      </c>
      <c r="G7" s="38">
        <v>1.25</v>
      </c>
      <c r="H7" s="35" t="s">
        <v>36</v>
      </c>
      <c r="I7" s="39" t="s">
        <v>87</v>
      </c>
    </row>
    <row r="8" spans="2:9" ht="40.5">
      <c r="B8" s="14" t="s">
        <v>72</v>
      </c>
      <c r="C8" s="12" t="s">
        <v>16</v>
      </c>
      <c r="D8" s="28" t="s">
        <v>74</v>
      </c>
      <c r="E8" s="9" t="s">
        <v>27</v>
      </c>
      <c r="F8" s="12" t="s">
        <v>73</v>
      </c>
      <c r="G8" s="31">
        <v>3</v>
      </c>
      <c r="H8" s="12" t="s">
        <v>24</v>
      </c>
      <c r="I8" s="27" t="s">
        <v>79</v>
      </c>
    </row>
    <row r="9" spans="2:9" ht="54">
      <c r="B9" s="14" t="s">
        <v>72</v>
      </c>
      <c r="C9" s="12" t="s">
        <v>17</v>
      </c>
      <c r="D9" s="28" t="s">
        <v>90</v>
      </c>
      <c r="E9" s="9" t="s">
        <v>27</v>
      </c>
      <c r="F9" s="12"/>
      <c r="G9" s="31">
        <v>1.5</v>
      </c>
      <c r="H9" s="12"/>
      <c r="I9" s="27" t="s">
        <v>91</v>
      </c>
    </row>
    <row r="10" spans="2:9" ht="40.5">
      <c r="B10" s="14" t="s">
        <v>72</v>
      </c>
      <c r="C10" s="12" t="s">
        <v>18</v>
      </c>
      <c r="D10" s="28" t="s">
        <v>88</v>
      </c>
      <c r="E10" s="9" t="s">
        <v>27</v>
      </c>
      <c r="F10" s="12"/>
      <c r="G10" s="31">
        <v>3</v>
      </c>
      <c r="H10" s="12" t="s">
        <v>27</v>
      </c>
      <c r="I10" s="27" t="s">
        <v>93</v>
      </c>
    </row>
    <row r="11" spans="2:9" ht="27">
      <c r="B11" s="14" t="s">
        <v>72</v>
      </c>
      <c r="C11" s="12" t="s">
        <v>18</v>
      </c>
      <c r="D11" s="29" t="s">
        <v>76</v>
      </c>
      <c r="E11" s="9" t="s">
        <v>27</v>
      </c>
      <c r="F11" s="12"/>
      <c r="G11" s="31">
        <v>3.5</v>
      </c>
      <c r="H11" s="12" t="s">
        <v>75</v>
      </c>
      <c r="I11" s="27" t="s">
        <v>92</v>
      </c>
    </row>
    <row r="12" spans="2:9" ht="27">
      <c r="B12" s="14" t="s">
        <v>72</v>
      </c>
      <c r="C12" s="12" t="s">
        <v>18</v>
      </c>
      <c r="D12" s="29" t="s">
        <v>77</v>
      </c>
      <c r="E12" s="9" t="s">
        <v>27</v>
      </c>
      <c r="G12" s="31">
        <v>2.75</v>
      </c>
      <c r="H12" s="12" t="s">
        <v>38</v>
      </c>
      <c r="I12" s="27" t="s">
        <v>82</v>
      </c>
    </row>
    <row r="13" spans="2:9" ht="27">
      <c r="B13" s="14" t="s">
        <v>72</v>
      </c>
      <c r="C13" s="12" t="s">
        <v>18</v>
      </c>
      <c r="D13" s="29" t="s">
        <v>78</v>
      </c>
      <c r="E13" s="9" t="s">
        <v>27</v>
      </c>
      <c r="F13" s="12"/>
      <c r="G13" s="31">
        <v>6.5</v>
      </c>
      <c r="H13" s="12" t="s">
        <v>27</v>
      </c>
      <c r="I13" s="27" t="s">
        <v>85</v>
      </c>
    </row>
    <row r="14" spans="2:9">
      <c r="B14" s="8"/>
      <c r="C14" s="12"/>
      <c r="D14" s="9"/>
      <c r="E14" s="9"/>
      <c r="F14" s="12"/>
      <c r="G14" s="31"/>
      <c r="H14" s="12"/>
      <c r="I14" s="25"/>
    </row>
    <row r="15" spans="2:9">
      <c r="B15" s="8"/>
      <c r="C15" s="12"/>
      <c r="D15" s="9"/>
      <c r="E15" s="9"/>
      <c r="F15" s="12"/>
      <c r="G15" s="31"/>
      <c r="H15" s="12"/>
      <c r="I15" s="25"/>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20"/>
      <c r="C19" s="21"/>
      <c r="D19" s="22"/>
      <c r="E19" s="22"/>
      <c r="F19" s="24" t="s">
        <v>67</v>
      </c>
      <c r="G19" s="44">
        <f>SUM(G3:G18)</f>
        <v>32</v>
      </c>
      <c r="H19" s="45"/>
      <c r="I19" s="46"/>
    </row>
    <row r="20" spans="2:9" ht="15.5" thickBot="1">
      <c r="B20" s="17"/>
      <c r="C20" s="18"/>
      <c r="D20" s="19"/>
      <c r="E20" s="19"/>
      <c r="F20" s="23" t="s">
        <v>68</v>
      </c>
      <c r="G20" s="41">
        <v>4</v>
      </c>
      <c r="H20" s="42"/>
      <c r="I20" s="43"/>
    </row>
    <row r="21" spans="2:9" ht="15.5" thickTop="1"/>
  </sheetData>
  <mergeCells count="2">
    <mergeCell ref="G20:I20"/>
    <mergeCell ref="G19:I19"/>
  </mergeCells>
  <phoneticPr fontId="7" type="noConversion"/>
  <dataValidations count="3">
    <dataValidation type="list" allowBlank="1" showInputMessage="1" showErrorMessage="1" sqref="F13:F18 F4:F10" xr:uid="{F83073F9-B682-4199-971B-076ADC9C0BFE}">
      <formula1>INDIRECT(E4)</formula1>
    </dataValidation>
    <dataValidation type="list" allowBlank="1" showInputMessage="1" showErrorMessage="1" sqref="F11" xr:uid="{8CE8A12B-034E-465D-A1D0-859CE9C488A8}">
      <formula1>INDIRECT(E12)</formula1>
    </dataValidation>
    <dataValidation type="list" allowBlank="1" showInputMessage="1" showErrorMessage="1" sqref="H4:H18"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E4:E20</xm:sqref>
        </x14:dataValidation>
        <x14:dataValidation type="list" allowBlank="1" showInputMessage="1" showErrorMessage="1" xr:uid="{FF6AA621-4A8B-4F89-A7EB-EAD05C7EE20B}">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2025-09-10T22:01:34Z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