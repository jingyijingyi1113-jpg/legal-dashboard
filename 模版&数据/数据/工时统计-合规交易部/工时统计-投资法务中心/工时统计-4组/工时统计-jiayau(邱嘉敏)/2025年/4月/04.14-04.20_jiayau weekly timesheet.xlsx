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275D0240-B67E-4A08-804D-C0555DFFE2E7}" xr6:coauthVersionLast="47" xr6:coauthVersionMax="47" xr10:uidLastSave="{00000000-0000-0000-0000-000000000000}"/>
  <bookViews>
    <workbookView xWindow="455" yWindow="110" windowWidth="18445" windowHeight="108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<sst xmlns="http://schemas.openxmlformats.org/spreadsheetml/2006/main" count="207" uniqueCount="104">
  <si>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</si>
  <si>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</si>
  <si>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</si>
  <si>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</si>
  <si>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</si>
  <si>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</si>
  <si>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</si>
  <si>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</si>
  <si>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</si>
  <si>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</si>
  <si>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</si>
  <si>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</si>
  <si>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</si>
  <si>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</si>
  <si>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</si>
  <si>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</si>
  <si>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</si>
  <si>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</si>
  <si>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</si>
  <si>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</si>
  <si>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</si>
  <si>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</si>
  <si>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</si>
  <si>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</si>
  <si>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</si>
  <si>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</si>
  <si>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</si>
  <si>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</si>
  <si>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</si>
  <si>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</si>
  <si>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</si>
  <si>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</si>
  <si>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</si>
  <si>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</si>
  <si>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</si>
  <si>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</si>
  <si>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</si>
  <si>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</si>
  <si>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</si>
  <si>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</si>
  <si>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</si>
  <si>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</si>
  <si>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</si>
  <si>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</si>
  <si>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</si>
  <si>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</si>
  <si>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</si>
  <si>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</si>
  <si>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</si>
  <si>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</si>
  <si>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</si>
  <si>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</si>
  <si>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</si>
  <si>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</si>
  <si>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</si>
  <si>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</si>
  <si>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</si>
  <si>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</si>
  <si>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</si>
  <si>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</si>
  <si>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</si>
  <si>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</si>
  <si>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</si>
  <si>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</si>
  <si>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</si>
  <si>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</si>
  <si>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</si>
  <si>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</si>
  <si>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</si>
  <si>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</si>
  <si>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</si>
  <si>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</si>
  <si>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</si>
  <si>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</si>
  <si>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Tencent Americas Giving</t>
  </si>
  <si>
    <t>US investment team weekly biz meeting</t>
  </si>
  <si>
    <t>Weekly business team meeting on all deals and statuses and questions.</t>
  </si>
  <si>
    <t>Recording/reviewing deals updates/weekly time reports/other team summaries</t>
  </si>
  <si>
    <t>Administrative</t>
  </si>
  <si>
    <t>Legal bills</t>
  </si>
  <si>
    <t>Misc</t>
  </si>
  <si>
    <t>Time-entry; deals update.</t>
  </si>
  <si>
    <t>Contrary Fund</t>
  </si>
  <si>
    <t>P74</t>
  </si>
  <si>
    <t>Another Axiom</t>
  </si>
  <si>
    <t>GRO Bioscience</t>
  </si>
  <si>
    <t>Asking about using one total % for parallel funds.</t>
  </si>
  <si>
    <t>Sensitive Data EO/RiboX case</t>
  </si>
  <si>
    <t>General funds questions</t>
  </si>
  <si>
    <t>Discussion with biz team if Chinese biotech company can do clinical trials in US and inquiry to COV relating to investment limits in such case involving US sensitive data but it's a Chinese company; research online; draft email to COV.</t>
  </si>
  <si>
    <t xml:space="preserve">Sign consent docs.  Company wind-down.  </t>
  </si>
  <si>
    <t>Regulatory review; likley bulk sensitive data rule issue; sent follow-up questions to company; discussion with biz team on security/compliance measures for bulk sensitive data rule, likely only ask the company if we're pretty sure we invest, likely will need a rep from the company prior to investment etc.</t>
  </si>
  <si>
    <t xml:space="preserve">Sort emails and inquiries.  </t>
  </si>
  <si>
    <t>Tencent America Office</t>
  </si>
  <si>
    <t>Discussion on immigration/entry to US guidelines with Teresawoo and Irisleong; discussion on US document retention policy with Jasonchang and Irisleong.</t>
  </si>
  <si>
    <t>Spire</t>
  </si>
  <si>
    <t>Review company wind-down documents 191pgs.</t>
  </si>
  <si>
    <t>US tariffs</t>
  </si>
  <si>
    <t>国际监管趋势监测、预判 Monitoring and forecasting international regulatory trends</t>
  </si>
  <si>
    <t>Review CC memo and tariff updates.</t>
  </si>
  <si>
    <t>Q1 2025 estimates; email law firms; legal bills processing.</t>
  </si>
  <si>
    <t>Capital call; make sure how much fund raising so our call amount is 4.9% or less.</t>
  </si>
  <si>
    <t>Monthly TAG meeting; Irvine Habitat for Humanity donation agreement, Belleve RT agreement, discussion on SSV penguin purchase and shipment.</t>
  </si>
  <si>
    <t xml:space="preserve">Further fund questions.  Locus SPV confirmation.  Online research, re-review funds memo and email COV.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</si>
</sst>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_ "/>
  </numFmts>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164" fontId="10" fillId="0" borderId="4" xfId="0" applyNumberFormat="1" applyFont="1" applyBorder="1" applyAlignment="1">
      <alignment horizontal="center"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B11" zoomScale="80" zoomScaleNormal="80" workbookViewId="0">
      <selection activeCell="H24" sqref="H24"/>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14</v>
      </c>
      <c r="D4" s="34" t="s">
        <v>82</v>
      </c>
      <c r="E4" s="9" t="s">
        <v>40</v>
      </c>
      <c r="F4" s="12" t="s">
        <v>73</v>
      </c>
      <c r="G4" s="35">
        <v>1</v>
      </c>
      <c r="H4" s="12" t="s">
        <v>25</v>
      </c>
      <c r="I4" s="27" t="s">
        <v>101</v>
      </c>
    </row>
    <row r="5" spans="2:9" ht="27">
      <c r="B5" s="14" t="s">
        <v>72</v>
      </c>
      <c r="C5" s="12" t="s">
        <v>16</v>
      </c>
      <c r="D5" s="34" t="s">
        <v>83</v>
      </c>
      <c r="E5" s="9" t="s">
        <v>40</v>
      </c>
      <c r="F5" s="12" t="s">
        <v>73</v>
      </c>
      <c r="G5" s="31">
        <v>0.5</v>
      </c>
      <c r="H5" s="12" t="s">
        <v>20</v>
      </c>
      <c r="I5" s="27" t="s">
        <v>86</v>
      </c>
    </row>
    <row r="6" spans="2:9" ht="27">
      <c r="B6" s="14" t="s">
        <v>72</v>
      </c>
      <c r="C6" s="12" t="s">
        <v>16</v>
      </c>
      <c r="D6" s="34" t="s">
        <v>85</v>
      </c>
      <c r="E6" s="9" t="s">
        <v>40</v>
      </c>
      <c r="F6" s="12" t="s">
        <v>73</v>
      </c>
      <c r="G6" s="31">
        <v>1</v>
      </c>
      <c r="H6" s="12" t="s">
        <v>20</v>
      </c>
      <c r="I6" s="27" t="s">
        <v>90</v>
      </c>
    </row>
    <row r="7" spans="2:9" ht="94.5">
      <c r="B7" s="14" t="s">
        <v>72</v>
      </c>
      <c r="C7" s="12" t="s">
        <v>16</v>
      </c>
      <c r="D7" s="34" t="s">
        <v>84</v>
      </c>
      <c r="E7" s="9" t="s">
        <v>40</v>
      </c>
      <c r="F7" s="12" t="s">
        <v>73</v>
      </c>
      <c r="G7" s="31">
        <v>2.5</v>
      </c>
      <c r="H7" s="12" t="s">
        <v>25</v>
      </c>
      <c r="I7" s="27" t="s">
        <v>91</v>
      </c>
    </row>
    <row r="8" spans="2:9" ht="27">
      <c r="B8" s="14" t="s">
        <v>72</v>
      </c>
      <c r="C8" s="12" t="s">
        <v>16</v>
      </c>
      <c r="D8" s="34" t="s">
        <v>95</v>
      </c>
      <c r="E8" s="9" t="s">
        <v>40</v>
      </c>
      <c r="F8" s="12" t="s">
        <v>73</v>
      </c>
      <c r="G8" s="31">
        <v>4.5</v>
      </c>
      <c r="H8" s="12" t="s">
        <v>20</v>
      </c>
      <c r="I8" s="27" t="s">
        <v>96</v>
      </c>
    </row>
    <row r="9" spans="2:9" ht="40.5">
      <c r="B9" s="14" t="s">
        <v>72</v>
      </c>
      <c r="C9" s="12" t="s">
        <v>16</v>
      </c>
      <c r="D9" s="34" t="s">
        <v>97</v>
      </c>
      <c r="E9" s="9" t="s">
        <v>40</v>
      </c>
      <c r="F9" s="12" t="s">
        <v>98</v>
      </c>
      <c r="G9" s="31">
        <v>1</v>
      </c>
      <c r="H9" s="12" t="s">
        <v>28</v>
      </c>
      <c r="I9" s="27" t="s">
        <v>99</v>
      </c>
    </row>
    <row r="10" spans="2:9" ht="40.5">
      <c r="B10" s="14" t="s">
        <v>72</v>
      </c>
      <c r="C10" s="12" t="s">
        <v>16</v>
      </c>
      <c r="D10" s="34" t="s">
        <v>88</v>
      </c>
      <c r="E10" s="9" t="s">
        <v>40</v>
      </c>
      <c r="F10" s="12" t="s">
        <v>73</v>
      </c>
      <c r="G10" s="31">
        <v>2.8</v>
      </c>
      <c r="H10" s="12" t="s">
        <v>25</v>
      </c>
      <c r="I10" s="27" t="s">
        <v>103</v>
      </c>
    </row>
    <row r="11" spans="2:9" ht="67.5">
      <c r="B11" s="14" t="s">
        <v>72</v>
      </c>
      <c r="C11" s="12" t="s">
        <v>16</v>
      </c>
      <c r="D11" s="34" t="s">
        <v>87</v>
      </c>
      <c r="E11" s="9" t="s">
        <v>40</v>
      </c>
      <c r="F11" s="12" t="s">
        <v>73</v>
      </c>
      <c r="G11" s="31">
        <v>4.5</v>
      </c>
      <c r="H11" s="12" t="s">
        <v>25</v>
      </c>
      <c r="I11" s="27" t="s">
        <v>89</v>
      </c>
    </row>
    <row r="12" spans="2:9" ht="54">
      <c r="B12" s="14" t="s">
        <v>72</v>
      </c>
      <c r="C12" s="12" t="s">
        <v>18</v>
      </c>
      <c r="D12" s="34" t="s">
        <v>93</v>
      </c>
      <c r="E12" s="9" t="s">
        <v>27</v>
      </c>
      <c r="F12" s="12"/>
      <c r="G12" s="31">
        <v>2</v>
      </c>
      <c r="H12" s="12" t="s">
        <v>27</v>
      </c>
      <c r="I12" s="27" t="s">
        <v>94</v>
      </c>
    </row>
    <row r="13" spans="2:9" ht="40.5">
      <c r="B13" s="14" t="s">
        <v>72</v>
      </c>
      <c r="C13" s="12" t="s">
        <v>18</v>
      </c>
      <c r="D13" s="33" t="s">
        <v>74</v>
      </c>
      <c r="E13" s="9" t="s">
        <v>27</v>
      </c>
      <c r="F13" s="12"/>
      <c r="G13" s="31">
        <v>4</v>
      </c>
      <c r="H13" s="12" t="s">
        <v>27</v>
      </c>
      <c r="I13" s="27" t="s">
        <v>102</v>
      </c>
    </row>
    <row r="14" spans="2:9" ht="40.5">
      <c r="B14" s="14" t="s">
        <v>72</v>
      </c>
      <c r="C14" s="12" t="s">
        <v>16</v>
      </c>
      <c r="D14" s="28" t="s">
        <v>75</v>
      </c>
      <c r="E14" s="9" t="s">
        <v>27</v>
      </c>
      <c r="F14" s="12" t="s">
        <v>73</v>
      </c>
      <c r="G14" s="31">
        <v>3</v>
      </c>
      <c r="H14" s="12" t="s">
        <v>24</v>
      </c>
      <c r="I14" s="25" t="s">
        <v>76</v>
      </c>
    </row>
    <row r="15" spans="2:9" ht="27">
      <c r="B15" s="14" t="s">
        <v>72</v>
      </c>
      <c r="C15" s="12" t="s">
        <v>18</v>
      </c>
      <c r="D15" s="29" t="s">
        <v>78</v>
      </c>
      <c r="E15" s="9" t="s">
        <v>27</v>
      </c>
      <c r="F15" s="12"/>
      <c r="G15" s="31">
        <v>3.5</v>
      </c>
      <c r="H15" s="12" t="s">
        <v>77</v>
      </c>
      <c r="I15" s="27" t="s">
        <v>81</v>
      </c>
    </row>
    <row r="16" spans="2:9" ht="27">
      <c r="B16" s="14" t="s">
        <v>72</v>
      </c>
      <c r="C16" s="12" t="s">
        <v>18</v>
      </c>
      <c r="D16" s="29" t="s">
        <v>79</v>
      </c>
      <c r="E16" s="9" t="s">
        <v>27</v>
      </c>
      <c r="F16" s="12"/>
      <c r="G16" s="31">
        <v>2</v>
      </c>
      <c r="H16" s="12" t="s">
        <v>38</v>
      </c>
      <c r="I16" s="27" t="s">
        <v>100</v>
      </c>
    </row>
    <row r="17" spans="2:9">
      <c r="B17" s="14" t="s">
        <v>72</v>
      </c>
      <c r="C17" s="12" t="s">
        <v>18</v>
      </c>
      <c r="D17" s="29" t="s">
        <v>80</v>
      </c>
      <c r="E17" s="9" t="s">
        <v>27</v>
      </c>
      <c r="F17" s="12"/>
      <c r="G17" s="31">
        <v>4</v>
      </c>
      <c r="H17" s="12" t="s">
        <v>27</v>
      </c>
      <c r="I17" s="27" t="s">
        <v>92</v>
      </c>
    </row>
    <row r="18" spans="2:9">
      <c r="B18" s="8"/>
      <c r="C18" s="12"/>
      <c r="D18" s="9"/>
      <c r="E18" s="9"/>
      <c r="F18" s="12"/>
      <c r="G18" s="31"/>
      <c r="H18" s="12"/>
      <c r="I18" s="25"/>
    </row>
    <row r="19" spans="2:9">
      <c r="B19" s="8"/>
      <c r="C19" s="12"/>
      <c r="D19" s="9"/>
      <c r="E19" s="9"/>
      <c r="F19" s="12"/>
      <c r="G19" s="31"/>
      <c r="H19" s="12"/>
      <c r="I19" s="25"/>
    </row>
    <row r="20" spans="2:9">
      <c r="B20" s="8"/>
      <c r="C20" s="12"/>
      <c r="D20" s="9"/>
      <c r="E20" s="9"/>
      <c r="F20" s="12"/>
      <c r="G20" s="31"/>
      <c r="H20" s="12"/>
      <c r="I20" s="25"/>
    </row>
    <row r="21" spans="2:9">
      <c r="B21" s="8"/>
      <c r="C21" s="12"/>
      <c r="D21" s="9"/>
      <c r="E21" s="9"/>
      <c r="F21" s="12"/>
      <c r="G21" s="31"/>
      <c r="H21" s="12"/>
      <c r="I21" s="25"/>
    </row>
    <row r="22" spans="2:9">
      <c r="B22" s="8"/>
      <c r="C22" s="12"/>
      <c r="D22" s="9"/>
      <c r="E22" s="9"/>
      <c r="F22" s="12"/>
      <c r="G22" s="31"/>
      <c r="H22" s="12"/>
      <c r="I22" s="25"/>
    </row>
    <row r="23" spans="2:9">
      <c r="B23" s="8"/>
      <c r="C23" s="12"/>
      <c r="D23" s="9"/>
      <c r="E23" s="9"/>
      <c r="F23" s="12"/>
      <c r="G23" s="31"/>
      <c r="H23" s="12"/>
      <c r="I23" s="25"/>
    </row>
    <row r="24" spans="2:9">
      <c r="B24" s="8"/>
      <c r="C24" s="12"/>
      <c r="D24" s="9"/>
      <c r="E24" s="9"/>
      <c r="F24" s="12"/>
      <c r="G24" s="31"/>
      <c r="H24" s="12"/>
      <c r="I24" s="25"/>
    </row>
    <row r="25" spans="2:9">
      <c r="B25" s="20"/>
      <c r="C25" s="21"/>
      <c r="D25" s="22"/>
      <c r="E25" s="22"/>
      <c r="F25" s="24" t="s">
        <v>67</v>
      </c>
      <c r="G25" s="39">
        <f>SUM(G3:G24)</f>
        <v>36.299999999999997</v>
      </c>
      <c r="H25" s="40"/>
      <c r="I25" s="41"/>
    </row>
    <row r="26" spans="2:9" ht="15.5" thickBot="1">
      <c r="B26" s="17"/>
      <c r="C26" s="18"/>
      <c r="D26" s="19"/>
      <c r="E26" s="19"/>
      <c r="F26" s="23" t="s">
        <v>68</v>
      </c>
      <c r="G26" s="36">
        <v>4.5</v>
      </c>
      <c r="H26" s="37"/>
      <c r="I26" s="38"/>
    </row>
    <row r="27" spans="2:9" ht="15.5" thickTop="1"/>
  </sheetData>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E4:E26</xm:sqref>
        </x14:dataValidation>
        <x14:dataValidation type="list" allowBlank="1" showInputMessage="1" showErrorMessage="1" xr:uid="{00000000-0002-0000-0000-000002000000}">
          <x14:formula1>
            <xm:f>数据标签!$B$2:$H$2</xm:f>
          </x14:formula1>
          <xm:sqref>C4:C26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2025-04-21T23:42:16Z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