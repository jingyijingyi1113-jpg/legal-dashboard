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ECE83408-F6AF-458D-80D0-FB9FAFD5D4C2}" xr6:coauthVersionLast="47" xr6:coauthVersionMax="47" xr10:uidLastSave="{00000000-0000-0000-0000-000000000000}"/>
  <bookViews>
    <workbookView xWindow="695" yWindow="695" windowWidth="18355" windowHeight="1051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<sst xmlns="http://schemas.openxmlformats.org/spreadsheetml/2006/main" count="247" uniqueCount="116">
  <si>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</si>
  <si>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</si>
  <si>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</si>
  <si>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</si>
  <si>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</si>
  <si>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</si>
  <si>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</si>
  <si>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</si>
  <si>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</si>
  <si>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</si>
  <si>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</si>
  <si>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</si>
  <si>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</si>
  <si>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</si>
  <si>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</si>
  <si>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</si>
  <si>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</si>
  <si>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</si>
  <si>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</si>
  <si>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</si>
  <si>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</si>
  <si>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</si>
  <si>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</si>
  <si>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</si>
  <si>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</si>
  <si>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</si>
  <si>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</si>
  <si>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</si>
  <si>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</si>
  <si>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</si>
  <si>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</si>
  <si>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</si>
  <si>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</si>
  <si>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</si>
  <si>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</si>
  <si>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</si>
  <si>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</si>
  <si>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</si>
  <si>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</si>
  <si>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</si>
  <si>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</si>
  <si>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</si>
  <si>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</si>
  <si>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</si>
  <si>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</si>
  <si>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</si>
  <si>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</si>
  <si>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</si>
  <si>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</si>
  <si>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</si>
  <si>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</si>
  <si>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</si>
  <si>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</si>
  <si>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</si>
  <si>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</si>
  <si>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</si>
  <si>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</si>
  <si>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</si>
  <si>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</si>
  <si>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</si>
  <si>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</si>
  <si>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</si>
  <si>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</si>
  <si>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</si>
  <si>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</si>
  <si>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</si>
  <si>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</si>
  <si>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</si>
  <si>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</si>
  <si>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</si>
  <si>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</si>
  <si>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</si>
  <si>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</si>
  <si>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</si>
  <si>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Tencent Americas Giving</t>
  </si>
  <si>
    <t>US investment team weekly biz meeting</t>
  </si>
  <si>
    <t>Recording/reviewing deals updates/weekly time reports/other team summaries</t>
  </si>
  <si>
    <t>Administrative</t>
  </si>
  <si>
    <t>Legal bills</t>
  </si>
  <si>
    <t>Misc</t>
  </si>
  <si>
    <t>WorkMagic</t>
  </si>
  <si>
    <t>Lumagroup Fund</t>
  </si>
  <si>
    <t>VantAI</t>
  </si>
  <si>
    <t>Venture Reality Fund</t>
  </si>
  <si>
    <t>Sort/respond to emails and inquiries.</t>
  </si>
  <si>
    <t>Axoft</t>
  </si>
  <si>
    <t>Moon Valley</t>
  </si>
  <si>
    <t>Issues to send back; old invoices from 2019-2024.</t>
  </si>
  <si>
    <t>Public - Knowledge Accumulation &amp; Sharing</t>
  </si>
  <si>
    <t>FDI Hotdesk</t>
  </si>
  <si>
    <t>Sensitive data rule reps; security/compliance reqs like CISA; outbound rule rep.</t>
  </si>
  <si>
    <t>Cure Ventures</t>
  </si>
  <si>
    <t>Discussion with Biz team if VR company may be dual used by military.</t>
  </si>
  <si>
    <t>Think Bio NDA</t>
  </si>
  <si>
    <t>Regulatory review; follow up questions from COV.</t>
  </si>
  <si>
    <t>Draft summary to Yan.  Send updated questionnaire to COV and Canadian counsel; follow up to COV on high valuation and conversion issue.  Regulatory review; call with Canadian counsels on current situation in Canada; CFIUS analysis and feedback still need questionnaire to assess.</t>
  </si>
  <si>
    <t>Contrary Capital</t>
  </si>
  <si>
    <t>Second capital call $225,106.   Contrary raised $63,679,723 so  4.9% should be $3,120,306.</t>
  </si>
  <si>
    <t>Series A documents review; side-letter draft.</t>
  </si>
  <si>
    <t>LASE Innovations</t>
  </si>
  <si>
    <t>Regulatory review; quick red-flag or maybe.</t>
  </si>
  <si>
    <t>Summary to Yan and biz team discussion; elevate to Brent?</t>
  </si>
  <si>
    <t>Pioneer Fund</t>
  </si>
  <si>
    <t>Additional capital call; making sure &lt;9.9% total and separate for parallel fund stakes.</t>
  </si>
  <si>
    <t>Time-entry; deal updates; half year evaluation.</t>
  </si>
  <si>
    <t>Broken String Biosciences</t>
  </si>
  <si>
    <t>US and UK regulatory review.</t>
  </si>
  <si>
    <t>Regulatory review.</t>
  </si>
  <si>
    <t>WSGR conflicts waiver.</t>
  </si>
  <si>
    <t>Weekly business team meeting; Q2 meeting with JamesM.</t>
  </si>
  <si>
    <t>Brent issue with Dress for Success email not inclusive sounding, discussed with Irisleong, Sean Durkin, Aaron etc.; docusign Starlight and Dress for Success to Brent and email summary.</t>
  </si>
  <si>
    <t>Further final confirmation whether we can invest despite Ramaswamy indirect connection; check Yan and then Brent who confirmed with James no invest.  Further questions and response from biz team, voting vs non-voting class of shares, potential to invest pro rata in future.</t>
  </si>
  <si>
    <t>Data privacy and corporate</t>
  </si>
  <si>
    <t>Attend Clifford Chance meeting with Data Privacy head and NY corp associate with new US data privacy collegues.</t>
  </si>
  <si>
    <t>General CFIUS/Sensitive data rule</t>
  </si>
  <si>
    <t>Discussion with COV Ingrid Price on Cfius and sensitive data rule matters; COV's discussion with DOJ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</si>
</sst>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2"/>
  <sheetViews>
    <sheetView tabSelected="1" topLeftCell="A19" zoomScale="70" zoomScaleNormal="70" workbookViewId="0">
      <selection activeCell="C24" sqref="C24"/>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27">
      <c r="B4" s="14" t="s">
        <v>72</v>
      </c>
      <c r="C4" s="12" t="s">
        <v>16</v>
      </c>
      <c r="D4" s="34" t="s">
        <v>96</v>
      </c>
      <c r="E4" s="9" t="s">
        <v>40</v>
      </c>
      <c r="F4" s="12" t="s">
        <v>73</v>
      </c>
      <c r="G4" s="31">
        <v>1</v>
      </c>
      <c r="H4" s="12" t="s">
        <v>20</v>
      </c>
      <c r="I4" s="27" t="s">
        <v>97</v>
      </c>
    </row>
    <row r="5" spans="2:9" ht="27">
      <c r="B5" s="14" t="s">
        <v>72</v>
      </c>
      <c r="C5" s="12" t="s">
        <v>16</v>
      </c>
      <c r="D5" s="34" t="s">
        <v>83</v>
      </c>
      <c r="E5" s="9" t="s">
        <v>40</v>
      </c>
      <c r="F5" s="12" t="s">
        <v>73</v>
      </c>
      <c r="G5" s="31">
        <v>0.5</v>
      </c>
      <c r="H5" s="12" t="s">
        <v>25</v>
      </c>
      <c r="I5" s="27" t="s">
        <v>92</v>
      </c>
    </row>
    <row r="6" spans="2:9" ht="27">
      <c r="B6" s="14" t="s">
        <v>72</v>
      </c>
      <c r="C6" s="12" t="s">
        <v>16</v>
      </c>
      <c r="D6" s="34" t="s">
        <v>102</v>
      </c>
      <c r="E6" s="9" t="s">
        <v>40</v>
      </c>
      <c r="F6" s="12" t="s">
        <v>73</v>
      </c>
      <c r="G6" s="31">
        <v>1</v>
      </c>
      <c r="H6" s="12" t="s">
        <v>20</v>
      </c>
      <c r="I6" s="27" t="s">
        <v>103</v>
      </c>
    </row>
    <row r="7" spans="2:9" ht="27">
      <c r="B7" s="14" t="s">
        <v>72</v>
      </c>
      <c r="C7" s="12" t="s">
        <v>16</v>
      </c>
      <c r="D7" s="34" t="s">
        <v>81</v>
      </c>
      <c r="E7" s="9" t="s">
        <v>40</v>
      </c>
      <c r="F7" s="12" t="s">
        <v>73</v>
      </c>
      <c r="G7" s="31">
        <v>0.5</v>
      </c>
      <c r="H7" s="12" t="s">
        <v>25</v>
      </c>
      <c r="I7" s="27" t="s">
        <v>101</v>
      </c>
    </row>
    <row r="8" spans="2:9" ht="27">
      <c r="B8" s="14" t="s">
        <v>72</v>
      </c>
      <c r="C8" s="12" t="s">
        <v>16</v>
      </c>
      <c r="D8" s="34" t="s">
        <v>80</v>
      </c>
      <c r="E8" s="9" t="s">
        <v>40</v>
      </c>
      <c r="F8" s="12" t="s">
        <v>73</v>
      </c>
      <c r="G8" s="31">
        <v>3</v>
      </c>
      <c r="H8" s="12" t="s">
        <v>20</v>
      </c>
      <c r="I8" s="27" t="s">
        <v>98</v>
      </c>
    </row>
    <row r="9" spans="2:9" ht="27">
      <c r="B9" s="14" t="s">
        <v>72</v>
      </c>
      <c r="C9" s="12" t="s">
        <v>16</v>
      </c>
      <c r="D9" s="34" t="s">
        <v>105</v>
      </c>
      <c r="E9" s="9" t="s">
        <v>40</v>
      </c>
      <c r="F9" s="12" t="s">
        <v>73</v>
      </c>
      <c r="G9" s="31">
        <v>2</v>
      </c>
      <c r="H9" s="12" t="s">
        <v>20</v>
      </c>
      <c r="I9" s="27" t="s">
        <v>106</v>
      </c>
    </row>
    <row r="10" spans="2:9" ht="81">
      <c r="B10" s="14" t="s">
        <v>72</v>
      </c>
      <c r="C10" s="12" t="s">
        <v>16</v>
      </c>
      <c r="D10" s="34" t="s">
        <v>82</v>
      </c>
      <c r="E10" s="9" t="s">
        <v>40</v>
      </c>
      <c r="F10" s="12" t="s">
        <v>73</v>
      </c>
      <c r="G10" s="31">
        <v>2.5</v>
      </c>
      <c r="H10" s="12" t="s">
        <v>25</v>
      </c>
      <c r="I10" s="27" t="s">
        <v>111</v>
      </c>
    </row>
    <row r="11" spans="2:9" ht="94.5">
      <c r="B11" s="14" t="s">
        <v>72</v>
      </c>
      <c r="C11" s="12" t="s">
        <v>16</v>
      </c>
      <c r="D11" s="34" t="s">
        <v>86</v>
      </c>
      <c r="E11" s="9" t="s">
        <v>40</v>
      </c>
      <c r="F11" s="12" t="s">
        <v>73</v>
      </c>
      <c r="G11" s="31">
        <v>0.5</v>
      </c>
      <c r="H11" s="12" t="s">
        <v>25</v>
      </c>
      <c r="I11" s="27" t="s">
        <v>95</v>
      </c>
    </row>
    <row r="12" spans="2:9" ht="27">
      <c r="B12" s="14" t="s">
        <v>72</v>
      </c>
      <c r="C12" s="12" t="s">
        <v>16</v>
      </c>
      <c r="D12" s="34" t="s">
        <v>85</v>
      </c>
      <c r="E12" s="9" t="s">
        <v>40</v>
      </c>
      <c r="F12" s="12" t="s">
        <v>73</v>
      </c>
      <c r="G12" s="31">
        <v>0.5</v>
      </c>
      <c r="H12" s="12" t="s">
        <v>25</v>
      </c>
      <c r="I12" s="27" t="s">
        <v>107</v>
      </c>
    </row>
    <row r="13" spans="2:9" ht="27">
      <c r="B13" s="14" t="s">
        <v>72</v>
      </c>
      <c r="C13" s="12" t="s">
        <v>16</v>
      </c>
      <c r="D13" s="34" t="s">
        <v>91</v>
      </c>
      <c r="E13" s="9" t="s">
        <v>40</v>
      </c>
      <c r="F13" s="12" t="s">
        <v>73</v>
      </c>
      <c r="G13" s="31">
        <v>0.75</v>
      </c>
      <c r="H13" s="12" t="s">
        <v>25</v>
      </c>
      <c r="I13" s="27" t="s">
        <v>94</v>
      </c>
    </row>
    <row r="14" spans="2:9" ht="27">
      <c r="B14" s="14" t="s">
        <v>72</v>
      </c>
      <c r="C14" s="12" t="s">
        <v>16</v>
      </c>
      <c r="D14" s="34" t="s">
        <v>99</v>
      </c>
      <c r="E14" s="9" t="s">
        <v>40</v>
      </c>
      <c r="F14" s="12" t="s">
        <v>73</v>
      </c>
      <c r="G14" s="31">
        <v>1.25</v>
      </c>
      <c r="H14" s="12" t="s">
        <v>25</v>
      </c>
      <c r="I14" s="27" t="s">
        <v>100</v>
      </c>
    </row>
    <row r="15" spans="2:9" ht="27">
      <c r="B15" s="14" t="s">
        <v>72</v>
      </c>
      <c r="C15" s="12" t="s">
        <v>16</v>
      </c>
      <c r="D15" s="34" t="s">
        <v>93</v>
      </c>
      <c r="E15" s="9" t="s">
        <v>40</v>
      </c>
      <c r="F15" s="12" t="s">
        <v>73</v>
      </c>
      <c r="G15" s="31">
        <v>0.5</v>
      </c>
      <c r="H15" s="12" t="s">
        <v>20</v>
      </c>
      <c r="I15" s="27" t="s">
        <v>108</v>
      </c>
    </row>
    <row r="16" spans="2:9" ht="40.5">
      <c r="B16" s="14" t="s">
        <v>72</v>
      </c>
      <c r="C16" s="12" t="s">
        <v>16</v>
      </c>
      <c r="D16" s="34" t="s">
        <v>114</v>
      </c>
      <c r="E16" s="9" t="s">
        <v>40</v>
      </c>
      <c r="F16" s="12" t="s">
        <v>73</v>
      </c>
      <c r="G16" s="31">
        <v>0.5</v>
      </c>
      <c r="H16" s="12" t="s">
        <v>25</v>
      </c>
      <c r="I16" s="27" t="s">
        <v>115</v>
      </c>
    </row>
    <row r="17" spans="2:9" ht="27">
      <c r="B17" s="14" t="s">
        <v>72</v>
      </c>
      <c r="C17" s="12" t="s">
        <v>88</v>
      </c>
      <c r="D17" s="34" t="s">
        <v>89</v>
      </c>
      <c r="E17" s="9" t="s">
        <v>27</v>
      </c>
      <c r="F17" s="12"/>
      <c r="G17" s="31">
        <v>1</v>
      </c>
      <c r="H17" s="12" t="s">
        <v>27</v>
      </c>
      <c r="I17" s="27" t="s">
        <v>90</v>
      </c>
    </row>
    <row r="18" spans="2:9" ht="40.5">
      <c r="B18" s="14" t="s">
        <v>72</v>
      </c>
      <c r="C18" s="12" t="s">
        <v>17</v>
      </c>
      <c r="D18" s="34" t="s">
        <v>112</v>
      </c>
      <c r="E18" s="9" t="s">
        <v>27</v>
      </c>
      <c r="F18" s="12"/>
      <c r="G18" s="31">
        <v>2</v>
      </c>
      <c r="H18" s="12"/>
      <c r="I18" s="27" t="s">
        <v>113</v>
      </c>
    </row>
    <row r="19" spans="2:9" ht="54">
      <c r="B19" s="14" t="s">
        <v>72</v>
      </c>
      <c r="C19" s="12" t="s">
        <v>18</v>
      </c>
      <c r="D19" s="33" t="s">
        <v>74</v>
      </c>
      <c r="E19" s="9" t="s">
        <v>27</v>
      </c>
      <c r="F19" s="12"/>
      <c r="G19" s="31">
        <v>1.5</v>
      </c>
      <c r="H19" s="12" t="s">
        <v>27</v>
      </c>
      <c r="I19" s="27" t="s">
        <v>110</v>
      </c>
    </row>
    <row r="20" spans="2:9" ht="40.5">
      <c r="B20" s="14" t="s">
        <v>72</v>
      </c>
      <c r="C20" s="12" t="s">
        <v>16</v>
      </c>
      <c r="D20" s="28" t="s">
        <v>75</v>
      </c>
      <c r="E20" s="9" t="s">
        <v>27</v>
      </c>
      <c r="F20" s="12" t="s">
        <v>73</v>
      </c>
      <c r="G20" s="31">
        <v>4</v>
      </c>
      <c r="H20" s="12" t="s">
        <v>24</v>
      </c>
      <c r="I20" s="27" t="s">
        <v>109</v>
      </c>
    </row>
    <row r="21" spans="2:9" ht="27">
      <c r="B21" s="14" t="s">
        <v>72</v>
      </c>
      <c r="C21" s="12" t="s">
        <v>18</v>
      </c>
      <c r="D21" s="29" t="s">
        <v>77</v>
      </c>
      <c r="E21" s="9" t="s">
        <v>27</v>
      </c>
      <c r="F21" s="12"/>
      <c r="G21" s="31">
        <v>5</v>
      </c>
      <c r="H21" s="12" t="s">
        <v>76</v>
      </c>
      <c r="I21" s="27" t="s">
        <v>104</v>
      </c>
    </row>
    <row r="22" spans="2:9" ht="27">
      <c r="B22" s="14" t="s">
        <v>72</v>
      </c>
      <c r="C22" s="12" t="s">
        <v>18</v>
      </c>
      <c r="D22" s="29" t="s">
        <v>78</v>
      </c>
      <c r="E22" s="9" t="s">
        <v>27</v>
      </c>
      <c r="F22" s="12"/>
      <c r="G22" s="31">
        <v>2</v>
      </c>
      <c r="H22" s="12" t="s">
        <v>38</v>
      </c>
      <c r="I22" s="27" t="s">
        <v>87</v>
      </c>
    </row>
    <row r="23" spans="2:9">
      <c r="B23" s="14" t="s">
        <v>72</v>
      </c>
      <c r="C23" s="12" t="s">
        <v>18</v>
      </c>
      <c r="D23" s="29" t="s">
        <v>79</v>
      </c>
      <c r="E23" s="9" t="s">
        <v>27</v>
      </c>
      <c r="F23" s="12"/>
      <c r="G23" s="31">
        <v>3</v>
      </c>
      <c r="H23" s="12" t="s">
        <v>27</v>
      </c>
      <c r="I23" s="27" t="s">
        <v>84</v>
      </c>
    </row>
    <row r="24" spans="2:9">
      <c r="B24" s="8"/>
      <c r="C24" s="12"/>
      <c r="D24" s="9"/>
      <c r="E24" s="9"/>
      <c r="F24" s="12"/>
      <c r="G24" s="31"/>
      <c r="H24" s="12"/>
      <c r="I24" s="25"/>
    </row>
    <row r="25" spans="2:9">
      <c r="B25" s="8"/>
      <c r="C25" s="12"/>
      <c r="D25" s="9"/>
      <c r="E25" s="9"/>
      <c r="F25" s="12"/>
      <c r="G25" s="31"/>
      <c r="H25" s="12"/>
      <c r="I25" s="25"/>
    </row>
    <row r="26" spans="2:9">
      <c r="B26" s="8"/>
      <c r="C26" s="12"/>
      <c r="D26" s="9"/>
      <c r="E26" s="9"/>
      <c r="F26" s="12"/>
      <c r="G26" s="31"/>
      <c r="H26" s="12"/>
      <c r="I26" s="25"/>
    </row>
    <row r="27" spans="2:9">
      <c r="B27" s="8"/>
      <c r="C27" s="12"/>
      <c r="D27" s="9"/>
      <c r="E27" s="9"/>
      <c r="F27" s="12"/>
      <c r="G27" s="31"/>
      <c r="H27" s="12"/>
      <c r="I27" s="25"/>
    </row>
    <row r="28" spans="2:9">
      <c r="B28" s="8"/>
      <c r="C28" s="12"/>
      <c r="D28" s="9"/>
      <c r="E28" s="9"/>
      <c r="F28" s="12"/>
      <c r="G28" s="31"/>
      <c r="H28" s="12"/>
      <c r="I28" s="25"/>
    </row>
    <row r="29" spans="2:9">
      <c r="B29" s="8"/>
      <c r="C29" s="12"/>
      <c r="D29" s="9"/>
      <c r="E29" s="9"/>
      <c r="F29" s="12"/>
      <c r="G29" s="31"/>
      <c r="H29" s="12"/>
      <c r="I29" s="25"/>
    </row>
    <row r="30" spans="2:9">
      <c r="B30" s="20"/>
      <c r="C30" s="21"/>
      <c r="D30" s="22"/>
      <c r="E30" s="22"/>
      <c r="F30" s="24" t="s">
        <v>67</v>
      </c>
      <c r="G30" s="38">
        <f>SUM(G3:G29)</f>
        <v>33</v>
      </c>
      <c r="H30" s="39"/>
      <c r="I30" s="40"/>
    </row>
    <row r="31" spans="2:9" ht="15.5" thickBot="1">
      <c r="B31" s="17"/>
      <c r="C31" s="18"/>
      <c r="D31" s="19"/>
      <c r="E31" s="19"/>
      <c r="F31" s="23" t="s">
        <v>68</v>
      </c>
      <c r="G31" s="35">
        <v>4</v>
      </c>
      <c r="H31" s="36"/>
      <c r="I31" s="37"/>
    </row>
    <row r="32" spans="2:9" ht="15.5" thickTop="1"/>
  </sheetData>
  <mergeCells count="2">
    <mergeCell ref="G31:I31"/>
    <mergeCell ref="G30:I30"/>
  </mergeCells>
  <phoneticPr fontId="7" type="noConversion"/>
  <dataValidations count="2">
    <dataValidation type="list" allowBlank="1" showInputMessage="1" showErrorMessage="1" sqref="H4:H29" xr:uid="{00000000-0002-0000-0000-000000000000}">
      <formula1>hh</formula1>
    </dataValidation>
    <dataValidation type="list" allowBlank="1" showInputMessage="1" showErrorMessage="1" sqref="F4:F2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E4:E31</xm:sqref>
        </x14:dataValidation>
        <x14:dataValidation type="list" allowBlank="1" showInputMessage="1" showErrorMessage="1" xr:uid="{00000000-0002-0000-0000-000002000000}">
          <x14:formula1>
            <xm:f>数据标签!$B$2:$H$2</xm:f>
          </x14:formula1>
          <xm:sqref>C4:C31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54">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2025-06-25T01:19:35Z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