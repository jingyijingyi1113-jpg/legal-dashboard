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44FFA4E3-D1AB-4C2E-AAB9-09AE7924AE77}" xr6:coauthVersionLast="47" xr6:coauthVersionMax="47" xr10:uidLastSave="{00000000-0000-0000-0000-000000000000}"/>
  <bookViews>
    <workbookView xWindow="1150" yWindow="11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<sst xmlns="http://schemas.openxmlformats.org/spreadsheetml/2006/main" count="227" uniqueCount="112">
  <si>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</si>
  <si>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</si>
  <si>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</si>
  <si>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</si>
  <si>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</si>
  <si>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</si>
  <si>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</si>
  <si>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</si>
  <si>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</si>
  <si>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</si>
  <si>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</si>
  <si>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</si>
  <si>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</si>
  <si>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</si>
  <si>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</si>
  <si>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</si>
  <si>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</si>
  <si>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</si>
  <si>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</si>
  <si>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</si>
  <si>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</si>
  <si>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</si>
  <si>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</si>
  <si>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</si>
  <si>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</si>
  <si>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</si>
  <si>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</si>
  <si>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</si>
  <si>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</si>
  <si>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</si>
  <si>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</si>
  <si>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</si>
  <si>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</si>
  <si>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</si>
  <si>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</si>
  <si>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</si>
  <si>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</si>
  <si>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</si>
  <si>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</si>
  <si>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</si>
  <si>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</si>
  <si>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</si>
  <si>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</si>
  <si>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</si>
  <si>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</si>
  <si>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</si>
  <si>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</si>
  <si>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</si>
  <si>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</si>
  <si>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</si>
  <si>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</si>
  <si>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</si>
  <si>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</si>
  <si>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</si>
  <si>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</si>
  <si>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</si>
  <si>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</si>
  <si>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</si>
  <si>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</si>
  <si>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</si>
  <si>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</si>
  <si>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</si>
  <si>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</si>
  <si>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</si>
  <si>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</si>
  <si>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</si>
  <si>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</si>
  <si>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</si>
  <si>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</si>
  <si>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</si>
  <si>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</si>
  <si>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</si>
  <si>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</si>
  <si>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</si>
  <si>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</si>
  <si>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</si>
  <si>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</si>
  <si>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</si>
  <si>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</si>
  <si>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</si>
  <si>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Time-entry; deals update.</t>
  </si>
  <si>
    <t>WorkMagic</t>
  </si>
  <si>
    <t>Broadway Ventures</t>
  </si>
  <si>
    <t>Legal bills.</t>
  </si>
  <si>
    <t>Lumagroup Fund</t>
  </si>
  <si>
    <t>VantAI</t>
  </si>
  <si>
    <t>Regulatory review; send to biz team and discussion; additional Outbound Rule issue with COV; CSIA/security compliance diligence questions to the company, template rep regarding security compliance for investment doc; template Outbound Rule checklist.</t>
  </si>
  <si>
    <t>控股和重点投资公司法务风险管理 Legal risk management for controlled and key invested portfolios</t>
  </si>
  <si>
    <t>Communicating with Catherine on portfolio list and survey form; revising porfolio list and survey form into excel, discussing with business team relevant updates; input key companies into survey form.</t>
  </si>
  <si>
    <t>Regulatory review sent to COV; reviewed questionnaire and deck and background summary.</t>
  </si>
  <si>
    <t>Venture Reality Fund</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</si>
  <si>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</si>
  <si>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</si>
  <si>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</si>
  <si>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 &lt;100 US persons.</t>
  </si>
  <si>
    <t>国际监管趋势监测、预判 Monitoring and forecasting international regulatory trends</t>
  </si>
  <si>
    <t>FDI hotdesk</t>
  </si>
  <si>
    <t>Portfolio management</t>
  </si>
  <si>
    <t>Weekly business team meeting; Catleung visit and update on deals and discuss regulatory issues.</t>
  </si>
  <si>
    <t>Review emails from Martin.</t>
  </si>
  <si>
    <t>Docusign Dress for Success and Starlight for Brent.</t>
  </si>
  <si>
    <t>Lilium</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</si>
  <si>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</si>
  <si>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Regulatory review; summary to biz team.</t>
  </si>
  <si>
    <t>Public - Knowledge Accumulation &amp; Sharing</t>
  </si>
  <si>
    <t>Baker Technology sector conf</t>
  </si>
  <si>
    <t>Wachtell Corporate Summit</t>
  </si>
  <si>
    <t>M&amp;A update; current developments.</t>
  </si>
  <si>
    <t>AI, tariffs, cybersecurity.</t>
  </si>
  <si>
    <t xml:space="preserve">Regulatory summary to Yan and Brent; communitications to follow-up. </t>
  </si>
  <si>
    <t>Prelim feedback.</t>
  </si>
  <si>
    <t>Sort emails and inquiries; approve TIM for contrary and pioneer.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</si>
</sst>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70" zoomScaleNormal="70" workbookViewId="0">
      <selection activeCell="H17" sqref="H17"/>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108">
      <c r="B4" s="14" t="s">
        <v>72</v>
      </c>
      <c r="C4" s="12" t="s">
        <v>16</v>
      </c>
      <c r="D4" s="34" t="s">
        <v>101</v>
      </c>
      <c r="E4" s="9" t="s">
        <v>40</v>
      </c>
      <c r="F4" s="12" t="s">
        <v>73</v>
      </c>
      <c r="G4" s="31">
        <v>1</v>
      </c>
      <c r="H4" s="12" t="s">
        <v>27</v>
      </c>
      <c r="I4" s="27" t="s">
        <v>102</v>
      </c>
    </row>
    <row r="5" spans="2:9" ht="40.5">
      <c r="B5" s="14" t="s">
        <v>72</v>
      </c>
      <c r="C5" s="12" t="s">
        <v>16</v>
      </c>
      <c r="D5" s="34" t="s">
        <v>91</v>
      </c>
      <c r="E5" s="9" t="s">
        <v>40</v>
      </c>
      <c r="F5" s="12" t="s">
        <v>73</v>
      </c>
      <c r="G5" s="31">
        <v>1</v>
      </c>
      <c r="H5" s="12" t="s">
        <v>25</v>
      </c>
      <c r="I5" s="27" t="s">
        <v>92</v>
      </c>
    </row>
    <row r="6" spans="2:9" ht="40.5">
      <c r="B6" s="14" t="s">
        <v>72</v>
      </c>
      <c r="C6" s="12" t="s">
        <v>16</v>
      </c>
      <c r="D6" s="34" t="s">
        <v>93</v>
      </c>
      <c r="E6" s="9" t="s">
        <v>40</v>
      </c>
      <c r="F6" s="12" t="s">
        <v>73</v>
      </c>
      <c r="G6" s="31">
        <v>1.8</v>
      </c>
      <c r="H6" s="12" t="s">
        <v>25</v>
      </c>
      <c r="I6" s="27" t="s">
        <v>94</v>
      </c>
    </row>
    <row r="7" spans="2:9" ht="27">
      <c r="B7" s="14" t="s">
        <v>72</v>
      </c>
      <c r="C7" s="12" t="s">
        <v>16</v>
      </c>
      <c r="D7" s="34" t="s">
        <v>90</v>
      </c>
      <c r="E7" s="9" t="s">
        <v>40</v>
      </c>
      <c r="F7" s="12" t="s">
        <v>73</v>
      </c>
      <c r="G7" s="31">
        <v>0.5</v>
      </c>
      <c r="H7" s="12" t="s">
        <v>25</v>
      </c>
      <c r="I7" s="27" t="s">
        <v>110</v>
      </c>
    </row>
    <row r="8" spans="2:9" ht="27">
      <c r="B8" s="14" t="s">
        <v>72</v>
      </c>
      <c r="C8" s="12" t="s">
        <v>16</v>
      </c>
      <c r="D8" s="34" t="s">
        <v>84</v>
      </c>
      <c r="E8" s="9" t="s">
        <v>40</v>
      </c>
      <c r="F8" s="12" t="s">
        <v>73</v>
      </c>
      <c r="G8" s="31">
        <v>2</v>
      </c>
      <c r="H8" s="12" t="s">
        <v>25</v>
      </c>
      <c r="I8" s="27" t="s">
        <v>103</v>
      </c>
    </row>
    <row r="9" spans="2:9" ht="27">
      <c r="B9" s="14" t="s">
        <v>72</v>
      </c>
      <c r="C9" s="12" t="s">
        <v>16</v>
      </c>
      <c r="D9" s="34" t="s">
        <v>82</v>
      </c>
      <c r="E9" s="9" t="s">
        <v>40</v>
      </c>
      <c r="F9" s="12" t="s">
        <v>73</v>
      </c>
      <c r="G9" s="31">
        <v>2.5</v>
      </c>
      <c r="H9" s="12" t="s">
        <v>20</v>
      </c>
      <c r="I9" s="27" t="s">
        <v>109</v>
      </c>
    </row>
    <row r="10" spans="2:9" ht="81">
      <c r="B10" s="14" t="s">
        <v>72</v>
      </c>
      <c r="C10" s="12" t="s">
        <v>16</v>
      </c>
      <c r="D10" s="34" t="s">
        <v>81</v>
      </c>
      <c r="E10" s="9" t="s">
        <v>40</v>
      </c>
      <c r="F10" s="12" t="s">
        <v>73</v>
      </c>
      <c r="G10" s="31">
        <v>3</v>
      </c>
      <c r="H10" s="12" t="s">
        <v>25</v>
      </c>
      <c r="I10" s="27" t="s">
        <v>86</v>
      </c>
    </row>
    <row r="11" spans="2:9" ht="27">
      <c r="B11" s="14" t="s">
        <v>72</v>
      </c>
      <c r="C11" s="12" t="s">
        <v>16</v>
      </c>
      <c r="D11" s="34" t="s">
        <v>85</v>
      </c>
      <c r="E11" s="9" t="s">
        <v>40</v>
      </c>
      <c r="F11" s="12" t="s">
        <v>73</v>
      </c>
      <c r="G11" s="31">
        <v>0.5</v>
      </c>
      <c r="H11" s="12" t="s">
        <v>25</v>
      </c>
      <c r="I11" s="27" t="s">
        <v>89</v>
      </c>
    </row>
    <row r="12" spans="2:9" ht="27">
      <c r="B12" s="14" t="s">
        <v>72</v>
      </c>
      <c r="C12" s="12" t="s">
        <v>18</v>
      </c>
      <c r="D12" s="33" t="s">
        <v>74</v>
      </c>
      <c r="E12" s="9" t="s">
        <v>27</v>
      </c>
      <c r="F12" s="12"/>
      <c r="G12" s="31">
        <v>1</v>
      </c>
      <c r="H12" s="12" t="s">
        <v>27</v>
      </c>
      <c r="I12" s="27" t="s">
        <v>100</v>
      </c>
    </row>
    <row r="13" spans="2:9" ht="27">
      <c r="B13" s="14" t="s">
        <v>72</v>
      </c>
      <c r="C13" s="12" t="s">
        <v>104</v>
      </c>
      <c r="D13" s="34" t="s">
        <v>106</v>
      </c>
      <c r="E13" s="9" t="s">
        <v>27</v>
      </c>
      <c r="F13" s="12"/>
      <c r="G13" s="31">
        <v>4</v>
      </c>
      <c r="H13" s="12" t="s">
        <v>34</v>
      </c>
      <c r="I13" s="27" t="s">
        <v>107</v>
      </c>
    </row>
    <row r="14" spans="2:9" ht="27">
      <c r="B14" s="14" t="s">
        <v>72</v>
      </c>
      <c r="C14" s="12" t="s">
        <v>104</v>
      </c>
      <c r="D14" s="34" t="s">
        <v>105</v>
      </c>
      <c r="E14" s="9" t="s">
        <v>27</v>
      </c>
      <c r="F14" s="12"/>
      <c r="G14" s="31">
        <v>2</v>
      </c>
      <c r="H14" s="12" t="s">
        <v>34</v>
      </c>
      <c r="I14" s="27" t="s">
        <v>108</v>
      </c>
    </row>
    <row r="15" spans="2:9" ht="67.5">
      <c r="B15" s="14" t="s">
        <v>72</v>
      </c>
      <c r="C15" s="12" t="s">
        <v>18</v>
      </c>
      <c r="D15" s="34" t="s">
        <v>97</v>
      </c>
      <c r="E15" s="9" t="s">
        <v>40</v>
      </c>
      <c r="F15" s="12" t="s">
        <v>87</v>
      </c>
      <c r="G15" s="31">
        <v>2</v>
      </c>
      <c r="H15" s="12" t="s">
        <v>76</v>
      </c>
      <c r="I15" s="27" t="s">
        <v>88</v>
      </c>
    </row>
    <row r="16" spans="2:9" ht="40.5">
      <c r="B16" s="14" t="s">
        <v>72</v>
      </c>
      <c r="C16" s="12" t="s">
        <v>18</v>
      </c>
      <c r="D16" s="34" t="s">
        <v>96</v>
      </c>
      <c r="E16" s="9" t="s">
        <v>40</v>
      </c>
      <c r="F16" s="12" t="s">
        <v>95</v>
      </c>
      <c r="G16" s="31">
        <v>0.75</v>
      </c>
      <c r="H16" s="12" t="s">
        <v>24</v>
      </c>
      <c r="I16" s="27" t="s">
        <v>99</v>
      </c>
    </row>
    <row r="17" spans="2:9" ht="40.5">
      <c r="B17" s="14" t="s">
        <v>72</v>
      </c>
      <c r="C17" s="12" t="s">
        <v>16</v>
      </c>
      <c r="D17" s="28" t="s">
        <v>75</v>
      </c>
      <c r="E17" s="9" t="s">
        <v>27</v>
      </c>
      <c r="F17" s="12" t="s">
        <v>73</v>
      </c>
      <c r="G17" s="31">
        <v>4.5</v>
      </c>
      <c r="H17" s="12" t="s">
        <v>24</v>
      </c>
      <c r="I17" s="27" t="s">
        <v>98</v>
      </c>
    </row>
    <row r="18" spans="2:9" ht="27">
      <c r="B18" s="14" t="s">
        <v>72</v>
      </c>
      <c r="C18" s="12" t="s">
        <v>18</v>
      </c>
      <c r="D18" s="29" t="s">
        <v>77</v>
      </c>
      <c r="E18" s="9" t="s">
        <v>27</v>
      </c>
      <c r="F18" s="12"/>
      <c r="G18" s="31">
        <v>2</v>
      </c>
      <c r="H18" s="12" t="s">
        <v>76</v>
      </c>
      <c r="I18" s="27" t="s">
        <v>80</v>
      </c>
    </row>
    <row r="19" spans="2:9" ht="27">
      <c r="B19" s="14" t="s">
        <v>72</v>
      </c>
      <c r="C19" s="12" t="s">
        <v>18</v>
      </c>
      <c r="D19" s="29" t="s">
        <v>78</v>
      </c>
      <c r="E19" s="9" t="s">
        <v>27</v>
      </c>
      <c r="F19" s="12"/>
      <c r="G19" s="31">
        <v>1</v>
      </c>
      <c r="H19" s="12" t="s">
        <v>38</v>
      </c>
      <c r="I19" s="27" t="s">
        <v>83</v>
      </c>
    </row>
    <row r="20" spans="2:9" ht="27">
      <c r="B20" s="14" t="s">
        <v>72</v>
      </c>
      <c r="C20" s="12" t="s">
        <v>18</v>
      </c>
      <c r="D20" s="29" t="s">
        <v>79</v>
      </c>
      <c r="E20" s="9" t="s">
        <v>27</v>
      </c>
      <c r="F20" s="12"/>
      <c r="G20" s="31">
        <v>3.5</v>
      </c>
      <c r="H20" s="12" t="s">
        <v>27</v>
      </c>
      <c r="I20" s="27" t="s">
        <v>111</v>
      </c>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20"/>
      <c r="C28" s="21"/>
      <c r="D28" s="22"/>
      <c r="E28" s="22"/>
      <c r="F28" s="24" t="s">
        <v>67</v>
      </c>
      <c r="G28" s="38">
        <f>SUM(G3:G27)</f>
        <v>33.049999999999997</v>
      </c>
      <c r="H28" s="39"/>
      <c r="I28" s="40"/>
    </row>
    <row r="29" spans="2:9" ht="15.5" thickBot="1">
      <c r="B29" s="17"/>
      <c r="C29" s="18"/>
      <c r="D29" s="19"/>
      <c r="E29" s="19"/>
      <c r="F29" s="23" t="s">
        <v>68</v>
      </c>
      <c r="G29" s="35">
        <v>4</v>
      </c>
      <c r="H29" s="36"/>
      <c r="I29" s="37"/>
    </row>
    <row r="30" spans="2:9" ht="15.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2025-05-19T20:04:09Z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