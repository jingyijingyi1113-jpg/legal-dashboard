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D71CFA20-8CBC-4E19-878E-D75D6A16C391}"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<sst xmlns="http://schemas.openxmlformats.org/spreadsheetml/2006/main" count="193" uniqueCount="99">
  <si>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</si>
  <si>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</si>
  <si>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</si>
  <si>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</si>
  <si>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</si>
  <si>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</si>
  <si>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</si>
  <si>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</si>
  <si>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</si>
  <si>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</si>
  <si>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</si>
  <si>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</si>
  <si>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</si>
  <si>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</si>
  <si>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</si>
  <si>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</si>
  <si>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</si>
  <si>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</si>
  <si>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</si>
  <si>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</si>
  <si>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</si>
  <si>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</si>
  <si>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</si>
  <si>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</si>
  <si>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</si>
  <si>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</si>
  <si>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</si>
  <si>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</si>
  <si>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</si>
  <si>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</si>
  <si>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</si>
  <si>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</si>
  <si>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</si>
  <si>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</si>
  <si>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</si>
  <si>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</si>
  <si>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</si>
  <si>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</si>
  <si>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</si>
  <si>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</si>
  <si>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</si>
  <si>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</si>
  <si>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</si>
  <si>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</si>
  <si>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</si>
  <si>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</si>
  <si>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</si>
  <si>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</si>
  <si>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</si>
  <si>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</si>
  <si>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</si>
  <si>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</si>
  <si>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</si>
  <si>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</si>
  <si>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</si>
  <si>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</si>
  <si>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</si>
  <si>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</si>
  <si>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</si>
  <si>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</si>
  <si>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</si>
  <si>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</si>
  <si>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</si>
  <si>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</si>
  <si>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</si>
  <si>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</si>
  <si>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</si>
  <si>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</si>
  <si>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</si>
  <si>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</si>
  <si>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</si>
  <si>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</si>
  <si>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</si>
  <si>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</si>
  <si>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</si>
  <si>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</si>
  <si>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</si>
  <si>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</si>
  <si>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</si>
  <si>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</si>
  <si>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Venture Reality Fund</t>
  </si>
  <si>
    <t>Weekly business team meeting.</t>
  </si>
  <si>
    <t>Outpace Bio</t>
  </si>
  <si>
    <t>Time-entry; deal updates; short files.</t>
  </si>
  <si>
    <t>Outcast Ventures</t>
  </si>
  <si>
    <t>Broken String Biosciences</t>
  </si>
  <si>
    <t>Review invoices, sent issues to COV; discuss billing fees.</t>
  </si>
  <si>
    <t>Lilium/13D</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</si>
  <si>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</si>
  <si>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</si>
  <si>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Respond back to biz team on carving out our inability invest T3 if company under DSP at that time; confirm ability to invest in T2/T3 if &lt;100 US persons; send advice/summary to biz team.</t>
  </si>
  <si>
    <t xml:space="preserve">US legal team building </t>
  </si>
  <si>
    <t>Palo alto US legal team building and farewell to Claire.</t>
  </si>
  <si>
    <t>Updated responses from counsel.</t>
  </si>
  <si>
    <t>Discuss with Wenna, Steven, Scott on Lilium calculations for 13D; look at Lilium SEC filings since 2024; look at excel calculations.</t>
  </si>
  <si>
    <t>Review long forms LPA and subscription booklet.</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</si>
  <si>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</si>
  <si>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</si>
  <si>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Review of side-letter and responses back to our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</si>
</sst>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4"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6" zoomScale="70" zoomScaleNormal="70" workbookViewId="0">
      <selection activeCell="H4" sqref="H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3</v>
      </c>
      <c r="H4" s="12" t="s">
        <v>25</v>
      </c>
      <c r="I4" s="27" t="s">
        <v>98</v>
      </c>
    </row>
    <row r="5" spans="2:9" ht="27">
      <c r="B5" s="14" t="s">
        <v>72</v>
      </c>
      <c r="C5" s="12" t="s">
        <v>16</v>
      </c>
      <c r="D5" s="34" t="s">
        <v>84</v>
      </c>
      <c r="E5" s="9" t="s">
        <v>40</v>
      </c>
      <c r="F5" s="12" t="s">
        <v>73</v>
      </c>
      <c r="G5" s="31">
        <v>2</v>
      </c>
      <c r="H5" s="12" t="s">
        <v>25</v>
      </c>
      <c r="I5" s="27" t="s">
        <v>95</v>
      </c>
    </row>
    <row r="6" spans="2:9" ht="54">
      <c r="B6" s="14" t="s">
        <v>72</v>
      </c>
      <c r="C6" s="12" t="s">
        <v>16</v>
      </c>
      <c r="D6" s="34" t="s">
        <v>82</v>
      </c>
      <c r="E6" s="9" t="s">
        <v>40</v>
      </c>
      <c r="F6" s="12" t="s">
        <v>73</v>
      </c>
      <c r="G6" s="31">
        <v>0.75</v>
      </c>
      <c r="H6" s="12" t="s">
        <v>25</v>
      </c>
      <c r="I6" s="27" t="s">
        <v>90</v>
      </c>
    </row>
    <row r="7" spans="2:9" ht="27">
      <c r="B7" s="14" t="s">
        <v>72</v>
      </c>
      <c r="C7" s="12" t="s">
        <v>16</v>
      </c>
      <c r="D7" s="34" t="s">
        <v>85</v>
      </c>
      <c r="E7" s="9" t="s">
        <v>40</v>
      </c>
      <c r="F7" s="12" t="s">
        <v>73</v>
      </c>
      <c r="G7" s="31">
        <v>0.75</v>
      </c>
      <c r="H7" s="12" t="s">
        <v>25</v>
      </c>
      <c r="I7" s="27" t="s">
        <v>93</v>
      </c>
    </row>
    <row r="8" spans="2:9" s="42" customFormat="1" ht="94.5">
      <c r="B8" s="36" t="s">
        <v>72</v>
      </c>
      <c r="C8" s="37" t="s">
        <v>16</v>
      </c>
      <c r="D8" s="38" t="s">
        <v>88</v>
      </c>
      <c r="E8" s="39" t="s">
        <v>40</v>
      </c>
      <c r="F8" s="37" t="s">
        <v>73</v>
      </c>
      <c r="G8" s="40">
        <v>3.75</v>
      </c>
      <c r="H8" s="37" t="s">
        <v>25</v>
      </c>
      <c r="I8" s="41" t="s">
        <v>89</v>
      </c>
    </row>
    <row r="9" spans="2:9" s="42" customFormat="1" ht="40.5">
      <c r="B9" s="36" t="s">
        <v>72</v>
      </c>
      <c r="C9" s="37" t="s">
        <v>16</v>
      </c>
      <c r="D9" s="38" t="s">
        <v>87</v>
      </c>
      <c r="E9" s="39" t="s">
        <v>40</v>
      </c>
      <c r="F9" s="37" t="s">
        <v>73</v>
      </c>
      <c r="G9" s="40">
        <v>7</v>
      </c>
      <c r="H9" s="37" t="s">
        <v>25</v>
      </c>
      <c r="I9" s="41" t="s">
        <v>94</v>
      </c>
    </row>
    <row r="10" spans="2:9" ht="54">
      <c r="B10" s="14" t="s">
        <v>72</v>
      </c>
      <c r="C10" s="12" t="s">
        <v>18</v>
      </c>
      <c r="D10" s="33" t="s">
        <v>74</v>
      </c>
      <c r="E10" s="9" t="s">
        <v>27</v>
      </c>
      <c r="F10" s="12"/>
      <c r="G10" s="31">
        <v>3</v>
      </c>
      <c r="H10" s="12" t="s">
        <v>27</v>
      </c>
      <c r="I10" s="27" t="s">
        <v>96</v>
      </c>
    </row>
    <row r="11" spans="2:9" ht="40.5">
      <c r="B11" s="14" t="s">
        <v>72</v>
      </c>
      <c r="C11" s="12" t="s">
        <v>16</v>
      </c>
      <c r="D11" s="28" t="s">
        <v>75</v>
      </c>
      <c r="E11" s="9" t="s">
        <v>27</v>
      </c>
      <c r="F11" s="12" t="s">
        <v>73</v>
      </c>
      <c r="G11" s="31">
        <v>3</v>
      </c>
      <c r="H11" s="12" t="s">
        <v>24</v>
      </c>
      <c r="I11" s="27" t="s">
        <v>81</v>
      </c>
    </row>
    <row r="12" spans="2:9" ht="27">
      <c r="B12" s="14" t="s">
        <v>72</v>
      </c>
      <c r="C12" s="12" t="s">
        <v>18</v>
      </c>
      <c r="D12" s="29" t="s">
        <v>77</v>
      </c>
      <c r="E12" s="9" t="s">
        <v>27</v>
      </c>
      <c r="F12" s="12"/>
      <c r="G12" s="31">
        <v>4</v>
      </c>
      <c r="H12" s="12" t="s">
        <v>76</v>
      </c>
      <c r="I12" s="27" t="s">
        <v>83</v>
      </c>
    </row>
    <row r="13" spans="2:9" ht="27">
      <c r="B13" s="14" t="s">
        <v>72</v>
      </c>
      <c r="C13" s="12" t="s">
        <v>18</v>
      </c>
      <c r="D13" s="29" t="s">
        <v>78</v>
      </c>
      <c r="E13" s="9" t="s">
        <v>27</v>
      </c>
      <c r="G13" s="31">
        <v>3</v>
      </c>
      <c r="H13" s="12" t="s">
        <v>38</v>
      </c>
      <c r="I13" s="27" t="s">
        <v>86</v>
      </c>
    </row>
    <row r="14" spans="2:9" ht="27">
      <c r="B14" s="14" t="s">
        <v>72</v>
      </c>
      <c r="C14" s="12" t="s">
        <v>18</v>
      </c>
      <c r="D14" s="29" t="s">
        <v>79</v>
      </c>
      <c r="E14" s="9" t="s">
        <v>27</v>
      </c>
      <c r="F14" s="12"/>
      <c r="G14" s="31">
        <v>4</v>
      </c>
      <c r="H14" s="12" t="s">
        <v>27</v>
      </c>
      <c r="I14" s="27" t="s">
        <v>97</v>
      </c>
    </row>
    <row r="15" spans="2:9" ht="27">
      <c r="B15" s="14" t="s">
        <v>72</v>
      </c>
      <c r="C15" s="12" t="s">
        <v>18</v>
      </c>
      <c r="D15" s="35" t="s">
        <v>91</v>
      </c>
      <c r="E15" s="9" t="s">
        <v>27</v>
      </c>
      <c r="F15" s="12"/>
      <c r="G15" s="31">
        <v>2</v>
      </c>
      <c r="H15" s="12" t="s">
        <v>27</v>
      </c>
      <c r="I15" s="27" t="s">
        <v>92</v>
      </c>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20"/>
      <c r="C21" s="21"/>
      <c r="D21" s="22"/>
      <c r="E21" s="22"/>
      <c r="F21" s="24" t="s">
        <v>67</v>
      </c>
      <c r="G21" s="46">
        <f>SUM(G3:G20)</f>
        <v>36.25</v>
      </c>
      <c r="H21" s="47"/>
      <c r="I21" s="48"/>
    </row>
    <row r="22" spans="2:9" ht="15.5" thickBot="1">
      <c r="B22" s="17"/>
      <c r="C22" s="18"/>
      <c r="D22" s="19"/>
      <c r="E22" s="19"/>
      <c r="F22" s="23" t="s">
        <v>68</v>
      </c>
      <c r="G22" s="43">
        <v>4.5</v>
      </c>
      <c r="H22" s="44"/>
      <c r="I22" s="45"/>
    </row>
    <row r="23" spans="2:9" ht="15.5" thickTop="1"/>
  </sheetData>
  <mergeCells count="2">
    <mergeCell ref="G22:I22"/>
    <mergeCell ref="G21:I21"/>
  </mergeCells>
  <phoneticPr fontId="7" type="noConversion"/>
  <dataValidations count="3">
    <dataValidation type="list" allowBlank="1" showInputMessage="1" showErrorMessage="1" sqref="F14:F20 F4:F11" xr:uid="{F83073F9-B682-4199-971B-076ADC9C0BFE}">
      <formula1>INDIRECT(E4)</formula1>
    </dataValidation>
    <dataValidation type="list" allowBlank="1" showInputMessage="1" showErrorMessage="1" sqref="F12" xr:uid="{8CE8A12B-034E-465D-A1D0-859CE9C488A8}">
      <formula1>INDIRECT(E13)</formula1>
    </dataValidation>
    <dataValidation type="list" allowBlank="1" showInputMessage="1" showErrorMessage="1" sqref="H4:H20"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E4:E22</xm:sqref>
        </x14:dataValidation>
        <x14:dataValidation type="list" allowBlank="1" showInputMessage="1" showErrorMessage="1" xr:uid="{FF6AA621-4A8B-4F89-A7EB-EAD05C7EE20B}">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2025-08-11T23:52:01Z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