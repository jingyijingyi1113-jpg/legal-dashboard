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B2715D2E-1F7B-4628-A294-021433C45339}" xr6:coauthVersionLast="47" xr6:coauthVersionMax="47" xr10:uidLastSave="{00000000-0000-0000-0000-000000000000}"/>
  <bookViews>
    <workbookView xWindow="295" yWindow="330" windowWidth="18355" windowHeight="105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<sst xmlns="http://schemas.openxmlformats.org/spreadsheetml/2006/main" count="196" uniqueCount="104">
  <si>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</si>
  <si>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</si>
  <si>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</si>
  <si>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</si>
  <si>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</si>
  <si>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</si>
  <si>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</si>
  <si>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</si>
  <si>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</si>
  <si>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</si>
  <si>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</si>
  <si>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</si>
  <si>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</si>
  <si>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</si>
  <si>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</si>
  <si>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</si>
  <si>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</si>
  <si>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</si>
  <si>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</si>
  <si>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</si>
  <si>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</si>
  <si>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</si>
  <si>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</si>
  <si>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</si>
  <si>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</si>
  <si>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</si>
  <si>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</si>
  <si>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</si>
  <si>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</si>
  <si>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</si>
  <si>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</si>
  <si>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</si>
  <si>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</si>
  <si>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</si>
  <si>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</si>
  <si>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</si>
  <si>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</si>
  <si>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</si>
  <si>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</si>
  <si>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</si>
  <si>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</si>
  <si>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</si>
  <si>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</si>
  <si>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</si>
  <si>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</si>
  <si>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</si>
  <si>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</si>
  <si>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</si>
  <si>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</si>
  <si>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</si>
  <si>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</si>
  <si>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</si>
  <si>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</si>
  <si>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</si>
  <si>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</si>
  <si>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</si>
  <si>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</si>
  <si>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</si>
  <si>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</si>
  <si>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</si>
  <si>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</si>
  <si>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</si>
  <si>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</si>
  <si>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</si>
  <si>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</si>
  <si>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</si>
  <si>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</si>
  <si>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</si>
  <si>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</si>
  <si>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</si>
  <si>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</si>
  <si>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</si>
  <si>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</si>
  <si>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</si>
  <si>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</si>
  <si>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</si>
  <si>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</si>
  <si>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</si>
  <si>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</si>
  <si>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</si>
  <si>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Venture Reality Fund</t>
  </si>
  <si>
    <t>Sort/respond to emails and inquiries.</t>
  </si>
  <si>
    <t>Investment approved and subscription docs received for review.</t>
  </si>
  <si>
    <t>Tencent America 401k committee</t>
  </si>
  <si>
    <t>Weekly business team meeting.</t>
  </si>
  <si>
    <t>Outpace Bio</t>
  </si>
  <si>
    <t>Regulatory review; confirm ability to invest in T2/T3 if &lt;100 US persons; send advice/summary to biz team.</t>
  </si>
  <si>
    <t>Time-entry; deal updates; short files.</t>
  </si>
  <si>
    <t>Public - Knowledge Accumulation &amp; Sharing</t>
  </si>
  <si>
    <t>Providing training sessions/knowledge sharing</t>
  </si>
  <si>
    <t>Sensitive data rule/CFIUS</t>
  </si>
  <si>
    <t>Outcast Ventures</t>
  </si>
  <si>
    <t>Review invoices, discussion with Scott at COV for better process; fee quotes.</t>
  </si>
  <si>
    <t>Recruit new program lead Eva to help take over from Nicole; meeting with Teresa, Aaron and Eva; discuss pain points to let Brent know; draft proposal to Brent for contractor hire and delegate approval authority; intro John and Eva to Abilitypath again.</t>
  </si>
  <si>
    <t>Scorecard, review presentations and materials and discuss with internal 401k committee.  Committee finally picked Mercer over NFP.</t>
  </si>
  <si>
    <t>国际监管趋势监测、预判 Monitoring and forecasting international regulatory trends</t>
  </si>
  <si>
    <t>Call with Ian and team on case studies on DSP where COV gave conservative response we may not agree with.</t>
  </si>
  <si>
    <t xml:space="preserve">Sensitive data rule/DSP </t>
  </si>
  <si>
    <t>Sensitive data rule and tranche investments</t>
  </si>
  <si>
    <t>Finance team CFIUS and DSP training</t>
  </si>
  <si>
    <t>Finance team training for CFIUS/DSP request by Catherine, to work with Martin and Wenna.</t>
  </si>
  <si>
    <t>Question from Janet on US investment team for internal policies; update draft brief on DSP compliance measures and process; CTD award drafting.</t>
  </si>
  <si>
    <t>Discussing and proving Mia with case of tranche investment and DSP not in effect in first tranche but will be in effect for upcoming tranche; answering questions from Mia regarding US investment team employed by Tencent America for regulatory inquiry; discuss with Jasonchang on  govt inquiry related to Tencent America and exploration team website.</t>
  </si>
  <si>
    <t>Regulatory review; summarize and send to Yan/Brent for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</si>
</sst>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11" zoomScale="70" zoomScaleNormal="70" workbookViewId="0">
      <selection activeCell="E8" sqref="E8"/>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80</v>
      </c>
      <c r="E4" s="9" t="s">
        <v>40</v>
      </c>
      <c r="F4" s="12" t="s">
        <v>73</v>
      </c>
      <c r="G4" s="31">
        <v>7</v>
      </c>
      <c r="H4" s="12" t="s">
        <v>25</v>
      </c>
      <c r="I4" s="27" t="s">
        <v>82</v>
      </c>
    </row>
    <row r="5" spans="2:9" ht="27">
      <c r="B5" s="14" t="s">
        <v>72</v>
      </c>
      <c r="C5" s="12" t="s">
        <v>16</v>
      </c>
      <c r="D5" s="34" t="s">
        <v>91</v>
      </c>
      <c r="E5" s="9" t="s">
        <v>40</v>
      </c>
      <c r="F5" s="12" t="s">
        <v>73</v>
      </c>
      <c r="G5" s="31">
        <v>5</v>
      </c>
      <c r="H5" s="12" t="s">
        <v>25</v>
      </c>
      <c r="I5" s="27" t="s">
        <v>103</v>
      </c>
    </row>
    <row r="6" spans="2:9" ht="40.5">
      <c r="B6" s="14" t="s">
        <v>72</v>
      </c>
      <c r="C6" s="12" t="s">
        <v>16</v>
      </c>
      <c r="D6" s="34" t="s">
        <v>85</v>
      </c>
      <c r="E6" s="9" t="s">
        <v>40</v>
      </c>
      <c r="F6" s="12" t="s">
        <v>73</v>
      </c>
      <c r="G6" s="31">
        <v>0.5</v>
      </c>
      <c r="H6" s="12" t="s">
        <v>25</v>
      </c>
      <c r="I6" s="27" t="s">
        <v>86</v>
      </c>
    </row>
    <row r="7" spans="2:9" ht="40.5">
      <c r="B7" s="14" t="s">
        <v>72</v>
      </c>
      <c r="C7" s="12" t="s">
        <v>17</v>
      </c>
      <c r="D7" s="34" t="s">
        <v>83</v>
      </c>
      <c r="E7" s="9" t="s">
        <v>27</v>
      </c>
      <c r="F7" s="12"/>
      <c r="G7" s="31">
        <v>1.75</v>
      </c>
      <c r="H7" s="12"/>
      <c r="I7" s="27" t="s">
        <v>94</v>
      </c>
    </row>
    <row r="8" spans="2:9" ht="54">
      <c r="B8" s="14" t="s">
        <v>72</v>
      </c>
      <c r="C8" s="12" t="s">
        <v>88</v>
      </c>
      <c r="D8" s="34" t="s">
        <v>90</v>
      </c>
      <c r="E8" s="9" t="s">
        <v>27</v>
      </c>
      <c r="F8" s="12"/>
      <c r="G8" s="31">
        <v>2.5</v>
      </c>
      <c r="H8" s="12" t="s">
        <v>89</v>
      </c>
      <c r="I8" s="27" t="s">
        <v>101</v>
      </c>
    </row>
    <row r="9" spans="2:9" ht="108">
      <c r="B9" s="14" t="s">
        <v>72</v>
      </c>
      <c r="C9" s="12" t="s">
        <v>88</v>
      </c>
      <c r="D9" s="34" t="s">
        <v>98</v>
      </c>
      <c r="E9" s="9"/>
      <c r="F9" s="12"/>
      <c r="G9" s="31">
        <v>2</v>
      </c>
      <c r="H9" s="12" t="s">
        <v>89</v>
      </c>
      <c r="I9" s="27" t="s">
        <v>102</v>
      </c>
    </row>
    <row r="10" spans="2:9" ht="40.5">
      <c r="B10" s="14" t="s">
        <v>72</v>
      </c>
      <c r="C10" s="12" t="s">
        <v>88</v>
      </c>
      <c r="D10" s="34" t="s">
        <v>99</v>
      </c>
      <c r="E10" s="9" t="s">
        <v>40</v>
      </c>
      <c r="F10" s="12" t="s">
        <v>95</v>
      </c>
      <c r="G10" s="31">
        <v>0.75</v>
      </c>
      <c r="H10" s="12" t="s">
        <v>89</v>
      </c>
      <c r="I10" s="27" t="s">
        <v>100</v>
      </c>
    </row>
    <row r="11" spans="2:9" ht="40.5">
      <c r="B11" s="14" t="s">
        <v>72</v>
      </c>
      <c r="C11" s="12" t="s">
        <v>88</v>
      </c>
      <c r="D11" s="34" t="s">
        <v>97</v>
      </c>
      <c r="E11" s="9" t="s">
        <v>40</v>
      </c>
      <c r="F11" s="12" t="s">
        <v>95</v>
      </c>
      <c r="G11" s="31">
        <v>0.25</v>
      </c>
      <c r="H11" s="12" t="s">
        <v>23</v>
      </c>
      <c r="I11" s="27" t="s">
        <v>96</v>
      </c>
    </row>
    <row r="12" spans="2:9" ht="81">
      <c r="B12" s="14" t="s">
        <v>72</v>
      </c>
      <c r="C12" s="12" t="s">
        <v>18</v>
      </c>
      <c r="D12" s="33" t="s">
        <v>74</v>
      </c>
      <c r="E12" s="9" t="s">
        <v>27</v>
      </c>
      <c r="F12" s="12"/>
      <c r="G12" s="31">
        <v>5</v>
      </c>
      <c r="H12" s="12" t="s">
        <v>27</v>
      </c>
      <c r="I12" s="27" t="s">
        <v>93</v>
      </c>
    </row>
    <row r="13" spans="2:9" ht="40.5">
      <c r="B13" s="14" t="s">
        <v>72</v>
      </c>
      <c r="C13" s="12" t="s">
        <v>16</v>
      </c>
      <c r="D13" s="28" t="s">
        <v>75</v>
      </c>
      <c r="E13" s="9" t="s">
        <v>27</v>
      </c>
      <c r="F13" s="12" t="s">
        <v>73</v>
      </c>
      <c r="G13" s="31">
        <v>3</v>
      </c>
      <c r="H13" s="12" t="s">
        <v>24</v>
      </c>
      <c r="I13" s="27" t="s">
        <v>84</v>
      </c>
    </row>
    <row r="14" spans="2:9" ht="27">
      <c r="B14" s="14" t="s">
        <v>72</v>
      </c>
      <c r="C14" s="12" t="s">
        <v>18</v>
      </c>
      <c r="D14" s="29" t="s">
        <v>77</v>
      </c>
      <c r="E14" s="9" t="s">
        <v>27</v>
      </c>
      <c r="F14" s="12"/>
      <c r="G14" s="31">
        <v>3</v>
      </c>
      <c r="H14" s="12" t="s">
        <v>76</v>
      </c>
      <c r="I14" s="27" t="s">
        <v>87</v>
      </c>
    </row>
    <row r="15" spans="2:9" ht="27">
      <c r="B15" s="14" t="s">
        <v>72</v>
      </c>
      <c r="C15" s="12" t="s">
        <v>18</v>
      </c>
      <c r="D15" s="29" t="s">
        <v>78</v>
      </c>
      <c r="E15" s="9" t="s">
        <v>27</v>
      </c>
      <c r="G15" s="31">
        <v>2</v>
      </c>
      <c r="H15" s="12" t="s">
        <v>38</v>
      </c>
      <c r="I15" s="27" t="s">
        <v>92</v>
      </c>
    </row>
    <row r="16" spans="2:9">
      <c r="B16" s="14" t="s">
        <v>72</v>
      </c>
      <c r="C16" s="12" t="s">
        <v>18</v>
      </c>
      <c r="D16" s="29" t="s">
        <v>79</v>
      </c>
      <c r="E16" s="9" t="s">
        <v>27</v>
      </c>
      <c r="F16" s="12"/>
      <c r="G16" s="31">
        <v>3.5</v>
      </c>
      <c r="H16" s="12" t="s">
        <v>27</v>
      </c>
      <c r="I16" s="27" t="s">
        <v>81</v>
      </c>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20"/>
      <c r="C23" s="21"/>
      <c r="D23" s="22"/>
      <c r="E23" s="22"/>
      <c r="F23" s="24" t="s">
        <v>67</v>
      </c>
      <c r="G23" s="38">
        <f>SUM(G3:G22)</f>
        <v>36.25</v>
      </c>
      <c r="H23" s="39"/>
      <c r="I23" s="40"/>
    </row>
    <row r="24" spans="2:9" ht="15.5" thickBot="1">
      <c r="B24" s="17"/>
      <c r="C24" s="18"/>
      <c r="D24" s="19"/>
      <c r="E24" s="19"/>
      <c r="F24" s="23" t="s">
        <v>68</v>
      </c>
      <c r="G24" s="35">
        <v>4.5</v>
      </c>
      <c r="H24" s="36"/>
      <c r="I24" s="37"/>
    </row>
    <row r="25" spans="2:9" ht="15.5" thickTop="1"/>
  </sheetData>
  <mergeCells count="2">
    <mergeCell ref="G24:I24"/>
    <mergeCell ref="G23:I23"/>
  </mergeCells>
  <phoneticPr fontId="7" type="noConversion"/>
  <dataValidations count="3">
    <dataValidation type="list" allowBlank="1" showInputMessage="1" showErrorMessage="1" sqref="F16:F22 F4:F13" xr:uid="{F83073F9-B682-4199-971B-076ADC9C0BFE}">
      <formula1>INDIRECT(E4)</formula1>
    </dataValidation>
    <dataValidation type="list" allowBlank="1" showInputMessage="1" showErrorMessage="1" sqref="F14" xr:uid="{8CE8A12B-034E-465D-A1D0-859CE9C488A8}">
      <formula1>INDIRECT(E15)</formula1>
    </dataValidation>
    <dataValidation type="list" allowBlank="1" showInputMessage="1" showErrorMessage="1" sqref="H4:H22"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E4:E24</xm:sqref>
        </x14:dataValidation>
        <x14:dataValidation type="list" allowBlank="1" showInputMessage="1" showErrorMessage="1" xr:uid="{FF6AA621-4A8B-4F89-A7EB-EAD05C7EE20B}">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2025-07-29T01:37:15Z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