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jia\Desktop\"/>
    </mc:Choice>
  </mc:AlternateContent>
  <xr:revisionPtr revIDLastSave="0" documentId="13_ncr:1_{944FDB64-D145-412D-8E37-FAF5F58BF95A}" xr6:coauthVersionLast="47" xr6:coauthVersionMax="47" xr10:uidLastSave="{00000000-0000-0000-0000-000000000000}"/>
  <bookViews>
    <workbookView xWindow="295" yWindow="330" windowWidth="18355" windowHeight="1051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2" i="1" l="1"/>
</calcChain>
</file>

<file path=xl/sharedStrings.xml><?xml version="1.0" encoding="utf-8"?>
<sst xmlns="http://schemas.openxmlformats.org/spreadsheetml/2006/main" count="190" uniqueCount="101">
  <si>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</si>
  <si>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</si>
  <si>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</si>
  <si>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</si>
  <si>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</si>
  <si>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</si>
  <si>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</si>
  <si>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</si>
  <si>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</si>
  <si>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</si>
  <si>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</si>
  <si>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</si>
  <si>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</si>
  <si>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</si>
  <si>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</si>
  <si>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</si>
  <si>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</si>
  <si>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</si>
  <si>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</si>
  <si>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</si>
  <si>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</si>
  <si>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</si>
  <si>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</si>
  <si>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</si>
  <si>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</si>
  <si>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</si>
  <si>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</si>
  <si>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</si>
  <si>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</si>
  <si>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</si>
  <si>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</si>
  <si>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</si>
  <si>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</si>
  <si>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</si>
  <si>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</si>
  <si>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</si>
  <si>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</si>
  <si>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</si>
  <si>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</si>
  <si>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</si>
  <si>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</si>
  <si>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</si>
  <si>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</si>
  <si>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</si>
  <si>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</si>
  <si>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</si>
  <si>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</si>
  <si>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</si>
  <si>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</si>
  <si>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</si>
  <si>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</si>
  <si>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</si>
  <si>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</si>
  <si>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</si>
  <si>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</si>
  <si>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</si>
  <si>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</si>
  <si>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</si>
  <si>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</si>
  <si>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</si>
  <si>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</si>
  <si>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</si>
  <si>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</si>
  <si>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</si>
  <si>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</si>
  <si>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</si>
  <si>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</si>
  <si>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</si>
  <si>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</si>
  <si>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</si>
  <si>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</si>
  <si>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</si>
  <si>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jiayau</t>
  </si>
  <si>
    <t>投资项目全流程法务支持 Full-process legal support for investments</t>
  </si>
  <si>
    <t>Tencent Americas Giving</t>
  </si>
  <si>
    <t>US investment team weekly biz meeting</t>
  </si>
  <si>
    <t>Recording/reviewing deals updates/weekly time reports/other team summaries</t>
  </si>
  <si>
    <t>Administrative</t>
  </si>
  <si>
    <t>Legal bills</t>
  </si>
  <si>
    <t>Misc</t>
  </si>
  <si>
    <t>Venture Reality Fund</t>
  </si>
  <si>
    <t>Sort/respond to emails and inquiries.</t>
  </si>
  <si>
    <t>Regulatory review.</t>
  </si>
  <si>
    <t>Investment approved and subscription docs received for review.</t>
  </si>
  <si>
    <t>Tencent America 401k committee</t>
  </si>
  <si>
    <t>Weekly business team meeting.</t>
  </si>
  <si>
    <t>Scorecard, review presentations and materials and discuss with internal 401k committee.</t>
  </si>
  <si>
    <t>Tencent controlled corporation check</t>
  </si>
  <si>
    <t>Time-entry; deal updates; short files.</t>
  </si>
  <si>
    <t>Public - Knowledge Accumulation &amp; Sharing</t>
  </si>
  <si>
    <t>Providing training sessions/knowledge sharing</t>
  </si>
  <si>
    <t>Discussion and sharing SDR security compliance and WorkMagic case and reps with Mia and Martin etc.; updating and sending to Lucy CFIUS/SDR tracking and emails of companies we recommended not to invest in.</t>
  </si>
  <si>
    <t>Sensitive data rule/CFIUS</t>
  </si>
  <si>
    <t>TAG monthly meeting; Nicole leaving TAG; send executed agreements to Aaron, Nicole and Priya; discuss trophy order with Teresa; discuss FGT event this Friday; FGT back to school backpacking event.</t>
  </si>
  <si>
    <t>Outcast Ventures</t>
  </si>
  <si>
    <t>Solera</t>
  </si>
  <si>
    <t>Series B2 docs review, Tencent not investing; convertible note bridge before Series B2 docs as well.</t>
  </si>
  <si>
    <t>Review invoices, discussion with Scott at COV for better process; fee quotes.</t>
  </si>
  <si>
    <t>Update Flora on Tencent portfolio companies over 10% that may have 1/3 voting which would be considered controlled corporations.</t>
  </si>
  <si>
    <t>Tencent America</t>
  </si>
  <si>
    <t>Discussion and fill out survey for US tax team Rona relating to my work in the US and whether support any China related work; discuss with Mia on Tencent America entities; discussion with finance Maggie about team building budget.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</si>
</sst>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
      <sz val="10"/>
      <color theme="4" tint="-0.499984740745262"/>
      <name val="Calibri"/>
      <family val="2"/>
      <scheme val="minor"/>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indexed="64"/>
      </right>
      <top style="thin">
        <color indexed="64"/>
      </top>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8"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9" fillId="0" borderId="19" xfId="0" applyFont="1" applyBorder="1" applyAlignment="1">
      <alignment vertical="center" wrapText="1"/>
    </xf>
    <xf numFmtId="0" fontId="1" fillId="0" borderId="4" xfId="0" applyFont="1" applyBorder="1">
      <alignment vertical="center"/>
    </xf>
    <xf numFmtId="0" fontId="4" fillId="2" borderId="4" xfId="0" applyFont="1" applyFill="1" applyBorder="1" applyAlignment="1">
      <alignment horizontal="center" vertical="center" wrapText="1"/>
    </xf>
    <xf numFmtId="0" fontId="5" fillId="0" borderId="4" xfId="0" applyFont="1" applyBorder="1" applyAlignment="1">
      <alignment horizontal="center" vertical="center"/>
    </xf>
    <xf numFmtId="0" fontId="0" fillId="0" borderId="0" xfId="0" applyAlignment="1">
      <alignment horizontal="center" vertical="center"/>
    </xf>
    <xf numFmtId="0" fontId="10" fillId="0" borderId="4" xfId="0" applyFont="1" applyBorder="1" applyAlignment="1">
      <alignment vertical="center" wrapText="1"/>
    </xf>
    <xf numFmtId="0" fontId="10" fillId="0" borderId="19"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70" zoomScaleNormal="70" workbookViewId="0">
      <selection activeCell="B4" sqref="B4"/>
    </sheetView>
  </sheetViews>
  <sheetFormatPr defaultColWidth="9" defaultRowHeight="14.75"/>
  <cols>
    <col min="3" max="3" width="31.31640625" style="13" customWidth="1"/>
    <col min="4" max="4" width="15.08984375" customWidth="1"/>
    <col min="5" max="5" width="10.58984375" customWidth="1"/>
    <col min="6" max="6" width="29.90625" style="13" customWidth="1"/>
    <col min="7" max="7" width="9" style="32"/>
    <col min="8" max="8" width="41.58984375" style="13" customWidth="1"/>
    <col min="9" max="9" width="39.86328125" style="13" customWidth="1"/>
  </cols>
  <sheetData>
    <row r="2" spans="2:9" ht="27">
      <c r="B2" s="4" t="s">
        <v>0</v>
      </c>
      <c r="C2" s="5" t="s">
        <v>70</v>
      </c>
      <c r="D2" s="5" t="s">
        <v>1</v>
      </c>
      <c r="E2" s="5" t="s">
        <v>2</v>
      </c>
      <c r="F2" s="5" t="s">
        <v>3</v>
      </c>
      <c r="G2" s="5" t="s">
        <v>4</v>
      </c>
      <c r="H2" s="5" t="s">
        <v>5</v>
      </c>
      <c r="I2" s="26" t="s">
        <v>6</v>
      </c>
    </row>
    <row r="3" spans="2:9" ht="207.9" customHeight="1">
      <c r="B3" s="6" t="s">
        <v>7</v>
      </c>
      <c r="C3" s="7" t="s">
        <v>8</v>
      </c>
      <c r="D3" s="7" t="s">
        <v>9</v>
      </c>
      <c r="E3" s="7" t="s">
        <v>59</v>
      </c>
      <c r="F3" s="7" t="s">
        <v>57</v>
      </c>
      <c r="G3" s="30" t="s">
        <v>10</v>
      </c>
      <c r="H3" s="7" t="s">
        <v>11</v>
      </c>
      <c r="I3" s="10" t="s">
        <v>12</v>
      </c>
    </row>
    <row r="4" spans="2:9" ht="27">
      <c r="B4" s="14" t="s">
        <v>72</v>
      </c>
      <c r="C4" s="12" t="s">
        <v>16</v>
      </c>
      <c r="D4" s="34" t="s">
        <v>80</v>
      </c>
      <c r="E4" s="9" t="s">
        <v>40</v>
      </c>
      <c r="F4" s="12" t="s">
        <v>73</v>
      </c>
      <c r="G4" s="31">
        <v>8</v>
      </c>
      <c r="H4" s="12" t="s">
        <v>25</v>
      </c>
      <c r="I4" s="27" t="s">
        <v>83</v>
      </c>
    </row>
    <row r="5" spans="2:9" ht="27">
      <c r="B5" s="14" t="s">
        <v>72</v>
      </c>
      <c r="C5" s="12" t="s">
        <v>16</v>
      </c>
      <c r="D5" s="34" t="s">
        <v>94</v>
      </c>
      <c r="E5" s="9" t="s">
        <v>40</v>
      </c>
      <c r="F5" s="12" t="s">
        <v>73</v>
      </c>
      <c r="G5" s="31">
        <v>2.5</v>
      </c>
      <c r="H5" s="12" t="s">
        <v>25</v>
      </c>
      <c r="I5" s="27" t="s">
        <v>82</v>
      </c>
    </row>
    <row r="6" spans="2:9" ht="40.5">
      <c r="B6" s="14" t="s">
        <v>72</v>
      </c>
      <c r="C6" s="12" t="s">
        <v>16</v>
      </c>
      <c r="D6" s="34" t="s">
        <v>95</v>
      </c>
      <c r="E6" s="9" t="s">
        <v>40</v>
      </c>
      <c r="F6" s="12" t="s">
        <v>73</v>
      </c>
      <c r="G6" s="31">
        <v>1.5</v>
      </c>
      <c r="H6" s="12" t="s">
        <v>20</v>
      </c>
      <c r="I6" s="27" t="s">
        <v>96</v>
      </c>
    </row>
    <row r="7" spans="2:9" ht="40.5">
      <c r="B7" s="14" t="s">
        <v>72</v>
      </c>
      <c r="C7" s="12" t="s">
        <v>16</v>
      </c>
      <c r="D7" s="34" t="s">
        <v>87</v>
      </c>
      <c r="E7" s="9" t="s">
        <v>40</v>
      </c>
      <c r="F7" s="12" t="s">
        <v>73</v>
      </c>
      <c r="G7" s="31">
        <v>0.25</v>
      </c>
      <c r="H7" s="12" t="s">
        <v>36</v>
      </c>
      <c r="I7" s="27" t="s">
        <v>98</v>
      </c>
    </row>
    <row r="8" spans="2:9" ht="27">
      <c r="B8" s="14" t="s">
        <v>72</v>
      </c>
      <c r="C8" s="12" t="s">
        <v>17</v>
      </c>
      <c r="D8" s="34" t="s">
        <v>84</v>
      </c>
      <c r="E8" s="9" t="s">
        <v>27</v>
      </c>
      <c r="F8" s="12"/>
      <c r="G8" s="31">
        <v>1.5</v>
      </c>
      <c r="H8" s="12"/>
      <c r="I8" s="27" t="s">
        <v>86</v>
      </c>
    </row>
    <row r="9" spans="2:9" ht="67.5">
      <c r="B9" s="14" t="s">
        <v>72</v>
      </c>
      <c r="C9" s="12" t="s">
        <v>17</v>
      </c>
      <c r="D9" s="34" t="s">
        <v>99</v>
      </c>
      <c r="E9" s="9" t="s">
        <v>27</v>
      </c>
      <c r="F9" s="12"/>
      <c r="G9" s="31">
        <v>2.5</v>
      </c>
      <c r="H9" s="12" t="s">
        <v>36</v>
      </c>
      <c r="I9" s="27" t="s">
        <v>100</v>
      </c>
    </row>
    <row r="10" spans="2:9" ht="67.5">
      <c r="B10" s="14" t="s">
        <v>72</v>
      </c>
      <c r="C10" s="12" t="s">
        <v>89</v>
      </c>
      <c r="D10" s="34" t="s">
        <v>92</v>
      </c>
      <c r="E10" s="9" t="s">
        <v>27</v>
      </c>
      <c r="F10" s="12"/>
      <c r="G10" s="31">
        <v>5</v>
      </c>
      <c r="H10" s="12" t="s">
        <v>90</v>
      </c>
      <c r="I10" s="27" t="s">
        <v>91</v>
      </c>
    </row>
    <row r="11" spans="2:9" ht="67.5">
      <c r="B11" s="14" t="s">
        <v>72</v>
      </c>
      <c r="C11" s="12" t="s">
        <v>18</v>
      </c>
      <c r="D11" s="33" t="s">
        <v>74</v>
      </c>
      <c r="E11" s="9" t="s">
        <v>27</v>
      </c>
      <c r="F11" s="12"/>
      <c r="G11" s="31">
        <v>6</v>
      </c>
      <c r="H11" s="12" t="s">
        <v>27</v>
      </c>
      <c r="I11" s="27" t="s">
        <v>93</v>
      </c>
    </row>
    <row r="12" spans="2:9" ht="40.5">
      <c r="B12" s="14" t="s">
        <v>72</v>
      </c>
      <c r="C12" s="12" t="s">
        <v>16</v>
      </c>
      <c r="D12" s="28" t="s">
        <v>75</v>
      </c>
      <c r="E12" s="9" t="s">
        <v>27</v>
      </c>
      <c r="F12" s="12" t="s">
        <v>73</v>
      </c>
      <c r="G12" s="31">
        <v>3</v>
      </c>
      <c r="H12" s="12" t="s">
        <v>24</v>
      </c>
      <c r="I12" s="27" t="s">
        <v>85</v>
      </c>
    </row>
    <row r="13" spans="2:9" ht="27">
      <c r="B13" s="14" t="s">
        <v>72</v>
      </c>
      <c r="C13" s="12" t="s">
        <v>18</v>
      </c>
      <c r="D13" s="29" t="s">
        <v>77</v>
      </c>
      <c r="E13" s="9" t="s">
        <v>27</v>
      </c>
      <c r="F13" s="12"/>
      <c r="G13" s="31">
        <v>3</v>
      </c>
      <c r="H13" s="12" t="s">
        <v>76</v>
      </c>
      <c r="I13" s="27" t="s">
        <v>88</v>
      </c>
    </row>
    <row r="14" spans="2:9" ht="27">
      <c r="B14" s="14" t="s">
        <v>72</v>
      </c>
      <c r="C14" s="12" t="s">
        <v>18</v>
      </c>
      <c r="D14" s="29" t="s">
        <v>78</v>
      </c>
      <c r="E14" s="9" t="s">
        <v>27</v>
      </c>
      <c r="G14" s="31">
        <v>3.5</v>
      </c>
      <c r="H14" s="12" t="s">
        <v>38</v>
      </c>
      <c r="I14" s="27" t="s">
        <v>97</v>
      </c>
    </row>
    <row r="15" spans="2:9">
      <c r="B15" s="14" t="s">
        <v>72</v>
      </c>
      <c r="C15" s="12" t="s">
        <v>18</v>
      </c>
      <c r="D15" s="29" t="s">
        <v>79</v>
      </c>
      <c r="E15" s="9" t="s">
        <v>27</v>
      </c>
      <c r="F15" s="12"/>
      <c r="G15" s="31">
        <v>3.5</v>
      </c>
      <c r="H15" s="12" t="s">
        <v>27</v>
      </c>
      <c r="I15" s="27" t="s">
        <v>81</v>
      </c>
    </row>
    <row r="16" spans="2:9">
      <c r="B16" s="8"/>
      <c r="C16" s="12"/>
      <c r="D16" s="9"/>
      <c r="E16" s="9"/>
      <c r="F16" s="12"/>
      <c r="G16" s="31"/>
      <c r="H16" s="12"/>
      <c r="I16" s="25"/>
    </row>
    <row r="17" spans="2:9">
      <c r="B17" s="8"/>
      <c r="C17" s="12"/>
      <c r="D17" s="9"/>
      <c r="E17" s="9"/>
      <c r="F17" s="12"/>
      <c r="G17" s="31"/>
      <c r="H17" s="12"/>
      <c r="I17" s="25"/>
    </row>
    <row r="18" spans="2:9">
      <c r="B18" s="8"/>
      <c r="C18" s="12"/>
      <c r="D18" s="9"/>
      <c r="E18" s="9"/>
      <c r="F18" s="12"/>
      <c r="G18" s="31"/>
      <c r="H18" s="12"/>
      <c r="I18" s="25"/>
    </row>
    <row r="19" spans="2:9">
      <c r="B19" s="8"/>
      <c r="C19" s="12"/>
      <c r="D19" s="9"/>
      <c r="E19" s="9"/>
      <c r="F19" s="12"/>
      <c r="G19" s="31"/>
      <c r="H19" s="12"/>
      <c r="I19" s="25"/>
    </row>
    <row r="20" spans="2:9">
      <c r="B20" s="8"/>
      <c r="C20" s="12"/>
      <c r="D20" s="9"/>
      <c r="E20" s="9"/>
      <c r="F20" s="12"/>
      <c r="G20" s="31"/>
      <c r="H20" s="12"/>
      <c r="I20" s="25"/>
    </row>
    <row r="21" spans="2:9">
      <c r="B21" s="8"/>
      <c r="C21" s="12"/>
      <c r="D21" s="9"/>
      <c r="E21" s="9"/>
      <c r="F21" s="12"/>
      <c r="G21" s="31"/>
      <c r="H21" s="12"/>
      <c r="I21" s="25"/>
    </row>
    <row r="22" spans="2:9">
      <c r="B22" s="20"/>
      <c r="C22" s="21"/>
      <c r="D22" s="22"/>
      <c r="E22" s="22"/>
      <c r="F22" s="24" t="s">
        <v>67</v>
      </c>
      <c r="G22" s="38">
        <f>SUM(G3:G21)</f>
        <v>40.25</v>
      </c>
      <c r="H22" s="39"/>
      <c r="I22" s="40"/>
    </row>
    <row r="23" spans="2:9" ht="15.5" thickBot="1">
      <c r="B23" s="17"/>
      <c r="C23" s="18"/>
      <c r="D23" s="19"/>
      <c r="E23" s="19"/>
      <c r="F23" s="23" t="s">
        <v>68</v>
      </c>
      <c r="G23" s="35">
        <v>5</v>
      </c>
      <c r="H23" s="36"/>
      <c r="I23" s="37"/>
    </row>
    <row r="24" spans="2:9" ht="15.5" thickTop="1"/>
  </sheetData>
  <mergeCells count="2">
    <mergeCell ref="G23:I23"/>
    <mergeCell ref="G22:I22"/>
  </mergeCells>
  <phoneticPr fontId="7" type="noConversion"/>
  <dataValidations count="3">
    <dataValidation type="list" allowBlank="1" showInputMessage="1" showErrorMessage="1" sqref="F15:F21 F4:F12" xr:uid="{F83073F9-B682-4199-971B-076ADC9C0BFE}">
      <formula1>INDIRECT(E4)</formula1>
    </dataValidation>
    <dataValidation type="list" allowBlank="1" showInputMessage="1" showErrorMessage="1" sqref="F13" xr:uid="{8CE8A12B-034E-465D-A1D0-859CE9C488A8}">
      <formula1>INDIRECT(E14)</formula1>
    </dataValidation>
    <dataValidation type="list" allowBlank="1" showInputMessage="1" showErrorMessage="1" sqref="H4:H21" xr:uid="{6CD1C274-5853-4956-B137-C6C59D3FCF7C}">
      <formula1>hh</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782133A2-5039-400A-BFF2-791B63B7B1CD}">
          <x14:formula1>
            <xm:f>数据标签!$B$11:$D$11</xm:f>
          </x14:formula1>
          <xm:sqref>E4:E23</xm:sqref>
        </x14:dataValidation>
        <x14:dataValidation type="list" allowBlank="1" showInputMessage="1" showErrorMessage="1" xr:uid="{FF6AA621-4A8B-4F89-A7EB-EAD05C7EE20B}">
          <x14:formula1>
            <xm:f>数据标签!$B$2:$H$2</xm:f>
          </x14:formula1>
          <xm:sqref>C4:C23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G6" sqref="G6"/>
    </sheetView>
  </sheetViews>
  <sheetFormatPr defaultColWidth="8.86328125" defaultRowHeight="13.5"/>
  <cols>
    <col min="1" max="1" width="8.86328125" style="1"/>
    <col min="2" max="2" width="26.86328125" style="1" customWidth="1"/>
    <col min="3" max="3" width="21.6328125" style="1" customWidth="1"/>
    <col min="4" max="7" width="28.58984375" style="1" customWidth="1"/>
    <col min="8" max="8" width="27.26953125" style="1" customWidth="1"/>
    <col min="9" max="16384" width="8.86328125" style="1"/>
  </cols>
  <sheetData>
    <row r="2" spans="1:8" ht="27">
      <c r="A2" s="2" t="s">
        <v>13</v>
      </c>
      <c r="B2" s="3" t="s">
        <v>14</v>
      </c>
      <c r="C2" s="3" t="s">
        <v>15</v>
      </c>
      <c r="D2" s="3" t="s">
        <v>16</v>
      </c>
      <c r="E2" s="3" t="s">
        <v>17</v>
      </c>
      <c r="F2" s="3" t="s">
        <v>69</v>
      </c>
      <c r="G2" s="3" t="s">
        <v>60</v>
      </c>
      <c r="H2" s="3" t="s">
        <v>18</v>
      </c>
    </row>
    <row r="3" spans="1:8" ht="40.5">
      <c r="A3" s="2" t="s">
        <v>19</v>
      </c>
      <c r="B3" s="3" t="s">
        <v>20</v>
      </c>
      <c r="C3" s="3" t="s">
        <v>20</v>
      </c>
      <c r="D3" s="3" t="s">
        <v>20</v>
      </c>
      <c r="E3" s="3" t="s">
        <v>21</v>
      </c>
      <c r="F3" s="3" t="s">
        <v>22</v>
      </c>
      <c r="G3" s="3" t="s">
        <v>23</v>
      </c>
      <c r="H3" s="3" t="s">
        <v>24</v>
      </c>
    </row>
    <row r="4" spans="1:8" ht="40.5">
      <c r="B4" s="3" t="s">
        <v>25</v>
      </c>
      <c r="C4" s="3" t="s">
        <v>25</v>
      </c>
      <c r="D4" s="3" t="s">
        <v>25</v>
      </c>
      <c r="E4" s="3" t="s">
        <v>26</v>
      </c>
      <c r="F4" s="15" t="s">
        <v>62</v>
      </c>
      <c r="G4" s="3" t="s">
        <v>58</v>
      </c>
      <c r="H4" s="3" t="s">
        <v>61</v>
      </c>
    </row>
    <row r="5" spans="1:8" ht="27">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4">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54">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jiayau 邱嘉敏</cp:lastModifiedBy>
  <dcterms:created xsi:type="dcterms:W3CDTF">2024-12-10T02:24:00Z</dcterms:created>
  <dcterms:modified xsi:type="dcterms:W3CDTF">2025-07-21T22:41:15Z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