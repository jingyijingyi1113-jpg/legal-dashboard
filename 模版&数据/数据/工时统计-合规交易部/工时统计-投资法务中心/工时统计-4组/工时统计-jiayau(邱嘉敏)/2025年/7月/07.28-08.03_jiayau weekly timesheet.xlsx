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F363966F-A64E-43A4-970A-A6B96B4D84F8}" xr6:coauthVersionLast="47" xr6:coauthVersionMax="47" xr10:uidLastSave="{00000000-0000-0000-0000-000000000000}"/>
  <bookViews>
    <workbookView xWindow="295" yWindow="330"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<sst xmlns="http://schemas.openxmlformats.org/spreadsheetml/2006/main" count="225" uniqueCount="112">
  <si>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</si>
  <si>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</si>
  <si>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</si>
  <si>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</si>
  <si>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</si>
  <si>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</si>
  <si>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</si>
  <si>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</si>
  <si>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</si>
  <si>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</si>
  <si>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</si>
  <si>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</si>
  <si>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</si>
  <si>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</si>
  <si>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</si>
  <si>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</si>
  <si>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</si>
  <si>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</si>
  <si>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</si>
  <si>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</si>
  <si>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</si>
  <si>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</si>
  <si>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</si>
  <si>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</si>
  <si>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</si>
  <si>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</si>
  <si>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</si>
  <si>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</si>
  <si>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</si>
  <si>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</si>
  <si>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</si>
  <si>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</si>
  <si>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</si>
  <si>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</si>
  <si>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</si>
  <si>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</si>
  <si>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</si>
  <si>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</si>
  <si>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</si>
  <si>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</si>
  <si>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</si>
  <si>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</si>
  <si>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</si>
  <si>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</si>
  <si>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</si>
  <si>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</si>
  <si>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</si>
  <si>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</si>
  <si>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</si>
  <si>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</si>
  <si>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</si>
  <si>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</si>
  <si>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</si>
  <si>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</si>
  <si>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</si>
  <si>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</si>
  <si>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</si>
  <si>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</si>
  <si>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</si>
  <si>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</si>
  <si>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</si>
  <si>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</si>
  <si>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</si>
  <si>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</si>
  <si>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</si>
  <si>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</si>
  <si>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</si>
  <si>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</si>
  <si>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</si>
  <si>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</si>
  <si>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</si>
  <si>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</si>
  <si>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</si>
  <si>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</si>
  <si>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</si>
  <si>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</si>
  <si>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</si>
  <si>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</si>
  <si>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</si>
  <si>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</si>
  <si>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Venture Reality Fund</t>
  </si>
  <si>
    <t>Weekly business team meeting.</t>
  </si>
  <si>
    <t>Time-entry; deal updates; short files.</t>
  </si>
  <si>
    <t>Public - Knowledge Accumulation &amp; Sharing</t>
  </si>
  <si>
    <t>Providing training sessions/knowledge sharing</t>
  </si>
  <si>
    <t>Outcast Ventures</t>
  </si>
  <si>
    <t>国际监管趋势监测、预判 Monitoring and forecasting international regulatory trends</t>
  </si>
  <si>
    <t xml:space="preserve">Sensitive data rule/DSP </t>
  </si>
  <si>
    <t>Sensitive data rule and tranche investments</t>
  </si>
  <si>
    <t>Finance team CFIUS and DSP training</t>
  </si>
  <si>
    <t>Internal Collection of CFIUS and Data Rule Evaluation Results</t>
  </si>
  <si>
    <t>Updated list; updated deal descriptions and answer Lucy questions.</t>
  </si>
  <si>
    <t>Update case5 and DSP reps and covenant on Ian's document; discuss with Wenna on her SPV 30% case.</t>
  </si>
  <si>
    <t>Regulatory review summary to biz team and send side-letter.</t>
  </si>
  <si>
    <t>Finished review; see biz team responses.</t>
  </si>
  <si>
    <t>Updated responses to counsel.</t>
  </si>
  <si>
    <t>Broken String Biosciences</t>
  </si>
  <si>
    <t>US legal team building expenses</t>
  </si>
  <si>
    <t>Discuss with finance and Iris on expenses for US legal team building and process; draft email to Richardpu.</t>
  </si>
  <si>
    <t>Tencent Americas Management Committee</t>
  </si>
  <si>
    <t>TAMC policy.</t>
  </si>
  <si>
    <t>Review invoices, sent issues to COV; discuss billing fees.</t>
  </si>
  <si>
    <t>Abilitypath with Eva; Starlight with Eva; Dress for success and whether contractors can participate with Aaron, Jamin and Iris.</t>
  </si>
  <si>
    <t>Discuss with Catherine Playground quantum and SPVs; discuss with COV.</t>
  </si>
  <si>
    <t>Aether Bio</t>
  </si>
  <si>
    <t>Finance team training for CFIUS/DSP request by Catherine, to work with Martin and Wenna; locate prior CFIUS ppt, played with AI to create slides related to CFIUS/DSP.</t>
  </si>
  <si>
    <t>Sort/respond to emails and inquiries; intro from Steven to Iris on immigration law AI company to help process visas.</t>
  </si>
  <si>
    <t>Discuss with Wenna on 13D filing for Life360, Oscar, Metagenomi and Lilium.</t>
  </si>
  <si>
    <t>13D filing</t>
  </si>
  <si>
    <t>Lilium</t>
  </si>
  <si>
    <t>Discuss with Scott on Lilium delisted but shares still registered; still require 13D check; review SEC website for Lilium filings.</t>
  </si>
  <si>
    <t>Discussion with biz team; call with Ingrid in COV; discuss with Catherine; send email to COV to analyze/rank different structures such as SPV vs. satellogic warrant structure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</si>
</sst>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4" xfId="0" applyFont="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0" fillId="3" borderId="19" xfId="0" applyFont="1" applyFill="1" applyBorder="1" applyAlignment="1">
      <alignment vertical="center" wrapText="1"/>
    </xf>
    <xf numFmtId="0" fontId="5" fillId="3" borderId="4" xfId="0" applyFont="1" applyFill="1" applyBorder="1">
      <alignment vertical="center"/>
    </xf>
    <xf numFmtId="0" fontId="5" fillId="3" borderId="4" xfId="0" applyFont="1" applyFill="1" applyBorder="1" applyAlignment="1">
      <alignment horizontal="center"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5" zoomScale="70" zoomScaleNormal="70" workbookViewId="0">
      <selection activeCell="A11" sqref="A11:XFD11"/>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80</v>
      </c>
      <c r="E4" s="9" t="s">
        <v>40</v>
      </c>
      <c r="F4" s="12" t="s">
        <v>73</v>
      </c>
      <c r="G4" s="31">
        <v>0.75</v>
      </c>
      <c r="H4" s="12" t="s">
        <v>25</v>
      </c>
      <c r="I4" s="27" t="s">
        <v>94</v>
      </c>
    </row>
    <row r="5" spans="2:9" ht="27">
      <c r="B5" s="14" t="s">
        <v>72</v>
      </c>
      <c r="C5" s="12" t="s">
        <v>16</v>
      </c>
      <c r="D5" s="34" t="s">
        <v>85</v>
      </c>
      <c r="E5" s="9" t="s">
        <v>40</v>
      </c>
      <c r="F5" s="12" t="s">
        <v>73</v>
      </c>
      <c r="G5" s="31">
        <v>2.5</v>
      </c>
      <c r="H5" s="12" t="s">
        <v>25</v>
      </c>
      <c r="I5" s="27" t="s">
        <v>93</v>
      </c>
    </row>
    <row r="6" spans="2:9" ht="27">
      <c r="B6" s="14" t="s">
        <v>72</v>
      </c>
      <c r="C6" s="12" t="s">
        <v>16</v>
      </c>
      <c r="D6" s="34" t="s">
        <v>96</v>
      </c>
      <c r="E6" s="9" t="s">
        <v>40</v>
      </c>
      <c r="F6" s="12" t="s">
        <v>73</v>
      </c>
      <c r="G6" s="31">
        <v>0.75</v>
      </c>
      <c r="H6" s="12" t="s">
        <v>25</v>
      </c>
      <c r="I6" s="27" t="s">
        <v>95</v>
      </c>
    </row>
    <row r="7" spans="2:9" s="42" customFormat="1" ht="54">
      <c r="B7" s="36" t="s">
        <v>72</v>
      </c>
      <c r="C7" s="37" t="s">
        <v>16</v>
      </c>
      <c r="D7" s="38" t="s">
        <v>104</v>
      </c>
      <c r="E7" s="39" t="s">
        <v>40</v>
      </c>
      <c r="F7" s="37" t="s">
        <v>73</v>
      </c>
      <c r="G7" s="40">
        <v>3</v>
      </c>
      <c r="H7" s="37" t="s">
        <v>25</v>
      </c>
      <c r="I7" s="41" t="s">
        <v>111</v>
      </c>
    </row>
    <row r="8" spans="2:9" s="42" customFormat="1" ht="27">
      <c r="B8" s="36" t="s">
        <v>72</v>
      </c>
      <c r="C8" s="37" t="s">
        <v>16</v>
      </c>
      <c r="D8" s="38" t="s">
        <v>108</v>
      </c>
      <c r="E8" s="39" t="s">
        <v>40</v>
      </c>
      <c r="F8" s="37" t="s">
        <v>73</v>
      </c>
      <c r="G8" s="40">
        <v>2</v>
      </c>
      <c r="H8" s="37" t="s">
        <v>36</v>
      </c>
      <c r="I8" s="41" t="s">
        <v>107</v>
      </c>
    </row>
    <row r="9" spans="2:9" s="42" customFormat="1" ht="40.5">
      <c r="B9" s="36" t="s">
        <v>72</v>
      </c>
      <c r="C9" s="37" t="s">
        <v>16</v>
      </c>
      <c r="D9" s="38" t="s">
        <v>109</v>
      </c>
      <c r="E9" s="39" t="s">
        <v>40</v>
      </c>
      <c r="F9" s="37" t="s">
        <v>73</v>
      </c>
      <c r="G9" s="40">
        <v>1.25</v>
      </c>
      <c r="H9" s="37" t="s">
        <v>25</v>
      </c>
      <c r="I9" s="41" t="s">
        <v>110</v>
      </c>
    </row>
    <row r="10" spans="2:9" ht="54">
      <c r="B10" s="14" t="s">
        <v>72</v>
      </c>
      <c r="C10" s="12" t="s">
        <v>18</v>
      </c>
      <c r="D10" s="34" t="s">
        <v>90</v>
      </c>
      <c r="E10" s="9" t="s">
        <v>27</v>
      </c>
      <c r="F10" s="12"/>
      <c r="G10" s="31">
        <v>2</v>
      </c>
      <c r="H10" s="12" t="s">
        <v>76</v>
      </c>
      <c r="I10" s="27" t="s">
        <v>91</v>
      </c>
    </row>
    <row r="11" spans="2:9" ht="40.5">
      <c r="B11" s="14" t="s">
        <v>72</v>
      </c>
      <c r="C11" s="12" t="s">
        <v>83</v>
      </c>
      <c r="D11" s="34" t="s">
        <v>88</v>
      </c>
      <c r="E11" s="9" t="s">
        <v>40</v>
      </c>
      <c r="F11" s="12"/>
      <c r="G11" s="31">
        <v>1</v>
      </c>
      <c r="H11" s="12" t="s">
        <v>84</v>
      </c>
      <c r="I11" s="27" t="s">
        <v>103</v>
      </c>
    </row>
    <row r="12" spans="2:9" ht="54">
      <c r="B12" s="14" t="s">
        <v>72</v>
      </c>
      <c r="C12" s="12" t="s">
        <v>83</v>
      </c>
      <c r="D12" s="34" t="s">
        <v>89</v>
      </c>
      <c r="E12" s="9" t="s">
        <v>40</v>
      </c>
      <c r="F12" s="12" t="s">
        <v>86</v>
      </c>
      <c r="G12" s="31">
        <v>1.5</v>
      </c>
      <c r="H12" s="12" t="s">
        <v>84</v>
      </c>
      <c r="I12" s="27" t="s">
        <v>105</v>
      </c>
    </row>
    <row r="13" spans="2:9" ht="40.5">
      <c r="B13" s="14" t="s">
        <v>72</v>
      </c>
      <c r="C13" s="12" t="s">
        <v>83</v>
      </c>
      <c r="D13" s="34" t="s">
        <v>87</v>
      </c>
      <c r="E13" s="9" t="s">
        <v>40</v>
      </c>
      <c r="F13" s="12" t="s">
        <v>86</v>
      </c>
      <c r="G13" s="31">
        <v>3</v>
      </c>
      <c r="H13" s="12" t="s">
        <v>23</v>
      </c>
      <c r="I13" s="27" t="s">
        <v>92</v>
      </c>
    </row>
    <row r="14" spans="2:9" ht="40.5">
      <c r="B14" s="14" t="s">
        <v>72</v>
      </c>
      <c r="C14" s="12" t="s">
        <v>18</v>
      </c>
      <c r="D14" s="33" t="s">
        <v>74</v>
      </c>
      <c r="E14" s="9" t="s">
        <v>27</v>
      </c>
      <c r="F14" s="12"/>
      <c r="G14" s="31">
        <v>2.75</v>
      </c>
      <c r="H14" s="12" t="s">
        <v>27</v>
      </c>
      <c r="I14" s="27" t="s">
        <v>102</v>
      </c>
    </row>
    <row r="15" spans="2:9" ht="40.5">
      <c r="B15" s="14" t="s">
        <v>72</v>
      </c>
      <c r="C15" s="12" t="s">
        <v>18</v>
      </c>
      <c r="D15" s="34" t="s">
        <v>99</v>
      </c>
      <c r="E15" s="9" t="s">
        <v>27</v>
      </c>
      <c r="F15" s="12"/>
      <c r="G15" s="31">
        <v>1</v>
      </c>
      <c r="H15" s="12" t="s">
        <v>27</v>
      </c>
      <c r="I15" s="27" t="s">
        <v>100</v>
      </c>
    </row>
    <row r="16" spans="2:9" ht="40.5">
      <c r="B16" s="14" t="s">
        <v>72</v>
      </c>
      <c r="C16" s="12" t="s">
        <v>16</v>
      </c>
      <c r="D16" s="28" t="s">
        <v>75</v>
      </c>
      <c r="E16" s="9" t="s">
        <v>27</v>
      </c>
      <c r="F16" s="12" t="s">
        <v>73</v>
      </c>
      <c r="G16" s="31">
        <v>1</v>
      </c>
      <c r="H16" s="12" t="s">
        <v>24</v>
      </c>
      <c r="I16" s="27" t="s">
        <v>81</v>
      </c>
    </row>
    <row r="17" spans="2:9" ht="27">
      <c r="B17" s="14" t="s">
        <v>72</v>
      </c>
      <c r="C17" s="12" t="s">
        <v>18</v>
      </c>
      <c r="D17" s="29" t="s">
        <v>77</v>
      </c>
      <c r="E17" s="9" t="s">
        <v>27</v>
      </c>
      <c r="F17" s="12"/>
      <c r="G17" s="31">
        <v>3</v>
      </c>
      <c r="H17" s="12" t="s">
        <v>76</v>
      </c>
      <c r="I17" s="27" t="s">
        <v>82</v>
      </c>
    </row>
    <row r="18" spans="2:9" ht="27">
      <c r="B18" s="14" t="s">
        <v>72</v>
      </c>
      <c r="C18" s="12" t="s">
        <v>18</v>
      </c>
      <c r="D18" s="29" t="s">
        <v>78</v>
      </c>
      <c r="E18" s="9" t="s">
        <v>27</v>
      </c>
      <c r="G18" s="31">
        <v>3.25</v>
      </c>
      <c r="H18" s="12" t="s">
        <v>38</v>
      </c>
      <c r="I18" s="27" t="s">
        <v>101</v>
      </c>
    </row>
    <row r="19" spans="2:9" ht="40.5">
      <c r="B19" s="14" t="s">
        <v>72</v>
      </c>
      <c r="C19" s="12" t="s">
        <v>18</v>
      </c>
      <c r="D19" s="29" t="s">
        <v>79</v>
      </c>
      <c r="E19" s="9" t="s">
        <v>27</v>
      </c>
      <c r="F19" s="12"/>
      <c r="G19" s="31">
        <v>3.5</v>
      </c>
      <c r="H19" s="12" t="s">
        <v>27</v>
      </c>
      <c r="I19" s="27" t="s">
        <v>106</v>
      </c>
    </row>
    <row r="20" spans="2:9" ht="40.5">
      <c r="B20" s="14" t="s">
        <v>72</v>
      </c>
      <c r="C20" s="12" t="s">
        <v>18</v>
      </c>
      <c r="D20" s="35" t="s">
        <v>97</v>
      </c>
      <c r="E20" s="9" t="s">
        <v>27</v>
      </c>
      <c r="F20" s="12"/>
      <c r="G20" s="31">
        <v>3.25</v>
      </c>
      <c r="H20" s="12" t="s">
        <v>27</v>
      </c>
      <c r="I20" s="27" t="s">
        <v>98</v>
      </c>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20"/>
      <c r="C26" s="21"/>
      <c r="D26" s="22"/>
      <c r="E26" s="22"/>
      <c r="F26" s="24" t="s">
        <v>67</v>
      </c>
      <c r="G26" s="46">
        <f>SUM(G3:G25)</f>
        <v>35.5</v>
      </c>
      <c r="H26" s="47"/>
      <c r="I26" s="48"/>
    </row>
    <row r="27" spans="2:9" ht="15.5" thickBot="1">
      <c r="B27" s="17"/>
      <c r="C27" s="18"/>
      <c r="D27" s="19"/>
      <c r="E27" s="19"/>
      <c r="F27" s="23" t="s">
        <v>68</v>
      </c>
      <c r="G27" s="43">
        <v>4</v>
      </c>
      <c r="H27" s="44"/>
      <c r="I27" s="45"/>
    </row>
    <row r="28" spans="2:9" ht="15.5" thickTop="1"/>
  </sheetData>
  <mergeCells count="2">
    <mergeCell ref="G27:I27"/>
    <mergeCell ref="G26:I26"/>
  </mergeCells>
  <phoneticPr fontId="7" type="noConversion"/>
  <dataValidations count="3">
    <dataValidation type="list" allowBlank="1" showInputMessage="1" showErrorMessage="1" sqref="F19:F25 F4:F16" xr:uid="{F83073F9-B682-4199-971B-076ADC9C0BFE}">
      <formula1>INDIRECT(E4)</formula1>
    </dataValidation>
    <dataValidation type="list" allowBlank="1" showInputMessage="1" showErrorMessage="1" sqref="F17" xr:uid="{8CE8A12B-034E-465D-A1D0-859CE9C488A8}">
      <formula1>INDIRECT(E18)</formula1>
    </dataValidation>
    <dataValidation type="list" allowBlank="1" showInputMessage="1" showErrorMessage="1" sqref="H4:H25"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E4:E27</xm:sqref>
        </x14:dataValidation>
        <x14:dataValidation type="list" allowBlank="1" showInputMessage="1" showErrorMessage="1" xr:uid="{FF6AA621-4A8B-4F89-A7EB-EAD05C7EE20B}">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2025-08-04T23:28:42Z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