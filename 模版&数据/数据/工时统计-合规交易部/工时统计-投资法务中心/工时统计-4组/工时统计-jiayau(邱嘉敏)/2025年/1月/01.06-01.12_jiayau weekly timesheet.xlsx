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B2325C31-D7F6-4D2A-899A-F5F5E5322DAE}" xr6:coauthVersionLast="47" xr6:coauthVersionMax="47" xr10:uidLastSave="{00000000-0000-0000-0000-000000000000}"/>
  <bookViews>
    <workbookView xWindow="360" yWindow="360" windowWidth="17755" windowHeight="104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<sst xmlns="http://schemas.openxmlformats.org/spreadsheetml/2006/main" count="255" uniqueCount="117">
  <si>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</si>
  <si>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</si>
  <si>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</si>
  <si>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</si>
  <si>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</si>
  <si>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</si>
  <si>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</si>
  <si>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</si>
  <si>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</si>
  <si>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</si>
  <si>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</si>
  <si>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</si>
  <si>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</si>
  <si>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</si>
  <si>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</si>
  <si>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</si>
  <si>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</si>
  <si>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</si>
  <si>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</si>
  <si>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</si>
  <si>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</si>
  <si>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</si>
  <si>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</si>
  <si>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</si>
  <si>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</si>
  <si>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</si>
  <si>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</si>
  <si>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</si>
  <si>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</si>
  <si>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</si>
  <si>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</si>
  <si>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</si>
  <si>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</si>
  <si>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</si>
  <si>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</si>
  <si>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</si>
  <si>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</si>
  <si>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</si>
  <si>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</si>
  <si>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</si>
  <si>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</si>
  <si>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</si>
  <si>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</si>
  <si>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</si>
  <si>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</si>
  <si>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</si>
  <si>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</si>
  <si>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</si>
  <si>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</si>
  <si>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</si>
  <si>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</si>
  <si>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</si>
  <si>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</si>
  <si>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</si>
  <si>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</si>
  <si>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</si>
  <si>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</si>
  <si>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</si>
  <si>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</si>
  <si>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</si>
  <si>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</si>
  <si>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</si>
  <si>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</si>
  <si>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</si>
  <si>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</si>
  <si>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</si>
  <si>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</si>
  <si>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</si>
  <si>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</si>
  <si>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</si>
  <si>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</si>
  <si>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</si>
  <si>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</si>
  <si>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</si>
  <si>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</si>
  <si>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</si>
  <si>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</si>
  <si>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Satellogic</t>
  </si>
  <si>
    <t>Consider exercising our warrants and sell shares at market as company stocks have increased substantially and Tencent is in the money.  Discussion on process with China Capital markets team.</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</si>
  <si>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</si>
  <si>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</si>
  <si>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</si>
  <si>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</si>
  <si>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</si>
  <si>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</si>
  <si>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Lilium</t>
  </si>
  <si>
    <t>Citrine</t>
  </si>
  <si>
    <t>Lilium bankruptcy Asset M&amp;A spin-out of German co.</t>
  </si>
  <si>
    <t>Misc</t>
  </si>
  <si>
    <t>Kyber Knight Fund</t>
  </si>
  <si>
    <t>Review fund docs and emails.</t>
  </si>
  <si>
    <t>Company questions on which companies to exclude for Tencent.</t>
  </si>
  <si>
    <t>Zenysis</t>
  </si>
  <si>
    <t>Shareholder consent to authorize non-voting common and preferred stock.</t>
  </si>
  <si>
    <t>Time-entry; deals update.</t>
  </si>
  <si>
    <t>CFIUS analysis; check if any changes to analysis given CMC designation.</t>
  </si>
  <si>
    <t>CFIUS analysis; can we invest in Pay to Play 3:1 to common but has in-q-tel investor, COV suggest no; biz team suggests not to invest.</t>
  </si>
  <si>
    <t>Haya Therapeutics</t>
  </si>
  <si>
    <t>Discuss update with biz team and check Yan wehther we need to re-evaluate given CMC.</t>
  </si>
  <si>
    <t>Locus Bioscience</t>
  </si>
  <si>
    <t>境内外金融业务资质申请 Application for domestic and overseas financial business licenses</t>
  </si>
  <si>
    <t>Contiune discussion with biz team to provide more clarity to how to answer question 5a; Locus SPV update Artis cannot do it; discussed Synvivia saying Yes but got grant (maybe due to SAFE and small stake).</t>
  </si>
  <si>
    <t>Sensitive Data EO</t>
  </si>
  <si>
    <t>Sort emails and inquiries.</t>
  </si>
  <si>
    <t>Discuss about LA wildfire donation; look at good NGOs to donate like Cal Fire.</t>
  </si>
  <si>
    <t>Tencent Funds</t>
  </si>
  <si>
    <t>Checking Ning how whether Tencent exclusion/cfius clauses aligned; thoughts on exclusion.</t>
  </si>
  <si>
    <t>DoD CMC</t>
  </si>
  <si>
    <t>Discussions with other colleagues (business team, legal, GPA) on latest news and comms.</t>
  </si>
  <si>
    <t>Sinovia</t>
  </si>
  <si>
    <t>NDA review and approval.</t>
  </si>
  <si>
    <t>Contrary Fund</t>
  </si>
  <si>
    <t>Cfius analysis for investment.</t>
  </si>
  <si>
    <t>Call with Catherine</t>
  </si>
  <si>
    <t>Annual review call with Catherine.</t>
  </si>
  <si>
    <t>COV latest update on final rule; discussion with biz team; review draft memo from Wenna.</t>
  </si>
  <si>
    <t>Arpeggio Biosciences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</si>
</sst>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1" zoomScale="80" zoomScaleNormal="80" workbookViewId="0">
      <selection activeCell="H7" sqref="H7"/>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1">
        <v>2</v>
      </c>
      <c r="H4" s="12" t="s">
        <v>25</v>
      </c>
      <c r="I4" s="27" t="s">
        <v>91</v>
      </c>
    </row>
    <row r="5" spans="2:9" ht="27">
      <c r="B5" s="14" t="s">
        <v>72</v>
      </c>
      <c r="C5" s="12" t="s">
        <v>14</v>
      </c>
      <c r="D5" s="34" t="s">
        <v>89</v>
      </c>
      <c r="E5" s="9" t="s">
        <v>40</v>
      </c>
      <c r="F5" s="12" t="s">
        <v>73</v>
      </c>
      <c r="G5" s="35">
        <v>7</v>
      </c>
      <c r="H5" s="12" t="s">
        <v>20</v>
      </c>
      <c r="I5" s="27" t="s">
        <v>90</v>
      </c>
    </row>
    <row r="6" spans="2:9" ht="27">
      <c r="B6" s="14" t="s">
        <v>72</v>
      </c>
      <c r="C6" s="12" t="s">
        <v>14</v>
      </c>
      <c r="D6" s="34" t="s">
        <v>97</v>
      </c>
      <c r="E6" s="9" t="s">
        <v>40</v>
      </c>
      <c r="F6" s="12" t="s">
        <v>73</v>
      </c>
      <c r="G6" s="35">
        <v>0.7</v>
      </c>
      <c r="H6" s="12" t="s">
        <v>36</v>
      </c>
      <c r="I6" s="27" t="s">
        <v>98</v>
      </c>
    </row>
    <row r="7" spans="2:9" ht="27">
      <c r="B7" s="14" t="s">
        <v>72</v>
      </c>
      <c r="C7" s="12" t="s">
        <v>14</v>
      </c>
      <c r="D7" s="34" t="s">
        <v>111</v>
      </c>
      <c r="E7" s="9" t="s">
        <v>40</v>
      </c>
      <c r="F7" s="12" t="s">
        <v>73</v>
      </c>
      <c r="G7" s="35">
        <v>2.5</v>
      </c>
      <c r="H7" s="12" t="s">
        <v>25</v>
      </c>
      <c r="I7" s="27" t="s">
        <v>112</v>
      </c>
    </row>
    <row r="8" spans="2:9" ht="67.5">
      <c r="B8" s="14" t="s">
        <v>72</v>
      </c>
      <c r="C8" s="12" t="s">
        <v>15</v>
      </c>
      <c r="D8" s="34" t="s">
        <v>77</v>
      </c>
      <c r="E8" s="9" t="s">
        <v>40</v>
      </c>
      <c r="F8" s="12" t="s">
        <v>73</v>
      </c>
      <c r="G8" s="35"/>
      <c r="H8" s="12" t="s">
        <v>25</v>
      </c>
      <c r="I8" s="25" t="s">
        <v>78</v>
      </c>
    </row>
    <row r="9" spans="2:9" ht="27">
      <c r="B9" s="14" t="s">
        <v>72</v>
      </c>
      <c r="C9" s="12" t="s">
        <v>16</v>
      </c>
      <c r="D9" s="34" t="s">
        <v>75</v>
      </c>
      <c r="E9" s="9" t="s">
        <v>40</v>
      </c>
      <c r="F9" s="12" t="s">
        <v>73</v>
      </c>
      <c r="G9" s="31"/>
      <c r="H9" s="12" t="s">
        <v>25</v>
      </c>
      <c r="I9" s="25" t="s">
        <v>76</v>
      </c>
    </row>
    <row r="10" spans="2:9" ht="27">
      <c r="B10" s="14" t="s">
        <v>72</v>
      </c>
      <c r="C10" s="12" t="s">
        <v>16</v>
      </c>
      <c r="D10" s="34" t="s">
        <v>116</v>
      </c>
      <c r="E10" s="9" t="s">
        <v>40</v>
      </c>
      <c r="F10" s="12" t="s">
        <v>73</v>
      </c>
      <c r="G10" s="31">
        <v>1.4</v>
      </c>
      <c r="H10" s="12" t="s">
        <v>25</v>
      </c>
      <c r="I10" s="27" t="s">
        <v>95</v>
      </c>
    </row>
    <row r="11" spans="2:9" ht="40.5">
      <c r="B11" s="14" t="s">
        <v>72</v>
      </c>
      <c r="C11" s="12" t="s">
        <v>16</v>
      </c>
      <c r="D11" s="34" t="s">
        <v>86</v>
      </c>
      <c r="E11" s="9" t="s">
        <v>40</v>
      </c>
      <c r="F11" s="12" t="s">
        <v>73</v>
      </c>
      <c r="G11" s="31">
        <v>2</v>
      </c>
      <c r="H11" s="12" t="s">
        <v>25</v>
      </c>
      <c r="I11" s="27" t="s">
        <v>96</v>
      </c>
    </row>
    <row r="12" spans="2:9" ht="67.5">
      <c r="B12" s="14" t="s">
        <v>72</v>
      </c>
      <c r="C12" s="12" t="s">
        <v>16</v>
      </c>
      <c r="D12" s="34" t="s">
        <v>99</v>
      </c>
      <c r="E12" s="9" t="s">
        <v>40</v>
      </c>
      <c r="F12" s="12" t="s">
        <v>100</v>
      </c>
      <c r="G12" s="31">
        <v>2.2999999999999998</v>
      </c>
      <c r="H12" s="12" t="s">
        <v>25</v>
      </c>
      <c r="I12" s="27" t="s">
        <v>101</v>
      </c>
    </row>
    <row r="13" spans="2:9" ht="27">
      <c r="B13" s="14" t="s">
        <v>72</v>
      </c>
      <c r="C13" s="12" t="s">
        <v>16</v>
      </c>
      <c r="D13" s="34" t="s">
        <v>85</v>
      </c>
      <c r="E13" s="9" t="s">
        <v>40</v>
      </c>
      <c r="F13" s="12" t="s">
        <v>73</v>
      </c>
      <c r="G13" s="31">
        <v>0.5</v>
      </c>
      <c r="H13" s="12" t="s">
        <v>25</v>
      </c>
      <c r="I13" s="27" t="s">
        <v>87</v>
      </c>
    </row>
    <row r="14" spans="2:9" ht="27">
      <c r="B14" s="14" t="s">
        <v>72</v>
      </c>
      <c r="C14" s="12" t="s">
        <v>16</v>
      </c>
      <c r="D14" s="34" t="s">
        <v>109</v>
      </c>
      <c r="E14" s="9" t="s">
        <v>40</v>
      </c>
      <c r="F14" s="12" t="s">
        <v>73</v>
      </c>
      <c r="G14" s="31">
        <v>0.75</v>
      </c>
      <c r="H14" s="12" t="s">
        <v>20</v>
      </c>
      <c r="I14" s="27" t="s">
        <v>110</v>
      </c>
    </row>
    <row r="15" spans="2:9" ht="27">
      <c r="B15" s="14" t="s">
        <v>72</v>
      </c>
      <c r="C15" s="12" t="s">
        <v>16</v>
      </c>
      <c r="D15" s="34" t="s">
        <v>92</v>
      </c>
      <c r="E15" s="9" t="s">
        <v>40</v>
      </c>
      <c r="F15" s="12" t="s">
        <v>73</v>
      </c>
      <c r="G15" s="31">
        <v>1.5</v>
      </c>
      <c r="H15" s="12" t="s">
        <v>20</v>
      </c>
      <c r="I15" s="27" t="s">
        <v>93</v>
      </c>
    </row>
    <row r="16" spans="2:9" ht="27">
      <c r="B16" s="14" t="s">
        <v>72</v>
      </c>
      <c r="C16" s="12" t="s">
        <v>18</v>
      </c>
      <c r="D16" s="33" t="s">
        <v>79</v>
      </c>
      <c r="E16" s="9" t="s">
        <v>27</v>
      </c>
      <c r="F16" s="12"/>
      <c r="G16" s="31">
        <v>1.5</v>
      </c>
      <c r="H16" s="12" t="s">
        <v>27</v>
      </c>
      <c r="I16" s="27" t="s">
        <v>104</v>
      </c>
    </row>
    <row r="17" spans="2:9" ht="40.5">
      <c r="B17" s="14" t="s">
        <v>72</v>
      </c>
      <c r="C17" s="12" t="s">
        <v>16</v>
      </c>
      <c r="D17" s="28" t="s">
        <v>80</v>
      </c>
      <c r="E17" s="9" t="s">
        <v>27</v>
      </c>
      <c r="F17" s="12" t="s">
        <v>73</v>
      </c>
      <c r="G17" s="31">
        <v>3</v>
      </c>
      <c r="H17" s="12" t="s">
        <v>24</v>
      </c>
      <c r="I17" s="25" t="s">
        <v>81</v>
      </c>
    </row>
    <row r="18" spans="2:9" ht="27">
      <c r="B18" s="14" t="s">
        <v>72</v>
      </c>
      <c r="C18" s="12" t="s">
        <v>16</v>
      </c>
      <c r="D18" s="28" t="s">
        <v>102</v>
      </c>
      <c r="E18" s="9" t="s">
        <v>27</v>
      </c>
      <c r="F18" s="12" t="s">
        <v>73</v>
      </c>
      <c r="G18" s="31">
        <v>4.5</v>
      </c>
      <c r="H18" s="12" t="s">
        <v>28</v>
      </c>
      <c r="I18" s="27" t="s">
        <v>115</v>
      </c>
    </row>
    <row r="19" spans="2:9" ht="40.5">
      <c r="B19" s="14" t="s">
        <v>72</v>
      </c>
      <c r="C19" s="12" t="s">
        <v>16</v>
      </c>
      <c r="D19" s="28" t="s">
        <v>105</v>
      </c>
      <c r="E19" s="9" t="s">
        <v>27</v>
      </c>
      <c r="F19" s="12" t="s">
        <v>73</v>
      </c>
      <c r="G19" s="31">
        <v>2</v>
      </c>
      <c r="H19" s="12" t="s">
        <v>20</v>
      </c>
      <c r="I19" s="27" t="s">
        <v>106</v>
      </c>
    </row>
    <row r="20" spans="2:9" ht="27">
      <c r="B20" s="14" t="s">
        <v>72</v>
      </c>
      <c r="C20" s="12" t="s">
        <v>18</v>
      </c>
      <c r="D20" s="28" t="s">
        <v>107</v>
      </c>
      <c r="E20" s="9" t="s">
        <v>27</v>
      </c>
      <c r="F20" s="12" t="s">
        <v>73</v>
      </c>
      <c r="G20" s="31">
        <v>2</v>
      </c>
      <c r="H20" s="12" t="s">
        <v>27</v>
      </c>
      <c r="I20" s="27" t="s">
        <v>108</v>
      </c>
    </row>
    <row r="21" spans="2:9" ht="27">
      <c r="B21" s="14" t="s">
        <v>72</v>
      </c>
      <c r="C21" s="12" t="s">
        <v>18</v>
      </c>
      <c r="D21" s="29" t="s">
        <v>83</v>
      </c>
      <c r="E21" s="9" t="s">
        <v>27</v>
      </c>
      <c r="F21" s="12"/>
      <c r="G21" s="31">
        <v>2.25</v>
      </c>
      <c r="H21" s="12" t="s">
        <v>82</v>
      </c>
      <c r="I21" s="27" t="s">
        <v>94</v>
      </c>
    </row>
    <row r="22" spans="2:9">
      <c r="B22" s="14" t="s">
        <v>72</v>
      </c>
      <c r="C22" s="12" t="s">
        <v>18</v>
      </c>
      <c r="D22" s="29" t="s">
        <v>113</v>
      </c>
      <c r="E22" s="9" t="s">
        <v>27</v>
      </c>
      <c r="F22" s="12"/>
      <c r="G22" s="31">
        <v>0.75</v>
      </c>
      <c r="H22" s="12" t="s">
        <v>27</v>
      </c>
      <c r="I22" s="27" t="s">
        <v>114</v>
      </c>
    </row>
    <row r="23" spans="2:9" ht="27">
      <c r="B23" s="14" t="s">
        <v>72</v>
      </c>
      <c r="C23" s="12" t="s">
        <v>18</v>
      </c>
      <c r="D23" s="29" t="s">
        <v>84</v>
      </c>
      <c r="E23" s="9" t="s">
        <v>27</v>
      </c>
      <c r="F23" s="12"/>
      <c r="G23" s="31">
        <v>0.5</v>
      </c>
      <c r="H23" s="12" t="s">
        <v>38</v>
      </c>
      <c r="I23" s="27"/>
    </row>
    <row r="24" spans="2:9">
      <c r="B24" s="14" t="s">
        <v>72</v>
      </c>
      <c r="C24" s="12" t="s">
        <v>18</v>
      </c>
      <c r="D24" s="29" t="s">
        <v>88</v>
      </c>
      <c r="E24" s="9" t="s">
        <v>27</v>
      </c>
      <c r="F24" s="12"/>
      <c r="G24" s="31">
        <v>3.75</v>
      </c>
      <c r="H24" s="12" t="s">
        <v>27</v>
      </c>
      <c r="I24" s="27" t="s">
        <v>103</v>
      </c>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8"/>
      <c r="C30" s="12"/>
      <c r="D30" s="9"/>
      <c r="E30" s="9"/>
      <c r="F30" s="12"/>
      <c r="G30" s="31"/>
      <c r="H30" s="12"/>
      <c r="I30" s="25"/>
    </row>
    <row r="31" spans="2:9">
      <c r="B31" s="8"/>
      <c r="C31" s="12"/>
      <c r="D31" s="9"/>
      <c r="E31" s="9"/>
      <c r="F31" s="12"/>
      <c r="G31" s="31"/>
      <c r="H31" s="12"/>
      <c r="I31" s="25"/>
    </row>
    <row r="32" spans="2:9">
      <c r="B32" s="20"/>
      <c r="C32" s="21"/>
      <c r="D32" s="22"/>
      <c r="E32" s="22"/>
      <c r="F32" s="24" t="s">
        <v>67</v>
      </c>
      <c r="G32" s="39">
        <f>SUM(G3:G31)</f>
        <v>40.9</v>
      </c>
      <c r="H32" s="40"/>
      <c r="I32" s="41"/>
    </row>
    <row r="33" spans="2:9" ht="15.5" thickBot="1">
      <c r="B33" s="17"/>
      <c r="C33" s="18"/>
      <c r="D33" s="19"/>
      <c r="E33" s="19"/>
      <c r="F33" s="23" t="s">
        <v>68</v>
      </c>
      <c r="G33" s="36">
        <v>5</v>
      </c>
      <c r="H33" s="37"/>
      <c r="I33" s="38"/>
    </row>
    <row r="34" spans="2:9" ht="15.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2025-01-13T03:56:55Z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