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92A13516-0134-4A0B-A5DE-CDEDF782F3DB}" xr6:coauthVersionLast="47" xr6:coauthVersionMax="47" xr10:uidLastSave="{00000000-0000-0000-0000-000000000000}"/>
  <bookViews>
    <workbookView xWindow="140" yWindow="28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<sst xmlns="http://schemas.openxmlformats.org/spreadsheetml/2006/main" count="191" uniqueCount="100">
  <si>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</si>
  <si>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</si>
  <si>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</si>
  <si>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</si>
  <si>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</si>
  <si>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</si>
  <si>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</si>
  <si>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</si>
  <si>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</si>
  <si>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</si>
  <si>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</si>
  <si>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</si>
  <si>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</si>
  <si>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</si>
  <si>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</si>
  <si>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</si>
  <si>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</si>
  <si>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</si>
  <si>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</si>
  <si>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</si>
  <si>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</si>
  <si>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</si>
  <si>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</si>
  <si>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</si>
  <si>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</si>
  <si>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</si>
  <si>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</si>
  <si>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</si>
  <si>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</si>
  <si>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</si>
  <si>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</si>
  <si>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</si>
  <si>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</si>
  <si>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</si>
  <si>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</si>
  <si>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</si>
  <si>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</si>
  <si>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</si>
  <si>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</si>
  <si>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</si>
  <si>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</si>
  <si>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</si>
  <si>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</si>
  <si>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</si>
  <si>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</si>
  <si>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</si>
  <si>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</si>
  <si>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</si>
  <si>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</si>
  <si>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</si>
  <si>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</si>
  <si>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</si>
  <si>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</si>
  <si>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</si>
  <si>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</si>
  <si>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</si>
  <si>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</si>
  <si>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</si>
  <si>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</si>
  <si>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</si>
  <si>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</si>
  <si>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</si>
  <si>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</si>
  <si>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</si>
  <si>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</si>
  <si>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</si>
  <si>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</si>
  <si>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</si>
  <si>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</si>
  <si>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</si>
  <si>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</si>
  <si>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</si>
  <si>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</si>
  <si>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</si>
  <si>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Satellogic</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</si>
  <si>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</si>
  <si>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</si>
  <si>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</si>
  <si>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</si>
  <si>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</si>
  <si>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</si>
  <si>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</si>
  <si>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</si>
  <si>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Sort emails and inquiries.</t>
  </si>
  <si>
    <t>Contrary Fund</t>
  </si>
  <si>
    <t>Peptone</t>
  </si>
  <si>
    <t>Start regulatory diligence on Swiss company with UK topco and 2 US employees, muti-jurisdiction needed.</t>
  </si>
  <si>
    <t>Spring Discovery</t>
  </si>
  <si>
    <t>Review wind-down documents.</t>
  </si>
  <si>
    <t>Question from Flora on note plus warrant exit and any governance issues.</t>
  </si>
  <si>
    <t>Public - Knowledge Accumulation &amp; Sharing</t>
  </si>
  <si>
    <t>P74</t>
  </si>
  <si>
    <t>Providing training sessions/knowledge sharing</t>
  </si>
  <si>
    <t>Review company revisions to side-letter and exclusion clauses added to LPA.</t>
  </si>
  <si>
    <t>US Office events</t>
  </si>
  <si>
    <t>Art club and women's day.</t>
  </si>
  <si>
    <t>Review ppt presentation for Brent; 2024 year end review and 2025 planning meeting with Brent; follow up issues asked by Brent.</t>
  </si>
  <si>
    <t>Arpeggio</t>
  </si>
  <si>
    <t>Regulatory review and threshold to invest discussion.</t>
  </si>
  <si>
    <t>NDA review and docusign.  Prepare updated funds diligence questionnaire.  Send summary and questionnaire for cfius review.  Send for AU counsel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</si>
</sst>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B6" zoomScale="80" zoomScaleNormal="80" workbookViewId="0">
      <selection activeCell="H13" sqref="H13"/>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14</v>
      </c>
      <c r="D4" s="34" t="s">
        <v>84</v>
      </c>
      <c r="E4" s="9" t="s">
        <v>40</v>
      </c>
      <c r="F4" s="12" t="s">
        <v>73</v>
      </c>
      <c r="G4" s="35">
        <v>3</v>
      </c>
      <c r="H4" s="12" t="s">
        <v>25</v>
      </c>
      <c r="I4" s="27" t="s">
        <v>93</v>
      </c>
    </row>
    <row r="5" spans="2:9" ht="27">
      <c r="B5" s="14" t="s">
        <v>72</v>
      </c>
      <c r="C5" s="12" t="s">
        <v>90</v>
      </c>
      <c r="D5" s="34" t="s">
        <v>74</v>
      </c>
      <c r="E5" s="9" t="s">
        <v>40</v>
      </c>
      <c r="F5" s="12" t="s">
        <v>73</v>
      </c>
      <c r="G5" s="35">
        <v>4.5</v>
      </c>
      <c r="H5" s="12" t="s">
        <v>92</v>
      </c>
      <c r="I5" s="27" t="s">
        <v>89</v>
      </c>
    </row>
    <row r="6" spans="2:9" ht="27">
      <c r="B6" s="14"/>
      <c r="C6" s="12" t="s">
        <v>16</v>
      </c>
      <c r="D6" s="34" t="s">
        <v>97</v>
      </c>
      <c r="E6" s="9" t="s">
        <v>40</v>
      </c>
      <c r="F6" s="12" t="s">
        <v>73</v>
      </c>
      <c r="G6" s="35">
        <v>1.5</v>
      </c>
      <c r="H6" s="12" t="s">
        <v>25</v>
      </c>
      <c r="I6" s="27" t="s">
        <v>98</v>
      </c>
    </row>
    <row r="7" spans="2:9" ht="40.5">
      <c r="B7" s="14" t="s">
        <v>72</v>
      </c>
      <c r="C7" s="12" t="s">
        <v>16</v>
      </c>
      <c r="D7" s="34" t="s">
        <v>85</v>
      </c>
      <c r="E7" s="9" t="s">
        <v>40</v>
      </c>
      <c r="F7" s="12" t="s">
        <v>73</v>
      </c>
      <c r="G7" s="31">
        <v>2</v>
      </c>
      <c r="H7" s="12" t="s">
        <v>25</v>
      </c>
      <c r="I7" s="27" t="s">
        <v>86</v>
      </c>
    </row>
    <row r="8" spans="2:9" ht="27">
      <c r="B8" s="14" t="s">
        <v>72</v>
      </c>
      <c r="C8" s="12" t="s">
        <v>16</v>
      </c>
      <c r="D8" s="34" t="s">
        <v>87</v>
      </c>
      <c r="E8" s="9" t="s">
        <v>40</v>
      </c>
      <c r="F8" s="12" t="s">
        <v>73</v>
      </c>
      <c r="G8" s="31">
        <v>2</v>
      </c>
      <c r="H8" s="12" t="s">
        <v>20</v>
      </c>
      <c r="I8" s="27" t="s">
        <v>88</v>
      </c>
    </row>
    <row r="9" spans="2:9" ht="54">
      <c r="B9" s="14" t="s">
        <v>72</v>
      </c>
      <c r="C9" s="12" t="s">
        <v>16</v>
      </c>
      <c r="D9" s="34" t="s">
        <v>91</v>
      </c>
      <c r="E9" s="9" t="s">
        <v>40</v>
      </c>
      <c r="F9" s="12" t="s">
        <v>73</v>
      </c>
      <c r="G9" s="31">
        <v>4</v>
      </c>
      <c r="H9" s="12" t="s">
        <v>20</v>
      </c>
      <c r="I9" s="27" t="s">
        <v>99</v>
      </c>
    </row>
    <row r="10" spans="2:9" ht="40.5">
      <c r="B10" s="14" t="s">
        <v>72</v>
      </c>
      <c r="C10" s="12" t="s">
        <v>18</v>
      </c>
      <c r="D10" s="33" t="s">
        <v>75</v>
      </c>
      <c r="E10" s="9" t="s">
        <v>27</v>
      </c>
      <c r="F10" s="12"/>
      <c r="G10" s="31">
        <v>5</v>
      </c>
      <c r="H10" s="12" t="s">
        <v>27</v>
      </c>
      <c r="I10" s="27" t="s">
        <v>96</v>
      </c>
    </row>
    <row r="11" spans="2:9" ht="40.5">
      <c r="B11" s="14" t="s">
        <v>72</v>
      </c>
      <c r="C11" s="12" t="s">
        <v>16</v>
      </c>
      <c r="D11" s="28" t="s">
        <v>76</v>
      </c>
      <c r="E11" s="9" t="s">
        <v>27</v>
      </c>
      <c r="F11" s="12" t="s">
        <v>73</v>
      </c>
      <c r="G11" s="31">
        <v>3</v>
      </c>
      <c r="H11" s="12" t="s">
        <v>24</v>
      </c>
      <c r="I11" s="25" t="s">
        <v>77</v>
      </c>
    </row>
    <row r="12" spans="2:9">
      <c r="B12" s="14" t="s">
        <v>72</v>
      </c>
      <c r="C12" s="12" t="s">
        <v>18</v>
      </c>
      <c r="D12" s="28" t="s">
        <v>94</v>
      </c>
      <c r="E12" s="9" t="s">
        <v>27</v>
      </c>
      <c r="F12" s="12"/>
      <c r="G12" s="31">
        <v>4</v>
      </c>
      <c r="H12" s="12" t="s">
        <v>27</v>
      </c>
      <c r="I12" s="27" t="s">
        <v>95</v>
      </c>
    </row>
    <row r="13" spans="2:9" ht="27">
      <c r="B13" s="14" t="s">
        <v>72</v>
      </c>
      <c r="C13" s="12" t="s">
        <v>18</v>
      </c>
      <c r="D13" s="29" t="s">
        <v>79</v>
      </c>
      <c r="E13" s="9" t="s">
        <v>27</v>
      </c>
      <c r="F13" s="12"/>
      <c r="G13" s="31">
        <v>2</v>
      </c>
      <c r="H13" s="12" t="s">
        <v>78</v>
      </c>
      <c r="I13" s="27" t="s">
        <v>82</v>
      </c>
    </row>
    <row r="14" spans="2:9" ht="27">
      <c r="B14" s="14" t="s">
        <v>72</v>
      </c>
      <c r="C14" s="12" t="s">
        <v>18</v>
      </c>
      <c r="D14" s="29" t="s">
        <v>80</v>
      </c>
      <c r="E14" s="9" t="s">
        <v>27</v>
      </c>
      <c r="F14" s="12"/>
      <c r="G14" s="31">
        <v>2.5</v>
      </c>
      <c r="H14" s="12" t="s">
        <v>38</v>
      </c>
      <c r="I14" s="27"/>
    </row>
    <row r="15" spans="2:9">
      <c r="B15" s="14" t="s">
        <v>72</v>
      </c>
      <c r="C15" s="12" t="s">
        <v>18</v>
      </c>
      <c r="D15" s="29" t="s">
        <v>81</v>
      </c>
      <c r="E15" s="9" t="s">
        <v>27</v>
      </c>
      <c r="F15" s="12"/>
      <c r="G15" s="31">
        <v>2.5</v>
      </c>
      <c r="H15" s="12" t="s">
        <v>27</v>
      </c>
      <c r="I15" s="27" t="s">
        <v>83</v>
      </c>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20"/>
      <c r="C23" s="21"/>
      <c r="D23" s="22"/>
      <c r="E23" s="22"/>
      <c r="F23" s="24" t="s">
        <v>67</v>
      </c>
      <c r="G23" s="39">
        <f>SUM(G3:G22)</f>
        <v>36</v>
      </c>
      <c r="H23" s="40"/>
      <c r="I23" s="41"/>
    </row>
    <row r="24" spans="2:9" ht="15.5" thickBot="1">
      <c r="B24" s="17"/>
      <c r="C24" s="18"/>
      <c r="D24" s="19"/>
      <c r="E24" s="19"/>
      <c r="F24" s="23" t="s">
        <v>68</v>
      </c>
      <c r="G24" s="36">
        <v>4.5</v>
      </c>
      <c r="H24" s="37"/>
      <c r="I24" s="38"/>
    </row>
    <row r="25" spans="2:9" ht="15.5"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2" sqref="E12"/>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2025-03-11T22:54:33Z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