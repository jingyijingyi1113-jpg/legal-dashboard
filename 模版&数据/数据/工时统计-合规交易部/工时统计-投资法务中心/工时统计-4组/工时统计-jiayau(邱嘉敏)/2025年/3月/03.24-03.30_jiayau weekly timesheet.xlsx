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8C47094E-4E59-4011-A3B1-5114230B0B7A}" xr6:coauthVersionLast="47" xr6:coauthVersionMax="47" xr10:uidLastSave="{00000000-0000-0000-0000-000000000000}"/>
  <bookViews>
    <workbookView xWindow="425" yWindow="30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<sst xmlns="http://schemas.openxmlformats.org/spreadsheetml/2006/main" count="227" uniqueCount="107">
  <si>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</si>
  <si>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</si>
  <si>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</si>
  <si>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</si>
  <si>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</si>
  <si>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</si>
  <si>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</si>
  <si>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</si>
  <si>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</si>
  <si>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</si>
  <si>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</si>
  <si>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</si>
  <si>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</si>
  <si>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</si>
  <si>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</si>
  <si>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</si>
  <si>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</si>
  <si>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</si>
  <si>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</si>
  <si>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</si>
  <si>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</si>
  <si>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</si>
  <si>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</si>
  <si>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</si>
  <si>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</si>
  <si>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</si>
  <si>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</si>
  <si>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</si>
  <si>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</si>
  <si>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</si>
  <si>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</si>
  <si>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</si>
  <si>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</si>
  <si>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</si>
  <si>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</si>
  <si>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</si>
  <si>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</si>
  <si>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</si>
  <si>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</si>
  <si>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</si>
  <si>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</si>
  <si>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</si>
  <si>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</si>
  <si>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</si>
  <si>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</si>
  <si>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</si>
  <si>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</si>
  <si>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</si>
  <si>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</si>
  <si>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</si>
  <si>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</si>
  <si>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</si>
  <si>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</si>
  <si>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</si>
  <si>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</si>
  <si>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</si>
  <si>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</si>
  <si>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</si>
  <si>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</si>
  <si>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</si>
  <si>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</si>
  <si>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</si>
  <si>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</si>
  <si>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</si>
  <si>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</si>
  <si>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</si>
  <si>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</si>
  <si>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</si>
  <si>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</si>
  <si>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</si>
  <si>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</si>
  <si>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</si>
  <si>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</si>
  <si>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</si>
  <si>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</si>
  <si>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</si>
  <si>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</si>
  <si>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</si>
  <si>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</si>
  <si>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</si>
  <si>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</si>
  <si>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</si>
  <si>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</si>
  <si>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</si>
  <si>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Peptone</t>
  </si>
  <si>
    <t>P74</t>
  </si>
  <si>
    <t>Arpeggio</t>
  </si>
  <si>
    <t>Review Series A4 docs, provide summary and side-letter, to close.</t>
  </si>
  <si>
    <t>Waypoint Bio</t>
  </si>
  <si>
    <t>Discussion with biz team and Yanli on use of name and logo for biotech companyies.</t>
  </si>
  <si>
    <t>Keymaker Fund</t>
  </si>
  <si>
    <t>Cfius analysis on fund investing in Lidar, Space, AI etc. spaces.</t>
  </si>
  <si>
    <t>US and AU counsel review and FIRB.</t>
  </si>
  <si>
    <t>Pioneer</t>
  </si>
  <si>
    <t>Review resolution to extend closing date and also amendment to Canadian parallel fund side-letter.</t>
  </si>
  <si>
    <t>JamesM and CTD meeting</t>
  </si>
  <si>
    <t>Review company revisions to side-letter and investor questionnaire, finalize docs and signature.</t>
  </si>
  <si>
    <t>ILC biweekly meeting - Exit case study</t>
  </si>
  <si>
    <t>Discuss Satellogic exit case.</t>
  </si>
  <si>
    <t>Another Axiom</t>
  </si>
  <si>
    <t>NDA</t>
  </si>
  <si>
    <t>TAG monthly meeting; tree planting reschedule planning; attend tree planting event.</t>
  </si>
  <si>
    <t>Sensitive Data EO and updated CFIUS questionnaire</t>
  </si>
  <si>
    <t>Discussion and review on sensitive data EO questions from business team; reviewing COV's prior emails; review updated cfius and regulatory questionnaire.</t>
  </si>
  <si>
    <t>GRO Bioscience</t>
  </si>
  <si>
    <t>Company wind-down.</t>
  </si>
  <si>
    <t>Regulatory diligence on Swiss company with UK topco and 2 US employees, muti-jurisdiction needed; review counsel analysis and summarize to 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</si>
</sst>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B14" zoomScale="80" zoomScaleNormal="80" workbookViewId="0">
      <selection activeCell="F14" sqref="F1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83</v>
      </c>
      <c r="E4" s="9" t="s">
        <v>40</v>
      </c>
      <c r="F4" s="12" t="s">
        <v>73</v>
      </c>
      <c r="G4" s="35">
        <v>2.25</v>
      </c>
      <c r="H4" s="12" t="s">
        <v>25</v>
      </c>
      <c r="I4" s="27" t="s">
        <v>96</v>
      </c>
    </row>
    <row r="5" spans="2:9" ht="27">
      <c r="B5" s="14" t="s">
        <v>72</v>
      </c>
      <c r="C5" s="12" t="s">
        <v>16</v>
      </c>
      <c r="D5" s="34" t="s">
        <v>86</v>
      </c>
      <c r="E5" s="9" t="s">
        <v>40</v>
      </c>
      <c r="F5" s="12" t="s">
        <v>73</v>
      </c>
      <c r="G5" s="35">
        <v>0.25</v>
      </c>
      <c r="H5" s="12" t="s">
        <v>25</v>
      </c>
      <c r="I5" s="27" t="s">
        <v>87</v>
      </c>
    </row>
    <row r="6" spans="2:9" ht="27">
      <c r="B6" s="14" t="s">
        <v>72</v>
      </c>
      <c r="C6" s="12" t="s">
        <v>16</v>
      </c>
      <c r="D6" s="34" t="s">
        <v>93</v>
      </c>
      <c r="E6" s="9" t="s">
        <v>40</v>
      </c>
      <c r="F6" s="12" t="s">
        <v>73</v>
      </c>
      <c r="G6" s="35">
        <v>1.5</v>
      </c>
      <c r="H6" s="12" t="s">
        <v>20</v>
      </c>
      <c r="I6" s="27" t="s">
        <v>94</v>
      </c>
    </row>
    <row r="7" spans="2:9" ht="54">
      <c r="B7" s="14" t="s">
        <v>72</v>
      </c>
      <c r="C7" s="12" t="s">
        <v>16</v>
      </c>
      <c r="D7" s="34" t="s">
        <v>84</v>
      </c>
      <c r="E7" s="9" t="s">
        <v>40</v>
      </c>
      <c r="F7" s="12" t="s">
        <v>73</v>
      </c>
      <c r="G7" s="31">
        <v>2.5</v>
      </c>
      <c r="H7" s="12" t="s">
        <v>25</v>
      </c>
      <c r="I7" s="27" t="s">
        <v>106</v>
      </c>
    </row>
    <row r="8" spans="2:9" ht="27">
      <c r="B8" s="14" t="s">
        <v>72</v>
      </c>
      <c r="C8" s="12" t="s">
        <v>16</v>
      </c>
      <c r="D8" s="34" t="s">
        <v>85</v>
      </c>
      <c r="E8" s="9" t="s">
        <v>40</v>
      </c>
      <c r="F8" s="12" t="s">
        <v>73</v>
      </c>
      <c r="G8" s="31">
        <v>4.5</v>
      </c>
      <c r="H8" s="12" t="s">
        <v>20</v>
      </c>
      <c r="I8" s="27" t="s">
        <v>92</v>
      </c>
    </row>
    <row r="9" spans="2:9" ht="27">
      <c r="B9" s="14" t="s">
        <v>72</v>
      </c>
      <c r="C9" s="12" t="s">
        <v>16</v>
      </c>
      <c r="D9" s="34" t="s">
        <v>90</v>
      </c>
      <c r="E9" s="9" t="s">
        <v>40</v>
      </c>
      <c r="F9" s="12" t="s">
        <v>73</v>
      </c>
      <c r="G9" s="31">
        <v>1.5</v>
      </c>
      <c r="H9" s="12" t="s">
        <v>25</v>
      </c>
      <c r="I9" s="27" t="s">
        <v>91</v>
      </c>
    </row>
    <row r="10" spans="2:9" ht="27">
      <c r="B10" s="14" t="s">
        <v>72</v>
      </c>
      <c r="C10" s="12" t="s">
        <v>16</v>
      </c>
      <c r="D10" s="34" t="s">
        <v>88</v>
      </c>
      <c r="E10" s="9" t="s">
        <v>40</v>
      </c>
      <c r="F10" s="12" t="s">
        <v>73</v>
      </c>
      <c r="G10" s="31">
        <v>0.5</v>
      </c>
      <c r="H10" s="12" t="s">
        <v>36</v>
      </c>
      <c r="I10" s="27" t="s">
        <v>89</v>
      </c>
    </row>
    <row r="11" spans="2:9" ht="27">
      <c r="B11" s="14" t="s">
        <v>72</v>
      </c>
      <c r="C11" s="12" t="s">
        <v>16</v>
      </c>
      <c r="D11" s="34" t="s">
        <v>104</v>
      </c>
      <c r="E11" s="9" t="s">
        <v>40</v>
      </c>
      <c r="F11" s="12" t="s">
        <v>73</v>
      </c>
      <c r="G11" s="31">
        <v>0.25</v>
      </c>
      <c r="H11" s="12" t="s">
        <v>20</v>
      </c>
      <c r="I11" s="27" t="s">
        <v>105</v>
      </c>
    </row>
    <row r="12" spans="2:9" ht="27">
      <c r="B12" s="14" t="s">
        <v>72</v>
      </c>
      <c r="C12" s="12" t="s">
        <v>16</v>
      </c>
      <c r="D12" s="34" t="s">
        <v>99</v>
      </c>
      <c r="E12" s="9" t="s">
        <v>40</v>
      </c>
      <c r="F12" s="12" t="s">
        <v>73</v>
      </c>
      <c r="G12" s="31">
        <v>1.5</v>
      </c>
      <c r="H12" s="12" t="s">
        <v>20</v>
      </c>
      <c r="I12" s="27" t="s">
        <v>100</v>
      </c>
    </row>
    <row r="13" spans="2:9" ht="54">
      <c r="B13" s="14" t="s">
        <v>72</v>
      </c>
      <c r="C13" s="12" t="s">
        <v>16</v>
      </c>
      <c r="D13" s="34" t="s">
        <v>102</v>
      </c>
      <c r="E13" s="9" t="s">
        <v>40</v>
      </c>
      <c r="F13" s="12" t="s">
        <v>73</v>
      </c>
      <c r="G13" s="31">
        <v>2.5</v>
      </c>
      <c r="H13" s="12" t="s">
        <v>25</v>
      </c>
      <c r="I13" s="27" t="s">
        <v>103</v>
      </c>
    </row>
    <row r="14" spans="2:9" ht="27">
      <c r="B14" s="14" t="s">
        <v>72</v>
      </c>
      <c r="C14" s="12" t="s">
        <v>18</v>
      </c>
      <c r="D14" s="33" t="s">
        <v>74</v>
      </c>
      <c r="E14" s="9" t="s">
        <v>27</v>
      </c>
      <c r="F14" s="12"/>
      <c r="G14" s="31">
        <v>2.5</v>
      </c>
      <c r="H14" s="12" t="s">
        <v>27</v>
      </c>
      <c r="I14" s="27" t="s">
        <v>101</v>
      </c>
    </row>
    <row r="15" spans="2:9" ht="40.5">
      <c r="B15" s="14" t="s">
        <v>72</v>
      </c>
      <c r="C15" s="12" t="s">
        <v>16</v>
      </c>
      <c r="D15" s="28" t="s">
        <v>75</v>
      </c>
      <c r="E15" s="9" t="s">
        <v>27</v>
      </c>
      <c r="F15" s="12" t="s">
        <v>73</v>
      </c>
      <c r="G15" s="31">
        <v>3</v>
      </c>
      <c r="H15" s="12" t="s">
        <v>24</v>
      </c>
      <c r="I15" s="25" t="s">
        <v>76</v>
      </c>
    </row>
    <row r="16" spans="2:9" ht="27">
      <c r="B16" s="14" t="s">
        <v>72</v>
      </c>
      <c r="C16" s="12" t="s">
        <v>16</v>
      </c>
      <c r="D16" s="28" t="s">
        <v>95</v>
      </c>
      <c r="E16" s="9" t="s">
        <v>27</v>
      </c>
      <c r="F16" s="12" t="s">
        <v>73</v>
      </c>
      <c r="G16" s="31">
        <v>1</v>
      </c>
      <c r="H16" s="12" t="s">
        <v>24</v>
      </c>
      <c r="I16" s="25"/>
    </row>
    <row r="17" spans="2:9" ht="40.5">
      <c r="B17" s="14" t="s">
        <v>72</v>
      </c>
      <c r="C17" s="12" t="s">
        <v>16</v>
      </c>
      <c r="D17" s="28" t="s">
        <v>97</v>
      </c>
      <c r="E17" s="9" t="s">
        <v>27</v>
      </c>
      <c r="F17" s="12" t="s">
        <v>73</v>
      </c>
      <c r="G17" s="31">
        <v>2.5</v>
      </c>
      <c r="H17" s="12" t="s">
        <v>24</v>
      </c>
      <c r="I17" s="27" t="s">
        <v>98</v>
      </c>
    </row>
    <row r="18" spans="2:9" ht="27">
      <c r="B18" s="14" t="s">
        <v>72</v>
      </c>
      <c r="C18" s="12" t="s">
        <v>18</v>
      </c>
      <c r="D18" s="29" t="s">
        <v>78</v>
      </c>
      <c r="E18" s="9" t="s">
        <v>27</v>
      </c>
      <c r="F18" s="12"/>
      <c r="G18" s="31">
        <v>1.5</v>
      </c>
      <c r="H18" s="12" t="s">
        <v>77</v>
      </c>
      <c r="I18" s="27" t="s">
        <v>81</v>
      </c>
    </row>
    <row r="19" spans="2:9" ht="27">
      <c r="B19" s="14" t="s">
        <v>72</v>
      </c>
      <c r="C19" s="12" t="s">
        <v>18</v>
      </c>
      <c r="D19" s="29" t="s">
        <v>79</v>
      </c>
      <c r="E19" s="9" t="s">
        <v>27</v>
      </c>
      <c r="F19" s="12"/>
      <c r="G19" s="31">
        <v>1.5</v>
      </c>
      <c r="H19" s="12" t="s">
        <v>38</v>
      </c>
      <c r="I19" s="27"/>
    </row>
    <row r="20" spans="2:9">
      <c r="B20" s="14" t="s">
        <v>72</v>
      </c>
      <c r="C20" s="12" t="s">
        <v>18</v>
      </c>
      <c r="D20" s="29" t="s">
        <v>80</v>
      </c>
      <c r="E20" s="9" t="s">
        <v>27</v>
      </c>
      <c r="F20" s="12"/>
      <c r="G20" s="31">
        <v>3</v>
      </c>
      <c r="H20" s="12" t="s">
        <v>27</v>
      </c>
      <c r="I20" s="27" t="s">
        <v>82</v>
      </c>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8"/>
      <c r="C27" s="12"/>
      <c r="D27" s="9"/>
      <c r="E27" s="9"/>
      <c r="F27" s="12"/>
      <c r="G27" s="31"/>
      <c r="H27" s="12"/>
      <c r="I27" s="25"/>
    </row>
    <row r="28" spans="2:9">
      <c r="B28" s="20"/>
      <c r="C28" s="21"/>
      <c r="D28" s="22"/>
      <c r="E28" s="22"/>
      <c r="F28" s="24" t="s">
        <v>67</v>
      </c>
      <c r="G28" s="39">
        <f>SUM(G3:G27)</f>
        <v>32.25</v>
      </c>
      <c r="H28" s="40"/>
      <c r="I28" s="41"/>
    </row>
    <row r="29" spans="2:9" ht="15.5" thickBot="1">
      <c r="B29" s="17"/>
      <c r="C29" s="18"/>
      <c r="D29" s="19"/>
      <c r="E29" s="19"/>
      <c r="F29" s="23" t="s">
        <v>68</v>
      </c>
      <c r="G29" s="36">
        <v>4</v>
      </c>
      <c r="H29" s="37"/>
      <c r="I29" s="38"/>
    </row>
    <row r="30" spans="2:9" ht="15.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2025-03-31T21:57:27Z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