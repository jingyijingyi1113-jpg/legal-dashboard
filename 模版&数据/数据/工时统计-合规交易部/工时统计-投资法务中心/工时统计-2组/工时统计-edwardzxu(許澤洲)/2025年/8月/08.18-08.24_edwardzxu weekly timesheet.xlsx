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192E46D1-0CC1-4B75-8F50-F14E0314FCD8}"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<sst xmlns="http://schemas.openxmlformats.org/spreadsheetml/2006/main" count="147" uniqueCount="80">
  <si>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</si>
  <si>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</si>
  <si>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</si>
  <si>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</si>
  <si>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</si>
  <si>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</si>
  <si>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</si>
  <si>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</si>
  <si>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</si>
  <si>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</si>
  <si>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</si>
  <si>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</si>
  <si>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</si>
  <si>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</si>
  <si>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</si>
  <si>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</si>
  <si>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</si>
  <si>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</si>
  <si>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</si>
  <si>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</si>
  <si>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</si>
  <si>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</si>
  <si>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</si>
  <si>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</si>
  <si>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</si>
  <si>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</si>
  <si>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</si>
  <si>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</si>
  <si>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</si>
  <si>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</si>
  <si>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</si>
  <si>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</si>
  <si>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</si>
  <si>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</si>
  <si>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</si>
  <si>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</si>
  <si>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</si>
  <si>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</si>
  <si>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</si>
  <si>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</si>
  <si>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</si>
  <si>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</si>
  <si>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</si>
  <si>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</si>
  <si>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</si>
  <si>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</si>
  <si>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</si>
  <si>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</si>
  <si>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</si>
  <si>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</si>
  <si>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</si>
  <si>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</si>
  <si>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</si>
  <si>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</si>
  <si>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</si>
  <si>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</si>
  <si>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</si>
  <si>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</si>
  <si>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</si>
  <si>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</si>
  <si>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</si>
  <si>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</si>
  <si>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</si>
  <si>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</si>
  <si>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</si>
  <si>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</si>
  <si>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</si>
  <si>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</si>
  <si>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</si>
  <si>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</si>
  <si>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</si>
  <si>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</si>
  <si>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</si>
  <si>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</si>
  <si>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</si>
  <si>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</si>
  <si>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上海海姆</t>
  </si>
  <si>
    <t>Public - Infrastructure &amp; Guidance</t>
  </si>
  <si>
    <t>控股和重点投资公司法务风险管理 Legal risk management for controlled and key invested portfolios</t>
  </si>
  <si>
    <t>富途控股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</si>
</sst>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80" zoomScaleNormal="80" workbookViewId="0">
      <selection activeCell="H18" sqref="H18"/>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14</v>
      </c>
      <c r="D4" s="26" t="s">
        <v>73</v>
      </c>
      <c r="E4" s="8" t="s">
        <v>40</v>
      </c>
      <c r="F4" s="13" t="s">
        <v>74</v>
      </c>
      <c r="G4" s="8">
        <v>6</v>
      </c>
      <c r="H4" s="13" t="s">
        <v>20</v>
      </c>
      <c r="I4" s="11"/>
    </row>
    <row r="5" spans="2:9" ht="38.25">
      <c r="B5" s="15" t="s">
        <v>72</v>
      </c>
      <c r="C5" s="13" t="s">
        <v>16</v>
      </c>
      <c r="D5" s="26" t="s">
        <v>73</v>
      </c>
      <c r="E5" s="8" t="s">
        <v>40</v>
      </c>
      <c r="F5" s="13" t="s">
        <v>74</v>
      </c>
      <c r="G5" s="8">
        <v>1.5</v>
      </c>
      <c r="H5" s="13" t="s">
        <v>20</v>
      </c>
      <c r="I5" s="11"/>
    </row>
    <row r="6" spans="2:9" ht="38.25">
      <c r="B6" s="15" t="s">
        <v>72</v>
      </c>
      <c r="C6" s="13" t="s">
        <v>14</v>
      </c>
      <c r="D6" s="26" t="s">
        <v>76</v>
      </c>
      <c r="E6" s="26" t="s">
        <v>40</v>
      </c>
      <c r="F6" s="13" t="s">
        <v>74</v>
      </c>
      <c r="G6" s="8">
        <v>3</v>
      </c>
      <c r="H6" s="13" t="s">
        <v>20</v>
      </c>
      <c r="I6" s="11"/>
    </row>
    <row r="7" spans="2:9" ht="38.25">
      <c r="B7" s="15" t="s">
        <v>72</v>
      </c>
      <c r="C7" s="13" t="s">
        <v>16</v>
      </c>
      <c r="D7" s="26" t="s">
        <v>79</v>
      </c>
      <c r="E7" s="26" t="s">
        <v>40</v>
      </c>
      <c r="F7" s="13" t="s">
        <v>74</v>
      </c>
      <c r="G7" s="8">
        <v>1.5</v>
      </c>
      <c r="H7" s="13" t="s">
        <v>27</v>
      </c>
      <c r="I7" s="11"/>
    </row>
    <row r="8" spans="2:9" ht="50.25" customHeight="1">
      <c r="B8" s="15" t="s">
        <v>72</v>
      </c>
      <c r="C8" s="13" t="s">
        <v>77</v>
      </c>
      <c r="D8" s="26"/>
      <c r="E8" s="26" t="s">
        <v>40</v>
      </c>
      <c r="F8" s="13" t="s">
        <v>78</v>
      </c>
      <c r="G8" s="8">
        <v>3.5</v>
      </c>
      <c r="H8" s="13" t="s">
        <v>22</v>
      </c>
      <c r="I8" s="27"/>
    </row>
    <row r="9" spans="2:9" ht="25.5">
      <c r="B9" s="15" t="s">
        <v>72</v>
      </c>
      <c r="C9" s="13" t="s">
        <v>18</v>
      </c>
      <c r="D9" s="8"/>
      <c r="E9" s="8" t="s">
        <v>27</v>
      </c>
      <c r="F9" s="13"/>
      <c r="G9" s="8">
        <v>2</v>
      </c>
      <c r="H9" s="13" t="s">
        <v>75</v>
      </c>
      <c r="I9" s="11"/>
    </row>
    <row r="10" spans="2:9">
      <c r="B10" s="21"/>
      <c r="C10" s="22"/>
      <c r="D10" s="23"/>
      <c r="E10" s="23"/>
      <c r="F10" s="25" t="s">
        <v>67</v>
      </c>
      <c r="G10" s="31">
        <f>SUM(G3:G9)</f>
        <v>17.5</v>
      </c>
      <c r="H10" s="32"/>
      <c r="I10" s="33"/>
    </row>
    <row r="11" spans="2:9" ht="15.75" thickBot="1">
      <c r="B11" s="18"/>
      <c r="C11" s="19"/>
      <c r="D11" s="20"/>
      <c r="E11" s="20"/>
      <c r="F11" s="24" t="s">
        <v>68</v>
      </c>
      <c r="G11" s="28">
        <v>5</v>
      </c>
      <c r="H11" s="29"/>
      <c r="I11" s="30"/>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2025-08-25T10:41:55Z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