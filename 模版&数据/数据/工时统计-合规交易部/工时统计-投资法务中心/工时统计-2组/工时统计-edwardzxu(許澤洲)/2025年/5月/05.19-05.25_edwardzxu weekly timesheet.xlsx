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90BF8E61-19EB-4F85-B853-6B310967A28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<sst xmlns="http://schemas.openxmlformats.org/spreadsheetml/2006/main" count="150" uniqueCount="83">
  <si>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</si>
  <si>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</si>
  <si>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</si>
  <si>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</si>
  <si>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</si>
  <si>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</si>
  <si>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</si>
  <si>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</si>
  <si>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</si>
  <si>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</si>
  <si>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</si>
  <si>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</si>
  <si>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</si>
  <si>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</si>
  <si>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</si>
  <si>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</si>
  <si>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</si>
  <si>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</si>
  <si>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</si>
  <si>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</si>
  <si>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</si>
  <si>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</si>
  <si>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</si>
  <si>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</si>
  <si>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</si>
  <si>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</si>
  <si>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</si>
  <si>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</si>
  <si>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</si>
  <si>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</si>
  <si>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</si>
  <si>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</si>
  <si>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</si>
  <si>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</si>
  <si>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</si>
  <si>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</si>
  <si>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</si>
  <si>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</si>
  <si>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</si>
  <si>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</si>
  <si>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</si>
  <si>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</si>
  <si>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</si>
  <si>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</si>
  <si>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</si>
  <si>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</si>
  <si>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</si>
  <si>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</si>
  <si>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</si>
  <si>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</si>
  <si>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</si>
  <si>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</si>
  <si>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</si>
  <si>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</si>
  <si>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</si>
  <si>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</si>
  <si>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</si>
  <si>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</si>
  <si>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</si>
  <si>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</si>
  <si>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</si>
  <si>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</si>
  <si>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</si>
  <si>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</si>
  <si>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</si>
  <si>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</si>
  <si>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</si>
  <si>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</si>
  <si>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</si>
  <si>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</si>
  <si>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</si>
  <si>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</si>
  <si>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</si>
  <si>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</si>
  <si>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</si>
  <si>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</si>
  <si>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Infrastructure &amp; Guidance</t>
  </si>
  <si>
    <t>控股和重点投资公司法务风险管理 Legal risk management for controlled and key invested portfolios</t>
  </si>
  <si>
    <t>Public - Knowledge Accumulation &amp; Sharing</t>
  </si>
  <si>
    <t>整理重点公司信息</t>
  </si>
  <si>
    <t>Optillusion</t>
  </si>
  <si>
    <t>Seminar re: India investments</t>
  </si>
  <si>
    <t>Futu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</si>
</sst>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16" sqref="H16"/>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6</v>
      </c>
      <c r="H4" s="13" t="s">
        <v>20</v>
      </c>
      <c r="I4" s="11"/>
    </row>
    <row r="5" spans="2:9" ht="38.25">
      <c r="B5" s="15" t="s">
        <v>72</v>
      </c>
      <c r="C5" s="13" t="s">
        <v>14</v>
      </c>
      <c r="D5" s="26" t="s">
        <v>82</v>
      </c>
      <c r="E5" s="8" t="s">
        <v>40</v>
      </c>
      <c r="F5" s="13" t="s">
        <v>74</v>
      </c>
      <c r="G5" s="8">
        <v>3</v>
      </c>
      <c r="H5" s="13" t="s">
        <v>20</v>
      </c>
      <c r="I5" s="11"/>
    </row>
    <row r="6" spans="2:9" ht="38.25">
      <c r="B6" s="15" t="s">
        <v>72</v>
      </c>
      <c r="C6" s="13" t="s">
        <v>14</v>
      </c>
      <c r="D6" s="26" t="s">
        <v>80</v>
      </c>
      <c r="E6" s="8" t="s">
        <v>40</v>
      </c>
      <c r="F6" s="13" t="s">
        <v>74</v>
      </c>
      <c r="G6" s="8">
        <v>2</v>
      </c>
      <c r="H6" s="13" t="s">
        <v>25</v>
      </c>
      <c r="I6" s="11"/>
    </row>
    <row r="7" spans="2:9" ht="51">
      <c r="B7" s="15" t="s">
        <v>72</v>
      </c>
      <c r="C7" s="13" t="s">
        <v>76</v>
      </c>
      <c r="D7" s="26"/>
      <c r="E7" s="8" t="s">
        <v>40</v>
      </c>
      <c r="F7" s="13" t="s">
        <v>77</v>
      </c>
      <c r="G7" s="8">
        <v>4.5</v>
      </c>
      <c r="H7" s="13" t="s">
        <v>27</v>
      </c>
      <c r="I7" s="27" t="s">
        <v>79</v>
      </c>
    </row>
    <row r="8" spans="2:9">
      <c r="B8" s="15" t="s">
        <v>72</v>
      </c>
      <c r="C8" s="13" t="s">
        <v>18</v>
      </c>
      <c r="D8" s="26"/>
      <c r="E8" s="8"/>
      <c r="F8" s="13"/>
      <c r="G8" s="8">
        <v>2</v>
      </c>
      <c r="H8" s="13" t="s">
        <v>24</v>
      </c>
      <c r="I8" s="27"/>
    </row>
    <row r="9" spans="2:9" ht="25.5">
      <c r="B9" s="15" t="s">
        <v>72</v>
      </c>
      <c r="C9" s="13" t="s">
        <v>78</v>
      </c>
      <c r="D9" s="26"/>
      <c r="E9" s="8" t="s">
        <v>27</v>
      </c>
      <c r="F9" s="13"/>
      <c r="G9" s="8">
        <v>2</v>
      </c>
      <c r="H9" s="13" t="s">
        <v>34</v>
      </c>
      <c r="I9" s="27" t="s">
        <v>81</v>
      </c>
    </row>
    <row r="10" spans="2:9" ht="25.5">
      <c r="B10" s="15" t="s">
        <v>72</v>
      </c>
      <c r="C10" s="13" t="s">
        <v>18</v>
      </c>
      <c r="D10" s="8"/>
      <c r="E10" s="8" t="s">
        <v>27</v>
      </c>
      <c r="F10" s="13"/>
      <c r="G10" s="8">
        <v>2</v>
      </c>
      <c r="H10" s="13" t="s">
        <v>75</v>
      </c>
      <c r="I10" s="11"/>
    </row>
    <row r="11" spans="2:9">
      <c r="B11" s="21"/>
      <c r="C11" s="22"/>
      <c r="D11" s="23"/>
      <c r="E11" s="23"/>
      <c r="F11" s="25" t="s">
        <v>67</v>
      </c>
      <c r="G11" s="31">
        <f>SUM(G3:G10)</f>
        <v>21.5</v>
      </c>
      <c r="H11" s="32"/>
      <c r="I11" s="33"/>
    </row>
    <row r="12" spans="2:9" ht="15.75" thickBot="1">
      <c r="B12" s="18"/>
      <c r="C12" s="19"/>
      <c r="D12" s="20"/>
      <c r="E12" s="20"/>
      <c r="F12" s="24" t="s">
        <v>68</v>
      </c>
      <c r="G12" s="28">
        <v>5</v>
      </c>
      <c r="H12" s="29"/>
      <c r="I12" s="30"/>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2025-05-26T10:58:50Z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