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6AA2C46D-4EB2-4BC7-BE5B-AF6987F31446}"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7" i="1" l="1"/>
</calcChain>
</file>

<file path=xl/sharedStrings.xml><?xml version="1.0" encoding="utf-8"?>
<sst xmlns="http://schemas.openxmlformats.org/spreadsheetml/2006/main" count="345" uniqueCount="101">
  <si>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</si>
  <si>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</si>
  <si>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</si>
  <si>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</si>
  <si>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</si>
  <si>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</si>
  <si>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</si>
  <si>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</si>
  <si>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</si>
  <si>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</si>
  <si>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</si>
  <si>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</si>
  <si>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</si>
  <si>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</si>
  <si>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</si>
  <si>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</si>
  <si>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</si>
  <si>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</si>
  <si>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</si>
  <si>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</si>
  <si>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</si>
  <si>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</si>
  <si>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</si>
  <si>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</si>
  <si>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</si>
  <si>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</si>
  <si>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</si>
  <si>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</si>
  <si>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</si>
  <si>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</si>
  <si>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</si>
  <si>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</si>
  <si>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</si>
  <si>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</si>
  <si>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</si>
  <si>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</si>
  <si>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</si>
  <si>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</si>
  <si>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</si>
  <si>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</si>
  <si>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</si>
  <si>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</si>
  <si>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</si>
  <si>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</si>
  <si>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</si>
  <si>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</si>
  <si>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</si>
  <si>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</si>
  <si>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</si>
  <si>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</si>
  <si>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</si>
  <si>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</si>
  <si>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</si>
  <si>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</si>
  <si>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</si>
  <si>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</si>
  <si>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</si>
  <si>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</si>
  <si>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</si>
  <si>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</si>
  <si>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</si>
  <si>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</si>
  <si>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</si>
  <si>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</si>
  <si>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</si>
  <si>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</si>
  <si>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</si>
  <si>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</si>
  <si>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</si>
  <si>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</si>
  <si>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</si>
  <si>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</si>
  <si>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</si>
  <si>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</si>
  <si>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Upsider</t>
  </si>
  <si>
    <t>Recording/reviewing deals updates/weekly time reports/other team summaries</t>
  </si>
  <si>
    <t>Public - Knowledge Accumulation &amp; Sharing</t>
  </si>
  <si>
    <t>Providing training sessions/knowledge sharing</t>
  </si>
  <si>
    <t>国际业务(投资)监管应对Interaction with regulators for international investments</t>
  </si>
  <si>
    <t xml:space="preserve">DOJ investigation on Tencent's director appointment rights pertaining to Clayton Act </t>
  </si>
  <si>
    <t>VNG</t>
  </si>
  <si>
    <t>GGG</t>
  </si>
  <si>
    <t>HK covered call</t>
  </si>
  <si>
    <t>祖龙娱乐</t>
  </si>
  <si>
    <t>中金公司</t>
  </si>
  <si>
    <t xml:space="preserve">Sale </t>
  </si>
  <si>
    <t>Sale</t>
  </si>
  <si>
    <t>Discuss with huannnzhang on disclosure of pre-IPO investors</t>
  </si>
  <si>
    <t>益杰立科</t>
  </si>
  <si>
    <t xml:space="preserve">首次投资 </t>
  </si>
  <si>
    <t>闻泰</t>
  </si>
  <si>
    <t>晶泰科技</t>
  </si>
  <si>
    <t>Discord</t>
  </si>
  <si>
    <t>In relation to controlled corporation under HK DI filing regime</t>
  </si>
  <si>
    <t>资本市场证券交易全流程合规体系建设 Full-process compliance system  for securities trading in capital markets</t>
  </si>
  <si>
    <t xml:space="preserve">Sharing on pre-IPO investments and DI filing in relation to on-exchange sales </t>
  </si>
  <si>
    <t>Discuss with danielshen on the implications of being a controlling shareholder and the mitigant measures</t>
  </si>
  <si>
    <t>Interim report and relevant board meeting</t>
  </si>
  <si>
    <t>Board resolution on divestment</t>
  </si>
  <si>
    <t>CC training: Updates on fund investments</t>
  </si>
  <si>
    <t>首次投资 - 签字页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</si>
</sst>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9"/>
  <sheetViews>
    <sheetView tabSelected="1" topLeftCell="A34" zoomScaleNormal="100" workbookViewId="0">
      <selection activeCell="A40" sqref="A4:A40"/>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5.25" customHeight="1">
      <c r="A4" s="27"/>
      <c r="B4" s="14" t="s">
        <v>72</v>
      </c>
      <c r="C4" s="12" t="s">
        <v>14</v>
      </c>
      <c r="D4" s="25" t="s">
        <v>90</v>
      </c>
      <c r="E4" s="8" t="s">
        <v>40</v>
      </c>
      <c r="F4" s="12" t="s">
        <v>73</v>
      </c>
      <c r="G4" s="25">
        <v>3</v>
      </c>
      <c r="H4" s="28" t="s">
        <v>20</v>
      </c>
      <c r="I4" s="26" t="s">
        <v>89</v>
      </c>
    </row>
    <row r="5" spans="1:9" ht="38.25">
      <c r="A5" s="27"/>
      <c r="B5" s="14" t="s">
        <v>72</v>
      </c>
      <c r="C5" s="12" t="s">
        <v>14</v>
      </c>
      <c r="D5" s="25" t="s">
        <v>74</v>
      </c>
      <c r="E5" s="8" t="s">
        <v>40</v>
      </c>
      <c r="F5" s="12" t="s">
        <v>73</v>
      </c>
      <c r="G5" s="25">
        <v>0.3</v>
      </c>
      <c r="H5" s="12" t="s">
        <v>20</v>
      </c>
      <c r="I5" s="26" t="s">
        <v>85</v>
      </c>
    </row>
    <row r="6" spans="1:9" ht="35.25" customHeight="1">
      <c r="A6" s="27"/>
      <c r="B6" s="14" t="s">
        <v>72</v>
      </c>
      <c r="C6" s="12" t="s">
        <v>14</v>
      </c>
      <c r="D6" s="25" t="s">
        <v>91</v>
      </c>
      <c r="E6" s="8" t="s">
        <v>40</v>
      </c>
      <c r="F6" s="12" t="s">
        <v>73</v>
      </c>
      <c r="G6" s="25">
        <v>1.2</v>
      </c>
      <c r="H6" s="12" t="s">
        <v>20</v>
      </c>
      <c r="I6" s="26" t="s">
        <v>82</v>
      </c>
    </row>
    <row r="7" spans="1:9" ht="54.75" customHeight="1">
      <c r="A7" s="27"/>
      <c r="B7" s="14" t="s">
        <v>72</v>
      </c>
      <c r="C7" s="12" t="s">
        <v>76</v>
      </c>
      <c r="D7" s="25"/>
      <c r="E7" s="8" t="s">
        <v>27</v>
      </c>
      <c r="F7" s="12"/>
      <c r="G7" s="25">
        <v>1</v>
      </c>
      <c r="H7" s="12" t="s">
        <v>77</v>
      </c>
      <c r="I7" s="26" t="s">
        <v>96</v>
      </c>
    </row>
    <row r="8" spans="1:9" ht="59.25" customHeight="1">
      <c r="A8" s="27"/>
      <c r="B8" s="14" t="s">
        <v>72</v>
      </c>
      <c r="C8" s="12" t="s">
        <v>14</v>
      </c>
      <c r="D8" s="25" t="s">
        <v>84</v>
      </c>
      <c r="E8" s="8" t="s">
        <v>40</v>
      </c>
      <c r="F8" s="12" t="s">
        <v>73</v>
      </c>
      <c r="G8" s="25">
        <v>0.5</v>
      </c>
      <c r="H8" s="12" t="s">
        <v>20</v>
      </c>
      <c r="I8" s="26" t="s">
        <v>86</v>
      </c>
    </row>
    <row r="9" spans="1:9" ht="38.25">
      <c r="A9" s="27"/>
      <c r="B9" s="14" t="s">
        <v>72</v>
      </c>
      <c r="C9" s="12" t="s">
        <v>76</v>
      </c>
      <c r="D9" s="25"/>
      <c r="E9" s="8" t="s">
        <v>40</v>
      </c>
      <c r="F9" s="12" t="s">
        <v>73</v>
      </c>
      <c r="G9" s="25">
        <v>1.2</v>
      </c>
      <c r="H9" s="12" t="s">
        <v>77</v>
      </c>
      <c r="I9" s="26" t="s">
        <v>95</v>
      </c>
    </row>
    <row r="10" spans="1:9" ht="59.25" customHeight="1">
      <c r="A10" s="27"/>
      <c r="B10" s="14" t="s">
        <v>72</v>
      </c>
      <c r="C10" s="12" t="s">
        <v>14</v>
      </c>
      <c r="D10" s="25" t="s">
        <v>84</v>
      </c>
      <c r="E10" s="8" t="s">
        <v>40</v>
      </c>
      <c r="F10" s="12" t="s">
        <v>73</v>
      </c>
      <c r="G10" s="25">
        <v>0.6</v>
      </c>
      <c r="H10" s="12" t="s">
        <v>20</v>
      </c>
      <c r="I10" s="26" t="s">
        <v>86</v>
      </c>
    </row>
    <row r="11" spans="1:9" ht="38.25">
      <c r="A11" s="27"/>
      <c r="B11" s="14" t="s">
        <v>72</v>
      </c>
      <c r="C11" s="12" t="s">
        <v>76</v>
      </c>
      <c r="D11" s="25"/>
      <c r="E11" s="8" t="s">
        <v>40</v>
      </c>
      <c r="F11" s="12" t="s">
        <v>73</v>
      </c>
      <c r="G11" s="25">
        <v>2.5</v>
      </c>
      <c r="H11" s="12" t="s">
        <v>77</v>
      </c>
      <c r="I11" s="26" t="s">
        <v>95</v>
      </c>
    </row>
    <row r="12" spans="1:9" ht="35.25" customHeight="1">
      <c r="A12" s="27"/>
      <c r="B12" s="14" t="s">
        <v>72</v>
      </c>
      <c r="C12" s="12" t="s">
        <v>14</v>
      </c>
      <c r="D12" s="25" t="s">
        <v>90</v>
      </c>
      <c r="E12" s="8" t="s">
        <v>40</v>
      </c>
      <c r="F12" s="12" t="s">
        <v>73</v>
      </c>
      <c r="G12" s="25">
        <v>1</v>
      </c>
      <c r="H12" s="28" t="s">
        <v>20</v>
      </c>
      <c r="I12" s="26" t="s">
        <v>89</v>
      </c>
    </row>
    <row r="13" spans="1:9" ht="38.25">
      <c r="A13" s="27"/>
      <c r="B13" s="14" t="s">
        <v>72</v>
      </c>
      <c r="C13" s="12" t="s">
        <v>14</v>
      </c>
      <c r="D13" s="25" t="s">
        <v>92</v>
      </c>
      <c r="E13" s="8" t="s">
        <v>40</v>
      </c>
      <c r="F13" s="12" t="s">
        <v>73</v>
      </c>
      <c r="G13" s="25">
        <v>0.7</v>
      </c>
      <c r="H13" s="12" t="s">
        <v>36</v>
      </c>
      <c r="I13" s="26"/>
    </row>
    <row r="14" spans="1:9" ht="35.25" customHeight="1">
      <c r="A14" s="27"/>
      <c r="B14" s="14" t="s">
        <v>72</v>
      </c>
      <c r="C14" s="12" t="s">
        <v>14</v>
      </c>
      <c r="D14" s="25" t="s">
        <v>88</v>
      </c>
      <c r="E14" s="8" t="s">
        <v>40</v>
      </c>
      <c r="F14" s="12" t="s">
        <v>73</v>
      </c>
      <c r="G14" s="25">
        <v>0.3</v>
      </c>
      <c r="H14" s="12" t="s">
        <v>20</v>
      </c>
      <c r="I14" s="26" t="s">
        <v>89</v>
      </c>
    </row>
    <row r="15" spans="1:9" ht="36.75" customHeight="1">
      <c r="A15" s="27"/>
      <c r="B15" s="14" t="s">
        <v>72</v>
      </c>
      <c r="C15" s="12" t="s">
        <v>16</v>
      </c>
      <c r="D15" s="25" t="s">
        <v>83</v>
      </c>
      <c r="E15" s="8" t="s">
        <v>40</v>
      </c>
      <c r="F15" s="12" t="s">
        <v>73</v>
      </c>
      <c r="G15" s="25">
        <v>0.5</v>
      </c>
      <c r="H15" s="12" t="s">
        <v>36</v>
      </c>
      <c r="I15" s="26" t="s">
        <v>97</v>
      </c>
    </row>
    <row r="16" spans="1:9" ht="38.25">
      <c r="A16" s="27"/>
      <c r="B16" s="14" t="s">
        <v>72</v>
      </c>
      <c r="C16" s="12" t="s">
        <v>18</v>
      </c>
      <c r="D16" s="25"/>
      <c r="E16" s="8" t="s">
        <v>40</v>
      </c>
      <c r="F16" s="12" t="s">
        <v>78</v>
      </c>
      <c r="G16" s="25">
        <v>1.5</v>
      </c>
      <c r="H16" s="12"/>
      <c r="I16" s="26" t="s">
        <v>79</v>
      </c>
    </row>
    <row r="17" spans="1:9" ht="31.9" customHeight="1">
      <c r="A17" s="27"/>
      <c r="B17" s="14" t="s">
        <v>72</v>
      </c>
      <c r="C17" s="12" t="s">
        <v>76</v>
      </c>
      <c r="D17" s="25"/>
      <c r="E17" s="8" t="s">
        <v>27</v>
      </c>
      <c r="F17" s="12"/>
      <c r="G17" s="25">
        <v>0.3</v>
      </c>
      <c r="H17" s="12" t="s">
        <v>77</v>
      </c>
      <c r="I17" s="26" t="s">
        <v>87</v>
      </c>
    </row>
    <row r="18" spans="1:9" ht="38.25">
      <c r="A18" s="27"/>
      <c r="B18" s="14" t="s">
        <v>72</v>
      </c>
      <c r="C18" s="12" t="s">
        <v>18</v>
      </c>
      <c r="D18" s="25"/>
      <c r="E18" s="8" t="s">
        <v>40</v>
      </c>
      <c r="F18" s="12" t="s">
        <v>78</v>
      </c>
      <c r="G18" s="25">
        <v>0.8</v>
      </c>
      <c r="H18" s="12"/>
      <c r="I18" s="26" t="s">
        <v>79</v>
      </c>
    </row>
    <row r="19" spans="1:9" ht="35.25" customHeight="1">
      <c r="A19" s="27"/>
      <c r="B19" s="14" t="s">
        <v>72</v>
      </c>
      <c r="C19" s="12" t="s">
        <v>14</v>
      </c>
      <c r="D19" s="25" t="s">
        <v>90</v>
      </c>
      <c r="E19" s="8" t="s">
        <v>40</v>
      </c>
      <c r="F19" s="12" t="s">
        <v>73</v>
      </c>
      <c r="G19" s="25">
        <v>0.8</v>
      </c>
      <c r="H19" s="28" t="s">
        <v>20</v>
      </c>
      <c r="I19" s="26" t="s">
        <v>89</v>
      </c>
    </row>
    <row r="20" spans="1:9" ht="35.25" customHeight="1">
      <c r="A20" s="27"/>
      <c r="B20" s="14" t="s">
        <v>72</v>
      </c>
      <c r="C20" s="12" t="s">
        <v>14</v>
      </c>
      <c r="D20" s="25" t="s">
        <v>88</v>
      </c>
      <c r="E20" s="8" t="s">
        <v>40</v>
      </c>
      <c r="F20" s="12" t="s">
        <v>73</v>
      </c>
      <c r="G20" s="25">
        <v>1.8</v>
      </c>
      <c r="H20" s="12" t="s">
        <v>20</v>
      </c>
      <c r="I20" s="26" t="s">
        <v>89</v>
      </c>
    </row>
    <row r="21" spans="1:9" ht="35.25" customHeight="1">
      <c r="A21" s="27"/>
      <c r="B21" s="14" t="s">
        <v>72</v>
      </c>
      <c r="C21" s="12" t="s">
        <v>14</v>
      </c>
      <c r="D21" s="25" t="s">
        <v>91</v>
      </c>
      <c r="E21" s="8" t="s">
        <v>40</v>
      </c>
      <c r="F21" s="12" t="s">
        <v>73</v>
      </c>
      <c r="G21" s="25">
        <v>0.8</v>
      </c>
      <c r="H21" s="12" t="s">
        <v>20</v>
      </c>
      <c r="I21" s="26" t="s">
        <v>82</v>
      </c>
    </row>
    <row r="22" spans="1:9" ht="51">
      <c r="A22" s="27"/>
      <c r="B22" s="14" t="s">
        <v>72</v>
      </c>
      <c r="C22" s="12" t="s">
        <v>18</v>
      </c>
      <c r="D22" s="25"/>
      <c r="E22" s="8" t="s">
        <v>40</v>
      </c>
      <c r="F22" s="12" t="s">
        <v>94</v>
      </c>
      <c r="G22" s="25">
        <v>1.5</v>
      </c>
      <c r="H22" s="12" t="s">
        <v>27</v>
      </c>
      <c r="I22" s="26" t="s">
        <v>93</v>
      </c>
    </row>
    <row r="23" spans="1:9" ht="31.9" customHeight="1">
      <c r="A23" s="27"/>
      <c r="B23" s="14" t="s">
        <v>72</v>
      </c>
      <c r="C23" s="12" t="s">
        <v>76</v>
      </c>
      <c r="D23" s="25"/>
      <c r="E23" s="8" t="s">
        <v>27</v>
      </c>
      <c r="F23" s="12"/>
      <c r="G23" s="25">
        <v>0.5</v>
      </c>
      <c r="H23" s="12" t="s">
        <v>77</v>
      </c>
      <c r="I23" s="26" t="s">
        <v>87</v>
      </c>
    </row>
    <row r="24" spans="1:9">
      <c r="A24" s="27"/>
      <c r="B24" s="14" t="s">
        <v>72</v>
      </c>
      <c r="C24" s="12" t="s">
        <v>18</v>
      </c>
      <c r="D24" s="25"/>
      <c r="E24" s="8" t="s">
        <v>27</v>
      </c>
      <c r="F24" s="12"/>
      <c r="G24" s="25">
        <v>1</v>
      </c>
      <c r="H24" s="12" t="s">
        <v>24</v>
      </c>
      <c r="I24" s="26"/>
    </row>
    <row r="25" spans="1:9" ht="35.25" customHeight="1">
      <c r="A25" s="27"/>
      <c r="B25" s="14" t="s">
        <v>72</v>
      </c>
      <c r="C25" s="12" t="s">
        <v>14</v>
      </c>
      <c r="D25" s="25" t="s">
        <v>88</v>
      </c>
      <c r="E25" s="8" t="s">
        <v>40</v>
      </c>
      <c r="F25" s="12" t="s">
        <v>73</v>
      </c>
      <c r="G25" s="25">
        <v>2</v>
      </c>
      <c r="H25" s="12" t="s">
        <v>20</v>
      </c>
      <c r="I25" s="26" t="s">
        <v>89</v>
      </c>
    </row>
    <row r="26" spans="1:9" ht="51">
      <c r="A26" s="27"/>
      <c r="B26" s="14" t="s">
        <v>72</v>
      </c>
      <c r="C26" s="12" t="s">
        <v>18</v>
      </c>
      <c r="D26" s="25"/>
      <c r="E26" s="8" t="s">
        <v>40</v>
      </c>
      <c r="F26" s="12" t="s">
        <v>94</v>
      </c>
      <c r="G26" s="25">
        <v>1.2</v>
      </c>
      <c r="H26" s="12" t="s">
        <v>27</v>
      </c>
      <c r="I26" s="26" t="s">
        <v>93</v>
      </c>
    </row>
    <row r="27" spans="1:9" ht="38.25">
      <c r="A27" s="27"/>
      <c r="B27" s="14" t="s">
        <v>72</v>
      </c>
      <c r="C27" s="12" t="s">
        <v>18</v>
      </c>
      <c r="D27" s="25"/>
      <c r="E27" s="8" t="s">
        <v>40</v>
      </c>
      <c r="F27" s="12" t="s">
        <v>78</v>
      </c>
      <c r="G27" s="25">
        <v>0.4</v>
      </c>
      <c r="H27" s="12"/>
      <c r="I27" s="26" t="s">
        <v>79</v>
      </c>
    </row>
    <row r="28" spans="1:9" ht="38.25">
      <c r="A28" s="27"/>
      <c r="B28" s="14" t="s">
        <v>72</v>
      </c>
      <c r="C28" s="12" t="s">
        <v>16</v>
      </c>
      <c r="D28" s="25" t="s">
        <v>80</v>
      </c>
      <c r="E28" s="8" t="s">
        <v>40</v>
      </c>
      <c r="F28" s="12" t="s">
        <v>73</v>
      </c>
      <c r="G28" s="25">
        <v>0.8</v>
      </c>
      <c r="H28" s="12" t="s">
        <v>20</v>
      </c>
      <c r="I28" s="26" t="s">
        <v>98</v>
      </c>
    </row>
    <row r="29" spans="1:9" ht="59.25" customHeight="1">
      <c r="A29" s="27"/>
      <c r="B29" s="14" t="s">
        <v>72</v>
      </c>
      <c r="C29" s="12" t="s">
        <v>14</v>
      </c>
      <c r="D29" s="25" t="s">
        <v>84</v>
      </c>
      <c r="E29" s="8" t="s">
        <v>40</v>
      </c>
      <c r="F29" s="12" t="s">
        <v>73</v>
      </c>
      <c r="G29" s="25">
        <v>0.4</v>
      </c>
      <c r="H29" s="12" t="s">
        <v>20</v>
      </c>
      <c r="I29" s="26" t="s">
        <v>86</v>
      </c>
    </row>
    <row r="30" spans="1:9" ht="59.25" customHeight="1">
      <c r="A30" s="27"/>
      <c r="B30" s="14" t="s">
        <v>72</v>
      </c>
      <c r="C30" s="12" t="s">
        <v>16</v>
      </c>
      <c r="D30" s="25" t="s">
        <v>81</v>
      </c>
      <c r="E30" s="8" t="s">
        <v>40</v>
      </c>
      <c r="F30" s="12" t="s">
        <v>73</v>
      </c>
      <c r="G30" s="25">
        <v>0.4</v>
      </c>
      <c r="H30" s="12" t="s">
        <v>36</v>
      </c>
      <c r="I30" s="26"/>
    </row>
    <row r="31" spans="1:9" ht="35.25" customHeight="1">
      <c r="A31" s="27"/>
      <c r="B31" s="14" t="s">
        <v>72</v>
      </c>
      <c r="C31" s="12" t="s">
        <v>14</v>
      </c>
      <c r="D31" s="25" t="s">
        <v>91</v>
      </c>
      <c r="E31" s="8" t="s">
        <v>40</v>
      </c>
      <c r="F31" s="12" t="s">
        <v>73</v>
      </c>
      <c r="G31" s="25">
        <v>0.5</v>
      </c>
      <c r="H31" s="12" t="s">
        <v>20</v>
      </c>
      <c r="I31" s="26" t="s">
        <v>82</v>
      </c>
    </row>
    <row r="32" spans="1:9" ht="59.25" customHeight="1">
      <c r="A32" s="27"/>
      <c r="B32" s="14" t="s">
        <v>72</v>
      </c>
      <c r="C32" s="12" t="s">
        <v>14</v>
      </c>
      <c r="D32" s="25" t="s">
        <v>84</v>
      </c>
      <c r="E32" s="8" t="s">
        <v>40</v>
      </c>
      <c r="F32" s="12" t="s">
        <v>73</v>
      </c>
      <c r="G32" s="25">
        <v>1.3</v>
      </c>
      <c r="H32" s="12" t="s">
        <v>20</v>
      </c>
      <c r="I32" s="26" t="s">
        <v>86</v>
      </c>
    </row>
    <row r="33" spans="1:9" ht="35.25" customHeight="1">
      <c r="A33" s="27"/>
      <c r="B33" s="14" t="s">
        <v>72</v>
      </c>
      <c r="C33" s="12" t="s">
        <v>14</v>
      </c>
      <c r="D33" s="25" t="s">
        <v>88</v>
      </c>
      <c r="E33" s="8" t="s">
        <v>40</v>
      </c>
      <c r="F33" s="12" t="s">
        <v>73</v>
      </c>
      <c r="G33" s="25">
        <v>3</v>
      </c>
      <c r="H33" s="12" t="s">
        <v>20</v>
      </c>
      <c r="I33" s="26" t="s">
        <v>89</v>
      </c>
    </row>
    <row r="34" spans="1:9" ht="59.25" customHeight="1">
      <c r="A34" s="27"/>
      <c r="B34" s="14" t="s">
        <v>72</v>
      </c>
      <c r="C34" s="12" t="s">
        <v>76</v>
      </c>
      <c r="D34" s="25"/>
      <c r="E34" s="8"/>
      <c r="F34" s="12"/>
      <c r="G34" s="25">
        <v>2</v>
      </c>
      <c r="H34" s="12" t="s">
        <v>34</v>
      </c>
      <c r="I34" s="26" t="s">
        <v>99</v>
      </c>
    </row>
    <row r="35" spans="1:9" ht="35.25" customHeight="1">
      <c r="A35" s="27"/>
      <c r="B35" s="14" t="s">
        <v>72</v>
      </c>
      <c r="C35" s="12" t="s">
        <v>14</v>
      </c>
      <c r="D35" s="25" t="s">
        <v>88</v>
      </c>
      <c r="E35" s="8" t="s">
        <v>40</v>
      </c>
      <c r="F35" s="12" t="s">
        <v>73</v>
      </c>
      <c r="G35" s="25">
        <v>2</v>
      </c>
      <c r="H35" s="12" t="s">
        <v>20</v>
      </c>
      <c r="I35" s="26" t="s">
        <v>89</v>
      </c>
    </row>
    <row r="36" spans="1:9" ht="35.25" customHeight="1">
      <c r="A36" s="27"/>
      <c r="B36" s="14" t="s">
        <v>72</v>
      </c>
      <c r="C36" s="12" t="s">
        <v>14</v>
      </c>
      <c r="D36" s="25" t="s">
        <v>90</v>
      </c>
      <c r="E36" s="8" t="s">
        <v>40</v>
      </c>
      <c r="F36" s="12" t="s">
        <v>73</v>
      </c>
      <c r="G36" s="25">
        <v>0.6</v>
      </c>
      <c r="H36" s="28" t="s">
        <v>20</v>
      </c>
      <c r="I36" s="26" t="s">
        <v>89</v>
      </c>
    </row>
    <row r="37" spans="1:9" ht="59.25" customHeight="1">
      <c r="A37" s="27"/>
      <c r="B37" s="14" t="s">
        <v>72</v>
      </c>
      <c r="C37" s="12" t="s">
        <v>14</v>
      </c>
      <c r="D37" s="25" t="s">
        <v>84</v>
      </c>
      <c r="E37" s="8" t="s">
        <v>40</v>
      </c>
      <c r="F37" s="12" t="s">
        <v>73</v>
      </c>
      <c r="G37" s="25">
        <v>1.2</v>
      </c>
      <c r="H37" s="12" t="s">
        <v>20</v>
      </c>
      <c r="I37" s="26" t="s">
        <v>86</v>
      </c>
    </row>
    <row r="38" spans="1:9" ht="35.25" customHeight="1">
      <c r="A38" s="27"/>
      <c r="B38" s="14" t="s">
        <v>72</v>
      </c>
      <c r="C38" s="12" t="s">
        <v>14</v>
      </c>
      <c r="D38" s="25" t="s">
        <v>90</v>
      </c>
      <c r="E38" s="8" t="s">
        <v>40</v>
      </c>
      <c r="F38" s="12" t="s">
        <v>73</v>
      </c>
      <c r="G38" s="25">
        <v>1</v>
      </c>
      <c r="H38" s="28" t="s">
        <v>27</v>
      </c>
      <c r="I38" s="26" t="s">
        <v>100</v>
      </c>
    </row>
    <row r="39" spans="1:9" ht="38.25">
      <c r="A39" s="27"/>
      <c r="B39" s="14" t="s">
        <v>72</v>
      </c>
      <c r="C39" s="12" t="s">
        <v>76</v>
      </c>
      <c r="D39" s="25"/>
      <c r="E39" s="8" t="s">
        <v>40</v>
      </c>
      <c r="F39" s="12" t="s">
        <v>73</v>
      </c>
      <c r="G39" s="25">
        <v>0.8</v>
      </c>
      <c r="H39" s="12" t="s">
        <v>77</v>
      </c>
      <c r="I39" s="26" t="s">
        <v>95</v>
      </c>
    </row>
    <row r="40" spans="1:9" ht="25.5">
      <c r="A40" s="27"/>
      <c r="B40" s="14" t="s">
        <v>72</v>
      </c>
      <c r="C40" s="12" t="s">
        <v>18</v>
      </c>
      <c r="D40" s="25"/>
      <c r="E40" s="8" t="s">
        <v>27</v>
      </c>
      <c r="F40" s="12"/>
      <c r="G40" s="8">
        <v>0.8</v>
      </c>
      <c r="H40" s="12" t="s">
        <v>75</v>
      </c>
      <c r="I40" s="26"/>
    </row>
    <row r="41" spans="1:9">
      <c r="A41" s="27"/>
      <c r="B41" s="14"/>
      <c r="C41" s="12"/>
      <c r="D41" s="25"/>
      <c r="E41" s="8"/>
      <c r="F41" s="12"/>
      <c r="G41" s="25"/>
      <c r="H41" s="12"/>
      <c r="I41" s="26"/>
    </row>
    <row r="42" spans="1:9">
      <c r="A42" s="27"/>
      <c r="B42" s="14"/>
      <c r="C42" s="12"/>
      <c r="D42" s="25"/>
      <c r="E42" s="8"/>
      <c r="F42" s="12"/>
      <c r="G42" s="25"/>
      <c r="H42" s="12"/>
      <c r="I42" s="26"/>
    </row>
    <row r="43" spans="1:9">
      <c r="A43" s="27"/>
      <c r="B43" s="14"/>
      <c r="C43" s="12"/>
      <c r="D43" s="25"/>
      <c r="E43" s="8"/>
      <c r="F43" s="12"/>
      <c r="G43" s="25"/>
      <c r="H43" s="12"/>
      <c r="I43" s="26"/>
    </row>
    <row r="44" spans="1:9" ht="59.25" customHeight="1">
      <c r="A44" s="27"/>
      <c r="B44" s="14"/>
      <c r="C44" s="12"/>
      <c r="D44" s="25"/>
      <c r="E44" s="8"/>
      <c r="F44" s="12"/>
      <c r="G44" s="25"/>
      <c r="H44" s="12"/>
      <c r="I44" s="26"/>
    </row>
    <row r="45" spans="1:9" ht="14.25" customHeight="1">
      <c r="A45" s="27"/>
      <c r="B45" s="14"/>
      <c r="C45" s="12"/>
      <c r="D45" s="25"/>
      <c r="E45" s="8"/>
      <c r="F45" s="12"/>
      <c r="G45" s="25"/>
      <c r="H45" s="12"/>
      <c r="I45" s="26"/>
    </row>
    <row r="46" spans="1:9">
      <c r="A46" s="27"/>
      <c r="B46" s="14"/>
      <c r="C46" s="12"/>
      <c r="D46" s="25"/>
      <c r="E46" s="8"/>
      <c r="F46" s="12"/>
      <c r="G46" s="8"/>
      <c r="H46" s="12"/>
      <c r="I46" s="26"/>
    </row>
    <row r="47" spans="1:9">
      <c r="B47" s="20"/>
      <c r="C47" s="21"/>
      <c r="D47" s="22"/>
      <c r="E47" s="22"/>
      <c r="F47" s="24" t="s">
        <v>67</v>
      </c>
      <c r="G47" s="32">
        <f>SUM(G3:G46)</f>
        <v>40.199999999999996</v>
      </c>
      <c r="H47" s="33"/>
      <c r="I47" s="34"/>
    </row>
    <row r="48" spans="1:9" ht="15.75" thickBot="1">
      <c r="B48" s="17"/>
      <c r="C48" s="18"/>
      <c r="D48" s="19"/>
      <c r="E48" s="19"/>
      <c r="F48" s="23" t="s">
        <v>68</v>
      </c>
      <c r="G48" s="29">
        <v>5</v>
      </c>
      <c r="H48" s="30"/>
      <c r="I48" s="31"/>
    </row>
    <row r="49" ht="15.75" thickTop="1"/>
  </sheetData>
  <mergeCells count="2">
    <mergeCell ref="G48:I48"/>
    <mergeCell ref="G47:I47"/>
  </mergeCells>
  <phoneticPr fontId="7" type="noConversion"/>
  <dataValidations count="2">
    <dataValidation type="list" allowBlank="1" showInputMessage="1" showErrorMessage="1" sqref="H4:H46" xr:uid="{00000000-0002-0000-0000-000000000000}">
      <formula1>hh</formula1>
    </dataValidation>
    <dataValidation type="list" allowBlank="1" showInputMessage="1" showErrorMessage="1" sqref="F4:F46"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E4:E48</xm:sqref>
        </x14:dataValidation>
        <x14:dataValidation type="list" allowBlank="1" showInputMessage="1" showErrorMessage="1" xr:uid="{00000000-0002-0000-0000-000002000000}">
          <x14:formula1>
            <xm:f>数据标签!$B$2:$H$2</xm:f>
          </x14:formula1>
          <xm:sqref>C4:C48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1"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2025-08-25T02:59:45Z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