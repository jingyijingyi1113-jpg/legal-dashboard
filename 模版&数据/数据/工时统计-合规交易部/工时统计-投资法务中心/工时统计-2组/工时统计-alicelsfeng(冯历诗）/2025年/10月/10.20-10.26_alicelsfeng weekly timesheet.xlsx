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231"/>
  <workbookPr/>
  <mc:AlternateContent xmlns:mc="http://schemas.openxmlformats.org/markup-compatibility/2006">
    <mc:Choice Requires="x15">
      <x15ac:absPath xmlns:x15ac="http://schemas.microsoft.com/office/spreadsheetml/2010/11/ac" url="C:\Users\alicelsfeng\Documents\00Work\Time sheets\Effective 6 Oct 2025\Weekly\"/>
    </mc:Choice>
  </mc:AlternateContent>
  <xr:revisionPtr revIDLastSave="0" documentId="13_ncr:1_{43BB9B3F-4ABB-4177-A0DA-1120BDDD9EA3}" xr6:coauthVersionLast="47" xr6:coauthVersionMax="47" xr10:uidLastSave="{00000000-0000-0000-0000-000000000000}"/>
  <bookViews>
    <workbookView xWindow="-120" yWindow="-120" windowWidth="29040" windowHeight="15720" xr2:uid="{00000000-000D-0000-FFFF-FFFF00000000}"/>
  </bookViews>
  <sheets>
    <sheet name="个人工时记录表" sheetId="1" r:id="rId1"/>
    <sheet name="数据标签" sheetId="2" r:id="rId2"/>
  </sheets>
  <definedNames>
    <definedName name="BSC">数据标签!$B$13:$B$28</definedName>
    <definedName name="E列">数据标签!$A$13:$A$28</definedName>
    <definedName name="hh">OFFSET(表2[[#Headers],[Investment Related - M&amp;A Deal]],1,MATCH(个人工时记录表!$C1,表2[#Headers],0)-1,COUNTA(OFFSET(表2[[#Headers],[Investment Related - M&amp;A Deal]],1,MATCH(个人工时记录表!$C1,表2[#Headers],0)-1,7,1)),1)</definedName>
    <definedName name="OKR">数据标签!$C$13:$C$28</definedName>
    <definedName name="Others">数据标签!$D$13:$D$28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40" i="1" l="1"/>
</calcChain>
</file>

<file path=xl/sharedStrings.xml><?xml version="1.0" encoding="utf-8"?>
<sst xmlns="http://schemas.openxmlformats.org/spreadsheetml/2006/main" count="328" uniqueCount="110">
  <si>
    <t>Name</t>
  </si>
  <si>
    <t>Deal/Matter Name</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</si>
  <si>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</si>
  <si>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</si>
  <si>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</si>
  <si>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</si>
  <si>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</si>
  <si>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</si>
  <si>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</si>
  <si>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</si>
  <si>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</si>
  <si>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</si>
  <si>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</si>
  <si>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</si>
  <si>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</si>
  <si>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</si>
  <si>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</si>
  <si>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</si>
  <si>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</si>
  <si>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</si>
  <si>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</si>
  <si>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</si>
  <si>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</si>
  <si>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</si>
  <si>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</si>
  <si>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</si>
  <si>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</si>
  <si>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</si>
  <si>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</si>
  <si>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</si>
  <si>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</si>
  <si>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</si>
  <si>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</si>
  <si>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</si>
  <si>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</si>
  <si>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</si>
  <si>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</si>
  <si>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</si>
  <si>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</si>
  <si>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</si>
  <si>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</si>
  <si>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</si>
  <si>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</si>
  <si>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</si>
  <si>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</si>
  <si>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</si>
  <si>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</si>
  <si>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</si>
  <si>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</si>
  <si>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</si>
  <si>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</si>
  <si>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</si>
  <si>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</si>
  <si>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Providing training sessions/knowledge sharing</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</si>
  <si>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</si>
  <si>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</si>
  <si>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</si>
  <si>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</si>
  <si>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</si>
  <si>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</si>
  <si>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</si>
  <si>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</si>
  <si>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</si>
  <si>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</si>
  <si>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</si>
  <si>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</si>
  <si>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Drafting/reviewing/revising legal documents</t>
  </si>
  <si>
    <t>Drafting/reviewing/revising legal documents</t>
    <phoneticPr fontId="7" type="noConversion"/>
  </si>
  <si>
    <t>Internal/external discussion on/negotiation of legal documents</t>
  </si>
  <si>
    <t>Internal/external discussion on/negotiation of legal documents</t>
    <phoneticPr fontId="7" type="noConversion"/>
  </si>
  <si>
    <t>投资项目全流程法务支持 Full-process legal support for investments</t>
  </si>
  <si>
    <t>请确认该项事务是否为CTD-投资法务中心的BSC事项
Confirm whether it's a CTD-ILC BSC iteam</t>
    <phoneticPr fontId="7" type="noConversion"/>
  </si>
  <si>
    <t>BSC Tag</t>
    <phoneticPr fontId="7" type="noConversion"/>
  </si>
  <si>
    <t>BSC Item</t>
    <phoneticPr fontId="7" type="noConversion"/>
  </si>
  <si>
    <t xml:space="preserve">如为CTD-投资法务中心BSC事项，请相应勾选下拉菜单中的BSC事项选项
In the case of a CTD-ILC BSC item, please select the detailed item in the drop-down menu </t>
    <phoneticPr fontId="7" type="noConversion"/>
  </si>
  <si>
    <t>alicelsfeng</t>
  </si>
  <si>
    <t>Epic Games</t>
  </si>
  <si>
    <t>国际业务(投资)监管应对Interaction with regulators for international investments</t>
  </si>
  <si>
    <t xml:space="preserve">Responses to CFIUS questions </t>
  </si>
  <si>
    <t>In relation to controlled corporation under HK DI filing regime</t>
  </si>
  <si>
    <t>Public - Infrastructure &amp; Guidance</t>
  </si>
  <si>
    <t xml:space="preserve">Discord </t>
  </si>
  <si>
    <t>易鑫</t>
  </si>
  <si>
    <t>Public - Knowledge Accumulation &amp; Sharing</t>
  </si>
  <si>
    <t>Hungry</t>
  </si>
  <si>
    <t>Amend the 2021 share purchase and call option agreement</t>
  </si>
  <si>
    <t>Recording/reviewing deals updates/weekly time reports/other team summaries</t>
  </si>
  <si>
    <t xml:space="preserve">首次投资 </t>
  </si>
  <si>
    <t>TGIF2 Mayday</t>
  </si>
  <si>
    <t>KYC</t>
  </si>
  <si>
    <t>闻泰医药</t>
  </si>
  <si>
    <t>HKEx comments</t>
  </si>
  <si>
    <t>Clifford Chance training on anti-trust</t>
  </si>
  <si>
    <t>Mundfish</t>
  </si>
  <si>
    <t>Shareholdres' resolutions on financial statements</t>
  </si>
  <si>
    <t>星合互娱</t>
  </si>
  <si>
    <t>章程修订</t>
  </si>
  <si>
    <t>Providing training sessions/knowledge sharing</t>
  </si>
  <si>
    <t>海外投资合规管理 Overseas investment compliance management</t>
  </si>
  <si>
    <t>境外法域董事责任培训课程：准备PPT和稿子</t>
  </si>
  <si>
    <t>Upsider</t>
  </si>
  <si>
    <t>Sale - 入库</t>
  </si>
  <si>
    <t>VNG</t>
  </si>
  <si>
    <t>Proposal to convene EGM</t>
  </si>
  <si>
    <t xml:space="preserve">Updates </t>
  </si>
  <si>
    <t>祖龙娱乐</t>
  </si>
  <si>
    <t>CCT</t>
  </si>
  <si>
    <t>境外法域董事责任培训课程：录制</t>
  </si>
  <si>
    <t>首次投资 - 讨论</t>
  </si>
  <si>
    <t>Freshfield's in-house forum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</si>
</sst>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Calibri"/>
      <charset val="134"/>
      <scheme val="minor"/>
    </font>
    <font>
      <sz val="10"/>
      <color theme="1"/>
      <name val="Calibri"/>
      <family val="2"/>
      <scheme val="minor"/>
    </font>
    <font>
      <sz val="10"/>
      <name val="等线"/>
      <family val="3"/>
      <charset val="134"/>
    </font>
    <font>
      <b/>
      <sz val="10"/>
      <color theme="4" tint="-0.499984740745262"/>
      <name val="Calibri"/>
      <family val="2"/>
      <scheme val="minor"/>
    </font>
    <font>
      <sz val="8"/>
      <color theme="4" tint="-0.499984740745262"/>
      <name val="Calibri"/>
      <family val="2"/>
      <scheme val="minor"/>
    </font>
    <font>
      <sz val="10"/>
      <color theme="1"/>
      <name val="Calibri"/>
      <family val="2"/>
      <scheme val="minor"/>
    </font>
    <font>
      <b/>
      <i/>
      <sz val="10"/>
      <color theme="4" tint="-0.499984740745262"/>
      <name val="Calibri"/>
      <family val="2"/>
      <scheme val="minor"/>
    </font>
    <font>
      <sz val="9"/>
      <name val="Calibri"/>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6">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8" xfId="0" applyFont="1" applyBorder="1" applyAlignment="1">
      <alignment vertical="center" wrapText="1"/>
    </xf>
    <xf numFmtId="0" fontId="5" fillId="0" borderId="8" xfId="0" applyFont="1" applyBorder="1" applyAlignment="1">
      <alignment vertical="center" wrapText="1"/>
    </xf>
    <xf numFmtId="0" fontId="1" fillId="0" borderId="8" xfId="0" applyFont="1"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1" fillId="0" borderId="18" xfId="0" applyFont="1" applyBorder="1" applyAlignment="1">
      <alignment horizontal="left" vertical="center"/>
    </xf>
    <xf numFmtId="0" fontId="1" fillId="0" borderId="11" xfId="0" applyFont="1" applyBorder="1" applyAlignment="1">
      <alignment horizontal="left" vertical="center"/>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10"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42"/>
  <sheetViews>
    <sheetView tabSelected="1" topLeftCell="A24" zoomScaleNormal="100" workbookViewId="0">
      <selection activeCell="G37" sqref="G4:G37"/>
    </sheetView>
  </sheetViews>
  <sheetFormatPr defaultColWidth="9" defaultRowHeight="15"/>
  <cols>
    <col min="1" max="1" width="9.42578125" bestFit="1" customWidth="1"/>
    <col min="3" max="3" width="34.42578125" style="14" customWidth="1"/>
    <col min="4" max="4" width="15.140625" customWidth="1"/>
    <col min="5" max="5" width="10.5703125" customWidth="1"/>
    <col min="6" max="6" width="29.85546875" style="14" customWidth="1"/>
    <col min="8" max="8" width="41.5703125" style="14" customWidth="1"/>
    <col min="9" max="9" width="39.85546875" customWidth="1"/>
  </cols>
  <sheetData>
    <row r="2" spans="2:9" ht="25.5">
      <c r="B2" s="4" t="s">
        <v>0</v>
      </c>
      <c r="C2" s="5" t="s">
        <v>64</v>
      </c>
      <c r="D2" s="5" t="s">
        <v>1</v>
      </c>
      <c r="E2" s="5" t="s">
        <v>72</v>
      </c>
      <c r="F2" s="5" t="s">
        <v>73</v>
      </c>
      <c r="G2" s="5" t="s">
        <v>2</v>
      </c>
      <c r="H2" s="5" t="s">
        <v>3</v>
      </c>
      <c r="I2" s="10" t="s">
        <v>4</v>
      </c>
    </row>
    <row r="3" spans="2:9" ht="207.95" customHeight="1">
      <c r="B3" s="6" t="s">
        <v>5</v>
      </c>
      <c r="C3" s="7" t="s">
        <v>6</v>
      </c>
      <c r="D3" s="7" t="s">
        <v>7</v>
      </c>
      <c r="E3" s="7" t="s">
        <v>71</v>
      </c>
      <c r="F3" s="7" t="s">
        <v>74</v>
      </c>
      <c r="G3" s="7" t="s">
        <v>8</v>
      </c>
      <c r="H3" s="7" t="s">
        <v>9</v>
      </c>
      <c r="I3" s="11" t="s">
        <v>10</v>
      </c>
    </row>
    <row r="4" spans="2:9" ht="25.5">
      <c r="B4" s="15" t="s">
        <v>75</v>
      </c>
      <c r="C4" s="13" t="s">
        <v>83</v>
      </c>
      <c r="D4" s="26"/>
      <c r="E4" s="9" t="s">
        <v>24</v>
      </c>
      <c r="F4" s="13"/>
      <c r="G4" s="26">
        <v>2</v>
      </c>
      <c r="H4" s="13" t="s">
        <v>31</v>
      </c>
      <c r="I4" s="27" t="s">
        <v>92</v>
      </c>
    </row>
    <row r="5" spans="2:9" ht="25.5">
      <c r="B5" s="15" t="s">
        <v>75</v>
      </c>
      <c r="C5" s="13" t="s">
        <v>16</v>
      </c>
      <c r="D5" s="9"/>
      <c r="E5" s="9" t="s">
        <v>24</v>
      </c>
      <c r="F5" s="13"/>
      <c r="G5" s="26">
        <v>0.7</v>
      </c>
      <c r="H5" s="13" t="s">
        <v>35</v>
      </c>
      <c r="I5" s="28"/>
    </row>
    <row r="6" spans="2:9" ht="25.5">
      <c r="B6" s="8" t="s">
        <v>75</v>
      </c>
      <c r="C6" s="13" t="s">
        <v>12</v>
      </c>
      <c r="D6" s="26" t="s">
        <v>82</v>
      </c>
      <c r="E6" s="9"/>
      <c r="F6" s="13"/>
      <c r="G6" s="26">
        <v>0.6</v>
      </c>
      <c r="H6" s="13" t="s">
        <v>68</v>
      </c>
      <c r="I6" s="27" t="s">
        <v>85</v>
      </c>
    </row>
    <row r="7" spans="2:9" ht="38.25">
      <c r="B7" s="15" t="s">
        <v>75</v>
      </c>
      <c r="C7" s="13" t="s">
        <v>13</v>
      </c>
      <c r="D7" s="26" t="s">
        <v>90</v>
      </c>
      <c r="E7" s="9" t="s">
        <v>37</v>
      </c>
      <c r="F7" s="13" t="s">
        <v>70</v>
      </c>
      <c r="G7" s="26">
        <v>0.4</v>
      </c>
      <c r="H7" s="13" t="s">
        <v>33</v>
      </c>
      <c r="I7" s="27" t="s">
        <v>91</v>
      </c>
    </row>
    <row r="8" spans="2:9" ht="38.25">
      <c r="B8" s="15" t="s">
        <v>75</v>
      </c>
      <c r="C8" s="13" t="s">
        <v>12</v>
      </c>
      <c r="D8" s="26" t="s">
        <v>84</v>
      </c>
      <c r="E8" s="9" t="s">
        <v>37</v>
      </c>
      <c r="F8" s="13" t="s">
        <v>70</v>
      </c>
      <c r="G8" s="26">
        <v>0.5</v>
      </c>
      <c r="H8" s="13" t="s">
        <v>68</v>
      </c>
      <c r="I8" s="27" t="s">
        <v>87</v>
      </c>
    </row>
    <row r="9" spans="2:9" ht="38.25">
      <c r="B9" s="15" t="s">
        <v>75</v>
      </c>
      <c r="C9" s="13" t="s">
        <v>12</v>
      </c>
      <c r="D9" s="26" t="s">
        <v>84</v>
      </c>
      <c r="E9" s="9" t="s">
        <v>37</v>
      </c>
      <c r="F9" s="13" t="s">
        <v>70</v>
      </c>
      <c r="G9" s="26">
        <v>0.5</v>
      </c>
      <c r="H9" s="13" t="s">
        <v>66</v>
      </c>
      <c r="I9" s="27" t="s">
        <v>87</v>
      </c>
    </row>
    <row r="10" spans="2:9" ht="38.25">
      <c r="B10" s="15" t="s">
        <v>75</v>
      </c>
      <c r="C10" s="13" t="s">
        <v>12</v>
      </c>
      <c r="D10" s="26" t="s">
        <v>84</v>
      </c>
      <c r="E10" s="9" t="s">
        <v>37</v>
      </c>
      <c r="F10" s="13" t="s">
        <v>70</v>
      </c>
      <c r="G10" s="26">
        <v>1.5</v>
      </c>
      <c r="H10" s="13" t="s">
        <v>24</v>
      </c>
      <c r="I10" s="27" t="s">
        <v>87</v>
      </c>
    </row>
    <row r="11" spans="2:9" ht="38.25">
      <c r="B11" s="15" t="s">
        <v>75</v>
      </c>
      <c r="C11" s="13" t="s">
        <v>12</v>
      </c>
      <c r="D11" s="26" t="s">
        <v>76</v>
      </c>
      <c r="E11" s="9" t="s">
        <v>37</v>
      </c>
      <c r="F11" s="13" t="s">
        <v>77</v>
      </c>
      <c r="G11" s="26">
        <v>0.8</v>
      </c>
      <c r="H11" s="13" t="s">
        <v>66</v>
      </c>
      <c r="I11" s="29" t="s">
        <v>78</v>
      </c>
    </row>
    <row r="12" spans="2:9" ht="38.25">
      <c r="B12" s="15" t="s">
        <v>75</v>
      </c>
      <c r="C12" s="13" t="s">
        <v>14</v>
      </c>
      <c r="D12" s="26" t="s">
        <v>93</v>
      </c>
      <c r="E12" s="9" t="s">
        <v>37</v>
      </c>
      <c r="F12" s="13" t="s">
        <v>70</v>
      </c>
      <c r="G12" s="9">
        <v>0.5</v>
      </c>
      <c r="H12" s="13" t="s">
        <v>66</v>
      </c>
      <c r="I12" s="27" t="s">
        <v>94</v>
      </c>
    </row>
    <row r="13" spans="2:9" ht="25.5">
      <c r="B13" s="15" t="s">
        <v>75</v>
      </c>
      <c r="C13" s="13" t="s">
        <v>16</v>
      </c>
      <c r="D13" s="9"/>
      <c r="E13" s="9" t="s">
        <v>24</v>
      </c>
      <c r="F13" s="13"/>
      <c r="G13" s="26">
        <v>0.5</v>
      </c>
      <c r="H13" s="13" t="s">
        <v>86</v>
      </c>
      <c r="I13" s="28"/>
    </row>
    <row r="14" spans="2:9" ht="38.25">
      <c r="B14" s="15" t="s">
        <v>75</v>
      </c>
      <c r="C14" s="13" t="s">
        <v>12</v>
      </c>
      <c r="D14" s="26" t="s">
        <v>84</v>
      </c>
      <c r="E14" s="9" t="s">
        <v>37</v>
      </c>
      <c r="F14" s="13" t="s">
        <v>70</v>
      </c>
      <c r="G14" s="26">
        <v>1.4</v>
      </c>
      <c r="H14" s="13" t="s">
        <v>22</v>
      </c>
      <c r="I14" s="27" t="s">
        <v>87</v>
      </c>
    </row>
    <row r="15" spans="2:9" ht="38.25">
      <c r="B15" s="15" t="s">
        <v>75</v>
      </c>
      <c r="C15" s="13" t="s">
        <v>14</v>
      </c>
      <c r="D15" s="26" t="s">
        <v>95</v>
      </c>
      <c r="E15" s="9" t="s">
        <v>37</v>
      </c>
      <c r="F15" s="13" t="s">
        <v>70</v>
      </c>
      <c r="G15" s="9">
        <v>0.5</v>
      </c>
      <c r="H15" s="13" t="s">
        <v>66</v>
      </c>
      <c r="I15" s="27" t="s">
        <v>96</v>
      </c>
    </row>
    <row r="16" spans="2:9" ht="38.25">
      <c r="B16" s="15" t="s">
        <v>75</v>
      </c>
      <c r="C16" s="13" t="s">
        <v>12</v>
      </c>
      <c r="D16" s="26" t="s">
        <v>84</v>
      </c>
      <c r="E16" s="9" t="s">
        <v>37</v>
      </c>
      <c r="F16" s="13" t="s">
        <v>70</v>
      </c>
      <c r="G16" s="26">
        <v>1.6</v>
      </c>
      <c r="H16" s="13" t="s">
        <v>22</v>
      </c>
      <c r="I16" s="27" t="s">
        <v>87</v>
      </c>
    </row>
    <row r="17" spans="2:9" ht="25.5">
      <c r="B17" s="8" t="s">
        <v>75</v>
      </c>
      <c r="C17" s="13" t="s">
        <v>80</v>
      </c>
      <c r="D17" s="9"/>
      <c r="E17" s="9" t="s">
        <v>24</v>
      </c>
      <c r="F17" s="13"/>
      <c r="G17" s="26">
        <v>2</v>
      </c>
      <c r="H17" s="13" t="s">
        <v>19</v>
      </c>
      <c r="I17" s="28" t="s">
        <v>79</v>
      </c>
    </row>
    <row r="18" spans="2:9" ht="38.25">
      <c r="B18" s="15" t="s">
        <v>75</v>
      </c>
      <c r="C18" s="13" t="s">
        <v>83</v>
      </c>
      <c r="D18" s="9"/>
      <c r="E18" s="9" t="s">
        <v>37</v>
      </c>
      <c r="F18" s="13" t="s">
        <v>98</v>
      </c>
      <c r="G18" s="26">
        <v>3</v>
      </c>
      <c r="H18" s="13" t="s">
        <v>97</v>
      </c>
      <c r="I18" s="27" t="s">
        <v>99</v>
      </c>
    </row>
    <row r="19" spans="2:9" ht="25.5">
      <c r="B19" s="8" t="s">
        <v>75</v>
      </c>
      <c r="C19" s="13" t="s">
        <v>12</v>
      </c>
      <c r="D19" s="26" t="s">
        <v>82</v>
      </c>
      <c r="E19" s="9"/>
      <c r="F19" s="13"/>
      <c r="G19" s="26">
        <v>1</v>
      </c>
      <c r="H19" s="13" t="s">
        <v>68</v>
      </c>
      <c r="I19" s="27" t="s">
        <v>85</v>
      </c>
    </row>
    <row r="20" spans="2:9" ht="38.25">
      <c r="B20" s="15" t="s">
        <v>75</v>
      </c>
      <c r="C20" s="13" t="s">
        <v>12</v>
      </c>
      <c r="D20" s="26" t="s">
        <v>100</v>
      </c>
      <c r="E20" s="9" t="s">
        <v>37</v>
      </c>
      <c r="F20" s="13" t="s">
        <v>70</v>
      </c>
      <c r="G20" s="26">
        <v>0.3</v>
      </c>
      <c r="H20" s="13" t="s">
        <v>24</v>
      </c>
      <c r="I20" s="27" t="s">
        <v>101</v>
      </c>
    </row>
    <row r="21" spans="2:9">
      <c r="B21" s="15" t="s">
        <v>75</v>
      </c>
      <c r="C21" s="13" t="s">
        <v>16</v>
      </c>
      <c r="D21" s="9"/>
      <c r="E21" s="9" t="s">
        <v>24</v>
      </c>
      <c r="F21" s="13"/>
      <c r="G21" s="9">
        <v>0.5</v>
      </c>
      <c r="H21" s="13" t="s">
        <v>21</v>
      </c>
      <c r="I21" s="28"/>
    </row>
    <row r="22" spans="2:9" ht="38.25">
      <c r="B22" s="15" t="s">
        <v>75</v>
      </c>
      <c r="C22" s="13" t="s">
        <v>12</v>
      </c>
      <c r="D22" s="26" t="s">
        <v>84</v>
      </c>
      <c r="E22" s="9" t="s">
        <v>37</v>
      </c>
      <c r="F22" s="13" t="s">
        <v>70</v>
      </c>
      <c r="G22" s="26">
        <v>2.5</v>
      </c>
      <c r="H22" s="13" t="s">
        <v>22</v>
      </c>
      <c r="I22" s="27" t="s">
        <v>87</v>
      </c>
    </row>
    <row r="23" spans="2:9" ht="38.25">
      <c r="B23" s="15" t="s">
        <v>75</v>
      </c>
      <c r="C23" s="13" t="s">
        <v>12</v>
      </c>
      <c r="D23" s="26" t="s">
        <v>84</v>
      </c>
      <c r="E23" s="9" t="s">
        <v>37</v>
      </c>
      <c r="F23" s="13" t="s">
        <v>70</v>
      </c>
      <c r="G23" s="26">
        <v>0.5</v>
      </c>
      <c r="H23" s="13" t="s">
        <v>25</v>
      </c>
      <c r="I23" s="27" t="s">
        <v>87</v>
      </c>
    </row>
    <row r="24" spans="2:9" ht="38.25">
      <c r="B24" s="15" t="s">
        <v>75</v>
      </c>
      <c r="C24" s="13" t="s">
        <v>14</v>
      </c>
      <c r="D24" s="26" t="s">
        <v>102</v>
      </c>
      <c r="E24" s="9" t="s">
        <v>37</v>
      </c>
      <c r="F24" s="13" t="s">
        <v>70</v>
      </c>
      <c r="G24" s="26">
        <v>0.3</v>
      </c>
      <c r="H24" s="13" t="s">
        <v>66</v>
      </c>
      <c r="I24" s="27" t="s">
        <v>103</v>
      </c>
    </row>
    <row r="25" spans="2:9" ht="38.25">
      <c r="B25" s="15" t="s">
        <v>75</v>
      </c>
      <c r="C25" s="13" t="s">
        <v>83</v>
      </c>
      <c r="D25" s="9"/>
      <c r="E25" s="9" t="s">
        <v>37</v>
      </c>
      <c r="F25" s="13" t="s">
        <v>98</v>
      </c>
      <c r="G25" s="26">
        <v>3.3</v>
      </c>
      <c r="H25" s="13" t="s">
        <v>97</v>
      </c>
      <c r="I25" s="27" t="s">
        <v>99</v>
      </c>
    </row>
    <row r="26" spans="2:9" ht="38.25">
      <c r="B26" s="15" t="s">
        <v>75</v>
      </c>
      <c r="C26" s="13" t="s">
        <v>14</v>
      </c>
      <c r="D26" s="26" t="s">
        <v>81</v>
      </c>
      <c r="E26" s="9" t="s">
        <v>37</v>
      </c>
      <c r="F26" s="13" t="s">
        <v>70</v>
      </c>
      <c r="G26" s="9">
        <v>0.2</v>
      </c>
      <c r="H26" s="13" t="s">
        <v>24</v>
      </c>
      <c r="I26" s="27" t="s">
        <v>104</v>
      </c>
    </row>
    <row r="27" spans="2:9" ht="38.25">
      <c r="B27" s="15" t="s">
        <v>75</v>
      </c>
      <c r="C27" s="13" t="s">
        <v>14</v>
      </c>
      <c r="D27" s="26" t="s">
        <v>88</v>
      </c>
      <c r="E27" s="9" t="s">
        <v>37</v>
      </c>
      <c r="F27" s="13" t="s">
        <v>70</v>
      </c>
      <c r="G27" s="26">
        <v>0.4</v>
      </c>
      <c r="H27" s="13" t="s">
        <v>24</v>
      </c>
      <c r="I27" s="27" t="s">
        <v>89</v>
      </c>
    </row>
    <row r="28" spans="2:9" ht="38.25">
      <c r="B28" s="15" t="s">
        <v>75</v>
      </c>
      <c r="C28" s="13" t="s">
        <v>14</v>
      </c>
      <c r="D28" s="26" t="s">
        <v>105</v>
      </c>
      <c r="E28" s="9" t="s">
        <v>37</v>
      </c>
      <c r="F28" s="13" t="s">
        <v>70</v>
      </c>
      <c r="G28" s="26">
        <v>0.5</v>
      </c>
      <c r="H28" s="13" t="s">
        <v>66</v>
      </c>
      <c r="I28" s="27" t="s">
        <v>106</v>
      </c>
    </row>
    <row r="29" spans="2:9" ht="38.25">
      <c r="B29" s="15" t="s">
        <v>75</v>
      </c>
      <c r="C29" s="13" t="s">
        <v>83</v>
      </c>
      <c r="D29" s="9"/>
      <c r="E29" s="9" t="s">
        <v>37</v>
      </c>
      <c r="F29" s="13" t="s">
        <v>98</v>
      </c>
      <c r="G29" s="26">
        <v>3.5</v>
      </c>
      <c r="H29" s="13" t="s">
        <v>97</v>
      </c>
      <c r="I29" s="27" t="s">
        <v>107</v>
      </c>
    </row>
    <row r="30" spans="2:9" ht="38.25">
      <c r="B30" s="15" t="s">
        <v>75</v>
      </c>
      <c r="C30" s="13" t="s">
        <v>14</v>
      </c>
      <c r="D30" s="26" t="s">
        <v>102</v>
      </c>
      <c r="E30" s="9" t="s">
        <v>37</v>
      </c>
      <c r="F30" s="13" t="s">
        <v>70</v>
      </c>
      <c r="G30" s="26">
        <v>0.5</v>
      </c>
      <c r="H30" s="13" t="s">
        <v>66</v>
      </c>
      <c r="I30" s="27" t="s">
        <v>103</v>
      </c>
    </row>
    <row r="31" spans="2:9" ht="38.25">
      <c r="B31" s="15" t="s">
        <v>75</v>
      </c>
      <c r="C31" s="13" t="s">
        <v>12</v>
      </c>
      <c r="D31" s="26" t="s">
        <v>84</v>
      </c>
      <c r="E31" s="9" t="s">
        <v>37</v>
      </c>
      <c r="F31" s="13" t="s">
        <v>70</v>
      </c>
      <c r="G31" s="26">
        <v>1</v>
      </c>
      <c r="H31" s="13" t="s">
        <v>24</v>
      </c>
      <c r="I31" s="27" t="s">
        <v>108</v>
      </c>
    </row>
    <row r="32" spans="2:9" ht="38.25">
      <c r="B32" s="15" t="s">
        <v>75</v>
      </c>
      <c r="C32" s="13" t="s">
        <v>12</v>
      </c>
      <c r="D32" s="26" t="s">
        <v>84</v>
      </c>
      <c r="E32" s="9" t="s">
        <v>37</v>
      </c>
      <c r="F32" s="13" t="s">
        <v>70</v>
      </c>
      <c r="G32" s="26">
        <v>1</v>
      </c>
      <c r="H32" s="13" t="s">
        <v>25</v>
      </c>
      <c r="I32" s="27" t="s">
        <v>87</v>
      </c>
    </row>
    <row r="33" spans="2:9" ht="25.5">
      <c r="B33" s="15" t="s">
        <v>75</v>
      </c>
      <c r="C33" s="13" t="s">
        <v>83</v>
      </c>
      <c r="D33" s="26"/>
      <c r="E33" s="9" t="s">
        <v>24</v>
      </c>
      <c r="F33" s="13"/>
      <c r="G33" s="26">
        <v>4</v>
      </c>
      <c r="H33" s="13" t="s">
        <v>31</v>
      </c>
      <c r="I33" s="27" t="s">
        <v>109</v>
      </c>
    </row>
    <row r="34" spans="2:9" ht="38.25">
      <c r="B34" s="15" t="s">
        <v>75</v>
      </c>
      <c r="C34" s="13" t="s">
        <v>83</v>
      </c>
      <c r="D34" s="9"/>
      <c r="E34" s="9" t="s">
        <v>37</v>
      </c>
      <c r="F34" s="13" t="s">
        <v>98</v>
      </c>
      <c r="G34" s="26">
        <v>1.3</v>
      </c>
      <c r="H34" s="13" t="s">
        <v>97</v>
      </c>
      <c r="I34" s="27" t="s">
        <v>107</v>
      </c>
    </row>
    <row r="35" spans="2:9" ht="38.25">
      <c r="B35" s="15" t="s">
        <v>75</v>
      </c>
      <c r="C35" s="13" t="s">
        <v>12</v>
      </c>
      <c r="D35" s="26" t="s">
        <v>84</v>
      </c>
      <c r="E35" s="9" t="s">
        <v>37</v>
      </c>
      <c r="F35" s="13" t="s">
        <v>70</v>
      </c>
      <c r="G35" s="26">
        <v>1</v>
      </c>
      <c r="H35" s="13" t="s">
        <v>25</v>
      </c>
      <c r="I35" s="27" t="s">
        <v>87</v>
      </c>
    </row>
    <row r="36" spans="2:9" ht="38.25">
      <c r="B36" s="15" t="s">
        <v>75</v>
      </c>
      <c r="C36" s="13" t="s">
        <v>12</v>
      </c>
      <c r="D36" s="26" t="s">
        <v>84</v>
      </c>
      <c r="E36" s="9" t="s">
        <v>37</v>
      </c>
      <c r="F36" s="13" t="s">
        <v>70</v>
      </c>
      <c r="G36" s="26">
        <v>0.3</v>
      </c>
      <c r="H36" s="13" t="s">
        <v>22</v>
      </c>
      <c r="I36" s="27" t="s">
        <v>87</v>
      </c>
    </row>
    <row r="37" spans="2:9" ht="25.5">
      <c r="B37" s="15" t="s">
        <v>75</v>
      </c>
      <c r="C37" s="13" t="s">
        <v>16</v>
      </c>
      <c r="D37" s="9"/>
      <c r="E37" s="9" t="s">
        <v>24</v>
      </c>
      <c r="F37" s="13"/>
      <c r="G37" s="9">
        <v>0.8</v>
      </c>
      <c r="H37" s="13" t="s">
        <v>86</v>
      </c>
      <c r="I37" s="28"/>
    </row>
    <row r="38" spans="2:9">
      <c r="B38" s="15"/>
      <c r="C38" s="13"/>
      <c r="D38" s="26"/>
      <c r="E38" s="9"/>
      <c r="F38" s="13"/>
      <c r="G38" s="26"/>
      <c r="H38" s="13"/>
      <c r="I38" s="27"/>
    </row>
    <row r="39" spans="2:9">
      <c r="B39" s="15"/>
      <c r="C39" s="13"/>
      <c r="D39" s="26"/>
      <c r="E39" s="9"/>
      <c r="F39" s="13"/>
      <c r="G39" s="26"/>
      <c r="H39" s="13"/>
      <c r="I39" s="27"/>
    </row>
    <row r="40" spans="2:9">
      <c r="B40" s="21"/>
      <c r="C40" s="22"/>
      <c r="D40" s="23"/>
      <c r="E40" s="23"/>
      <c r="F40" s="25" t="s">
        <v>61</v>
      </c>
      <c r="G40" s="33">
        <f>SUM(G4:G39)</f>
        <v>39.399999999999991</v>
      </c>
      <c r="H40" s="34"/>
      <c r="I40" s="35"/>
    </row>
    <row r="41" spans="2:9" ht="15.75" thickBot="1">
      <c r="B41" s="18"/>
      <c r="C41" s="19"/>
      <c r="D41" s="20"/>
      <c r="E41" s="20"/>
      <c r="F41" s="24" t="s">
        <v>62</v>
      </c>
      <c r="G41" s="30">
        <v>5</v>
      </c>
      <c r="H41" s="31"/>
      <c r="I41" s="32"/>
    </row>
    <row r="42" spans="2:9" ht="15.75" thickTop="1"/>
  </sheetData>
  <mergeCells count="2">
    <mergeCell ref="G41:I41"/>
    <mergeCell ref="G40:I40"/>
  </mergeCells>
  <phoneticPr fontId="7" type="noConversion"/>
  <dataValidations count="2">
    <dataValidation type="list" allowBlank="1" showInputMessage="1" showErrorMessage="1" sqref="H4:H39" xr:uid="{00000000-0002-0000-0000-000000000000}">
      <formula1>hh</formula1>
    </dataValidation>
    <dataValidation type="list" allowBlank="1" showInputMessage="1" showErrorMessage="1" sqref="F4:F39" xr:uid="{00000000-0002-0000-0000-000001000000}">
      <formula1>INDIRECT(E4)</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2000000}">
          <x14:formula1>
            <xm:f>数据标签!$B$2:$H$2</xm:f>
          </x14:formula1>
          <xm:sqref>C4:C41</xm:sqref>
        </x14:dataValidation>
        <x14:dataValidation type="list" allowBlank="1" showInputMessage="1" showErrorMessage="1" xr:uid="{00000000-0002-0000-0000-000003000000}">
          <x14:formula1>
            <xm:f>数据标签!$B$12:$C$12</xm:f>
          </x14:formula1>
          <xm:sqref>E4:E41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8"/>
  <sheetViews>
    <sheetView workbookViewId="0">
      <selection activeCell="F14" sqref="F14"/>
    </sheetView>
  </sheetViews>
  <sheetFormatPr defaultColWidth="8.85546875" defaultRowHeight="12.75"/>
  <cols>
    <col min="1" max="1" width="8.85546875" style="1"/>
    <col min="2" max="2" width="26.85546875" style="1" customWidth="1"/>
    <col min="3" max="3" width="21.7109375" style="1" customWidth="1"/>
    <col min="4" max="7" width="28.5703125" style="1" customWidth="1"/>
    <col min="8" max="8" width="27.28515625" style="1" customWidth="1"/>
    <col min="9" max="16384" width="8.85546875" style="1"/>
  </cols>
  <sheetData>
    <row r="2" spans="1:8" ht="25.5">
      <c r="A2" s="2" t="s">
        <v>11</v>
      </c>
      <c r="B2" s="3" t="s">
        <v>12</v>
      </c>
      <c r="C2" s="3" t="s">
        <v>13</v>
      </c>
      <c r="D2" s="3" t="s">
        <v>14</v>
      </c>
      <c r="E2" s="3" t="s">
        <v>15</v>
      </c>
      <c r="F2" s="3" t="s">
        <v>63</v>
      </c>
      <c r="G2" s="3" t="s">
        <v>54</v>
      </c>
      <c r="H2" s="3" t="s">
        <v>16</v>
      </c>
    </row>
    <row r="3" spans="1:8" ht="38.25">
      <c r="A3" s="2" t="s">
        <v>17</v>
      </c>
      <c r="B3" s="3" t="s">
        <v>67</v>
      </c>
      <c r="C3" s="3" t="s">
        <v>67</v>
      </c>
      <c r="D3" s="3" t="s">
        <v>67</v>
      </c>
      <c r="E3" s="3" t="s">
        <v>18</v>
      </c>
      <c r="F3" s="3" t="s">
        <v>19</v>
      </c>
      <c r="G3" s="3" t="s">
        <v>20</v>
      </c>
      <c r="H3" s="3" t="s">
        <v>21</v>
      </c>
    </row>
    <row r="4" spans="1:8" ht="38.25">
      <c r="A4" s="2"/>
      <c r="B4" s="17" t="s">
        <v>69</v>
      </c>
      <c r="C4" s="17" t="s">
        <v>69</v>
      </c>
      <c r="D4" s="17" t="s">
        <v>69</v>
      </c>
      <c r="E4" s="3" t="s">
        <v>23</v>
      </c>
      <c r="F4" s="16" t="s">
        <v>56</v>
      </c>
      <c r="G4" s="3" t="s">
        <v>53</v>
      </c>
      <c r="H4" s="3" t="s">
        <v>55</v>
      </c>
    </row>
    <row r="5" spans="1:8" ht="38.25">
      <c r="B5" s="3" t="s">
        <v>22</v>
      </c>
      <c r="C5" s="3" t="s">
        <v>22</v>
      </c>
      <c r="D5" s="3" t="s">
        <v>22</v>
      </c>
      <c r="E5" s="17" t="s">
        <v>26</v>
      </c>
      <c r="F5" s="16" t="s">
        <v>24</v>
      </c>
      <c r="G5" s="17" t="s">
        <v>27</v>
      </c>
      <c r="H5" s="17" t="s">
        <v>28</v>
      </c>
    </row>
    <row r="6" spans="1:8" ht="25.5">
      <c r="B6" s="3" t="s">
        <v>25</v>
      </c>
      <c r="C6" s="3" t="s">
        <v>25</v>
      </c>
      <c r="D6" s="3" t="s">
        <v>25</v>
      </c>
      <c r="E6" s="17" t="s">
        <v>30</v>
      </c>
      <c r="F6" s="16"/>
      <c r="G6" s="17" t="s">
        <v>31</v>
      </c>
      <c r="H6" s="17" t="s">
        <v>32</v>
      </c>
    </row>
    <row r="7" spans="1:8" ht="51">
      <c r="B7" s="3" t="s">
        <v>29</v>
      </c>
      <c r="C7" s="3" t="s">
        <v>29</v>
      </c>
      <c r="D7" s="3" t="s">
        <v>29</v>
      </c>
      <c r="E7" s="17" t="s">
        <v>34</v>
      </c>
      <c r="G7" s="17" t="s">
        <v>24</v>
      </c>
      <c r="H7" s="17" t="s">
        <v>35</v>
      </c>
    </row>
    <row r="8" spans="1:8">
      <c r="B8" s="3" t="s">
        <v>33</v>
      </c>
      <c r="C8" s="3" t="s">
        <v>33</v>
      </c>
      <c r="D8" s="3" t="s">
        <v>33</v>
      </c>
      <c r="E8" s="17"/>
      <c r="G8" s="17"/>
      <c r="H8" s="17" t="s">
        <v>65</v>
      </c>
    </row>
    <row r="9" spans="1:8">
      <c r="B9" s="1" t="s">
        <v>24</v>
      </c>
      <c r="C9" s="1" t="s">
        <v>24</v>
      </c>
      <c r="D9" s="1" t="s">
        <v>24</v>
      </c>
      <c r="E9" s="17"/>
      <c r="F9" s="16"/>
      <c r="G9" s="17"/>
      <c r="H9" s="17" t="s">
        <v>60</v>
      </c>
    </row>
    <row r="10" spans="1:8">
      <c r="C10" s="17"/>
      <c r="D10" s="17"/>
      <c r="H10" s="17"/>
    </row>
    <row r="12" spans="1:8">
      <c r="A12" s="1" t="s">
        <v>36</v>
      </c>
      <c r="B12" s="1" t="s">
        <v>37</v>
      </c>
      <c r="C12" s="1" t="s">
        <v>24</v>
      </c>
    </row>
    <row r="13" spans="1:8" ht="51">
      <c r="A13" s="1" t="s">
        <v>38</v>
      </c>
      <c r="B13" s="3" t="s">
        <v>39</v>
      </c>
    </row>
    <row r="14" spans="1:8" ht="38.25">
      <c r="B14" s="3" t="s">
        <v>51</v>
      </c>
      <c r="C14" s="12" t="s">
        <v>52</v>
      </c>
      <c r="D14" s="12" t="s">
        <v>52</v>
      </c>
    </row>
    <row r="15" spans="1:8" ht="38.25">
      <c r="B15" s="3" t="s">
        <v>40</v>
      </c>
      <c r="C15" s="12" t="s">
        <v>52</v>
      </c>
      <c r="D15" s="12" t="s">
        <v>52</v>
      </c>
    </row>
    <row r="16" spans="1:8" ht="51">
      <c r="B16" s="3" t="s">
        <v>41</v>
      </c>
      <c r="C16" s="12" t="s">
        <v>52</v>
      </c>
      <c r="D16" s="12" t="s">
        <v>52</v>
      </c>
    </row>
    <row r="17" spans="2:4" ht="51">
      <c r="B17" s="3" t="s">
        <v>42</v>
      </c>
      <c r="C17" s="12" t="s">
        <v>52</v>
      </c>
      <c r="D17" s="12" t="s">
        <v>52</v>
      </c>
    </row>
    <row r="18" spans="2:4" ht="51">
      <c r="B18" s="3" t="s">
        <v>43</v>
      </c>
      <c r="C18" s="12" t="s">
        <v>52</v>
      </c>
      <c r="D18" s="12" t="s">
        <v>52</v>
      </c>
    </row>
    <row r="19" spans="2:4" ht="63.75">
      <c r="B19" s="3" t="s">
        <v>44</v>
      </c>
      <c r="C19" s="12" t="s">
        <v>52</v>
      </c>
      <c r="D19" s="12" t="s">
        <v>52</v>
      </c>
    </row>
    <row r="20" spans="2:4" ht="51">
      <c r="B20" s="3" t="s">
        <v>45</v>
      </c>
      <c r="C20" s="12" t="s">
        <v>52</v>
      </c>
      <c r="D20" s="12" t="s">
        <v>52</v>
      </c>
    </row>
    <row r="21" spans="2:4" ht="38.25">
      <c r="B21" s="3" t="s">
        <v>57</v>
      </c>
      <c r="C21" s="12" t="s">
        <v>52</v>
      </c>
      <c r="D21" s="12" t="s">
        <v>52</v>
      </c>
    </row>
    <row r="22" spans="2:4" ht="38.25">
      <c r="B22" s="3" t="s">
        <v>46</v>
      </c>
      <c r="C22" s="12" t="s">
        <v>52</v>
      </c>
      <c r="D22" s="12" t="s">
        <v>52</v>
      </c>
    </row>
    <row r="23" spans="2:4" ht="38.25">
      <c r="B23" s="3" t="s">
        <v>58</v>
      </c>
      <c r="C23" s="12" t="s">
        <v>52</v>
      </c>
      <c r="D23" s="12" t="s">
        <v>52</v>
      </c>
    </row>
    <row r="24" spans="2:4" ht="38.25">
      <c r="B24" s="3" t="s">
        <v>59</v>
      </c>
      <c r="C24" s="12"/>
      <c r="D24" s="12"/>
    </row>
    <row r="25" spans="2:4" ht="89.25">
      <c r="B25" s="3" t="s">
        <v>50</v>
      </c>
      <c r="C25" s="12" t="s">
        <v>52</v>
      </c>
      <c r="D25" s="12" t="s">
        <v>52</v>
      </c>
    </row>
    <row r="26" spans="2:4" ht="38.25">
      <c r="B26" s="3" t="s">
        <v>47</v>
      </c>
      <c r="C26" s="12" t="s">
        <v>52</v>
      </c>
      <c r="D26" s="12" t="s">
        <v>52</v>
      </c>
    </row>
    <row r="27" spans="2:4" ht="38.25">
      <c r="B27" s="3" t="s">
        <v>48</v>
      </c>
      <c r="C27" s="12" t="s">
        <v>52</v>
      </c>
      <c r="D27" s="12" t="s">
        <v>52</v>
      </c>
    </row>
    <row r="28" spans="2:4" ht="25.5">
      <c r="B28" s="3" t="s">
        <v>49</v>
      </c>
      <c r="C28" s="12" t="s">
        <v>52</v>
      </c>
      <c r="D28" s="12" t="s">
        <v>52</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alicelsfeng(冯历诗)</cp:lastModifiedBy>
  <dcterms:created xsi:type="dcterms:W3CDTF">2024-12-10T02:24:00Z</dcterms:created>
  <dcterms:modified xsi:type="dcterms:W3CDTF">2025-10-27T02:30:05Z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