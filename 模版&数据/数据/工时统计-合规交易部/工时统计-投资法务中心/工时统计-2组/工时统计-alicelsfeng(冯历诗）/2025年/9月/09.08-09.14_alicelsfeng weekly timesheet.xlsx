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FF68B9E1-AC57-4915-BD93-631FF614485B}"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<sst xmlns="http://schemas.openxmlformats.org/spreadsheetml/2006/main" count="188" uniqueCount="90">
  <si>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</si>
  <si>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</si>
  <si>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</si>
  <si>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</si>
  <si>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</si>
  <si>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</si>
  <si>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</si>
  <si>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</si>
  <si>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</si>
  <si>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</si>
  <si>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</si>
  <si>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</si>
  <si>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</si>
  <si>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</si>
  <si>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</si>
  <si>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</si>
  <si>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</si>
  <si>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</si>
  <si>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</si>
  <si>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</si>
  <si>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</si>
  <si>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</si>
  <si>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</si>
  <si>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</si>
  <si>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</si>
  <si>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</si>
  <si>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</si>
  <si>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</si>
  <si>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</si>
  <si>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</si>
  <si>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</si>
  <si>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</si>
  <si>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</si>
  <si>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</si>
  <si>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</si>
  <si>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</si>
  <si>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</si>
  <si>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</si>
  <si>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</si>
  <si>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</si>
  <si>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</si>
  <si>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</si>
  <si>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</si>
  <si>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</si>
  <si>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</si>
  <si>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</si>
  <si>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</si>
  <si>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</si>
  <si>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</si>
  <si>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</si>
  <si>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</si>
  <si>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</si>
  <si>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</si>
  <si>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</si>
  <si>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</si>
  <si>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</si>
  <si>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</si>
  <si>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</si>
  <si>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</si>
  <si>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</si>
  <si>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</si>
  <si>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</si>
  <si>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</si>
  <si>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</si>
  <si>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</si>
  <si>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</si>
  <si>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</si>
  <si>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</si>
  <si>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</si>
  <si>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</si>
  <si>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</si>
  <si>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</si>
  <si>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</si>
  <si>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</si>
  <si>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</si>
  <si>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</si>
  <si>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Epic Games</t>
  </si>
  <si>
    <t>国际业务(投资)监管应对Interaction with regulators for international investments</t>
  </si>
  <si>
    <t>ROFR for secondary transfers</t>
  </si>
  <si>
    <t>祖龙娱乐</t>
  </si>
  <si>
    <t>中金公司</t>
  </si>
  <si>
    <t xml:space="preserve">Responses to CFIUS questions </t>
  </si>
  <si>
    <t xml:space="preserve">Sale </t>
  </si>
  <si>
    <t>Sale</t>
  </si>
  <si>
    <t>NDA</t>
  </si>
  <si>
    <t>闻泰</t>
  </si>
  <si>
    <t>IPO</t>
  </si>
  <si>
    <t>Amazon NDA</t>
  </si>
  <si>
    <t>Board resolutions materials</t>
  </si>
  <si>
    <t>律师费补偿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</si>
</sst>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9"/>
  <sheetViews>
    <sheetView tabSelected="1" topLeftCell="A3" zoomScaleNormal="100" workbookViewId="0">
      <selection activeCell="A8" sqref="A8:A14"/>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5.25" customHeight="1">
      <c r="A4" s="27"/>
      <c r="B4" s="14" t="s">
        <v>72</v>
      </c>
      <c r="C4" s="12" t="s">
        <v>14</v>
      </c>
      <c r="D4" s="25" t="s">
        <v>85</v>
      </c>
      <c r="E4" s="8" t="s">
        <v>40</v>
      </c>
      <c r="F4" s="12" t="s">
        <v>73</v>
      </c>
      <c r="G4" s="25">
        <v>0.5</v>
      </c>
      <c r="H4" s="28" t="s">
        <v>20</v>
      </c>
      <c r="I4" s="26" t="s">
        <v>86</v>
      </c>
    </row>
    <row r="5" spans="1:9" ht="59.25" customHeight="1">
      <c r="A5" s="27"/>
      <c r="B5" s="14" t="s">
        <v>72</v>
      </c>
      <c r="C5" s="12" t="s">
        <v>14</v>
      </c>
      <c r="D5" s="25" t="s">
        <v>80</v>
      </c>
      <c r="E5" s="8" t="s">
        <v>40</v>
      </c>
      <c r="F5" s="12" t="s">
        <v>73</v>
      </c>
      <c r="G5" s="25">
        <v>0.4</v>
      </c>
      <c r="H5" s="12" t="s">
        <v>20</v>
      </c>
      <c r="I5" s="26" t="s">
        <v>83</v>
      </c>
    </row>
    <row r="6" spans="1:9" ht="38.25">
      <c r="A6" s="27"/>
      <c r="B6" s="14" t="s">
        <v>72</v>
      </c>
      <c r="C6" s="12" t="s">
        <v>14</v>
      </c>
      <c r="D6" s="25" t="s">
        <v>74</v>
      </c>
      <c r="E6" s="8" t="s">
        <v>40</v>
      </c>
      <c r="F6" s="12" t="s">
        <v>73</v>
      </c>
      <c r="G6" s="25">
        <v>0.3</v>
      </c>
      <c r="H6" s="12" t="s">
        <v>20</v>
      </c>
      <c r="I6" s="26" t="s">
        <v>82</v>
      </c>
    </row>
    <row r="7" spans="1:9" ht="59.25" customHeight="1">
      <c r="A7" s="27"/>
      <c r="B7" s="14" t="s">
        <v>72</v>
      </c>
      <c r="C7" s="12" t="s">
        <v>14</v>
      </c>
      <c r="D7" s="25" t="s">
        <v>80</v>
      </c>
      <c r="E7" s="8" t="s">
        <v>40</v>
      </c>
      <c r="F7" s="12" t="s">
        <v>73</v>
      </c>
      <c r="G7" s="25">
        <v>0.9</v>
      </c>
      <c r="H7" s="12" t="s">
        <v>36</v>
      </c>
      <c r="I7" s="26" t="s">
        <v>83</v>
      </c>
    </row>
    <row r="8" spans="1:9" ht="35.25" customHeight="1">
      <c r="A8" s="27"/>
      <c r="B8" s="14" t="s">
        <v>72</v>
      </c>
      <c r="C8" s="12" t="s">
        <v>14</v>
      </c>
      <c r="D8" s="25" t="s">
        <v>87</v>
      </c>
      <c r="E8" s="8" t="s">
        <v>40</v>
      </c>
      <c r="F8" s="12" t="s">
        <v>73</v>
      </c>
      <c r="G8" s="25">
        <v>0.4</v>
      </c>
      <c r="H8" s="12" t="s">
        <v>20</v>
      </c>
      <c r="I8" s="26" t="s">
        <v>84</v>
      </c>
    </row>
    <row r="9" spans="1:9" ht="38.25">
      <c r="A9" s="27"/>
      <c r="B9" s="14" t="s">
        <v>72</v>
      </c>
      <c r="C9" s="12" t="s">
        <v>14</v>
      </c>
      <c r="D9" s="25" t="s">
        <v>76</v>
      </c>
      <c r="E9" s="8" t="s">
        <v>40</v>
      </c>
      <c r="F9" s="12" t="s">
        <v>73</v>
      </c>
      <c r="G9" s="25">
        <v>0.3</v>
      </c>
      <c r="H9" s="12" t="s">
        <v>20</v>
      </c>
      <c r="I9" s="26" t="s">
        <v>78</v>
      </c>
    </row>
    <row r="10" spans="1:9" ht="35.25" customHeight="1">
      <c r="A10" s="27"/>
      <c r="B10" s="14" t="s">
        <v>72</v>
      </c>
      <c r="C10" s="12" t="s">
        <v>14</v>
      </c>
      <c r="D10" s="25" t="s">
        <v>85</v>
      </c>
      <c r="E10" s="8" t="s">
        <v>40</v>
      </c>
      <c r="F10" s="12" t="s">
        <v>73</v>
      </c>
      <c r="G10" s="25">
        <v>0.4</v>
      </c>
      <c r="H10" s="28" t="s">
        <v>36</v>
      </c>
      <c r="I10" s="26" t="s">
        <v>89</v>
      </c>
    </row>
    <row r="11" spans="1:9" ht="38.25">
      <c r="A11" s="27"/>
      <c r="B11" s="14" t="s">
        <v>72</v>
      </c>
      <c r="C11" s="12" t="s">
        <v>14</v>
      </c>
      <c r="D11" s="25" t="s">
        <v>76</v>
      </c>
      <c r="E11" s="8" t="s">
        <v>40</v>
      </c>
      <c r="F11" s="12" t="s">
        <v>77</v>
      </c>
      <c r="G11" s="25">
        <v>1</v>
      </c>
      <c r="H11" s="12" t="s">
        <v>36</v>
      </c>
      <c r="I11" s="26" t="s">
        <v>81</v>
      </c>
    </row>
    <row r="12" spans="1:9" ht="59.25" customHeight="1">
      <c r="A12" s="27"/>
      <c r="B12" s="14" t="s">
        <v>72</v>
      </c>
      <c r="C12" s="12" t="s">
        <v>14</v>
      </c>
      <c r="D12" s="25" t="s">
        <v>80</v>
      </c>
      <c r="E12" s="8" t="s">
        <v>40</v>
      </c>
      <c r="F12" s="12" t="s">
        <v>73</v>
      </c>
      <c r="G12" s="25">
        <v>0.4</v>
      </c>
      <c r="H12" s="12" t="s">
        <v>36</v>
      </c>
      <c r="I12" s="26" t="s">
        <v>83</v>
      </c>
    </row>
    <row r="13" spans="1:9" ht="38.25">
      <c r="A13" s="27"/>
      <c r="B13" s="14" t="s">
        <v>72</v>
      </c>
      <c r="C13" s="12" t="s">
        <v>16</v>
      </c>
      <c r="D13" s="25" t="s">
        <v>79</v>
      </c>
      <c r="E13" s="8" t="s">
        <v>40</v>
      </c>
      <c r="F13" s="12" t="s">
        <v>73</v>
      </c>
      <c r="G13" s="25">
        <v>0.7</v>
      </c>
      <c r="H13" s="12" t="s">
        <v>20</v>
      </c>
      <c r="I13" s="26" t="s">
        <v>88</v>
      </c>
    </row>
    <row r="14" spans="1:9" ht="25.5">
      <c r="A14" s="27"/>
      <c r="B14" s="14" t="s">
        <v>72</v>
      </c>
      <c r="C14" s="12" t="s">
        <v>18</v>
      </c>
      <c r="D14" s="25"/>
      <c r="E14" s="8" t="s">
        <v>27</v>
      </c>
      <c r="F14" s="12"/>
      <c r="G14" s="8">
        <v>0.4</v>
      </c>
      <c r="H14" s="12" t="s">
        <v>75</v>
      </c>
      <c r="I14" s="26"/>
    </row>
    <row r="15" spans="1:9" ht="14.25" customHeight="1">
      <c r="A15" s="27"/>
      <c r="B15" s="14"/>
      <c r="C15" s="12"/>
      <c r="D15" s="25"/>
      <c r="E15" s="8"/>
      <c r="F15" s="12"/>
      <c r="G15" s="25"/>
      <c r="H15" s="12"/>
      <c r="I15" s="26"/>
    </row>
    <row r="16" spans="1:9">
      <c r="A16" s="27"/>
      <c r="B16" s="14"/>
      <c r="C16" s="12"/>
      <c r="D16" s="25"/>
      <c r="E16" s="8"/>
      <c r="F16" s="12"/>
      <c r="G16" s="8"/>
      <c r="H16" s="12"/>
      <c r="I16" s="26"/>
    </row>
    <row r="17" spans="2:9">
      <c r="B17" s="20"/>
      <c r="C17" s="21"/>
      <c r="D17" s="22"/>
      <c r="E17" s="22"/>
      <c r="F17" s="24" t="s">
        <v>67</v>
      </c>
      <c r="G17" s="32">
        <f>SUM(G3:G16)</f>
        <v>5.7</v>
      </c>
      <c r="H17" s="33"/>
      <c r="I17" s="34"/>
    </row>
    <row r="18" spans="2:9" ht="15.75" thickBot="1">
      <c r="B18" s="17"/>
      <c r="C18" s="18"/>
      <c r="D18" s="19"/>
      <c r="E18" s="19"/>
      <c r="F18" s="23" t="s">
        <v>68</v>
      </c>
      <c r="G18" s="29">
        <v>2</v>
      </c>
      <c r="H18" s="30"/>
      <c r="I18" s="31"/>
    </row>
    <row r="19" spans="2:9" ht="15.7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2025-09-15T11:00:37Z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