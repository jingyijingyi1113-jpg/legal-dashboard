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86934EAB-B2F5-984C-A5B1-DC63A32ACB2B}" xr6:coauthVersionLast="47" xr6:coauthVersionMax="47" xr10:uidLastSave="{00000000-0000-0000-0000-000000000000}"/>
  <bookViews>
    <workbookView xWindow="320" yWindow="76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<sst xmlns="http://schemas.openxmlformats.org/spreadsheetml/2006/main" count="169" uniqueCount="89">
  <si>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</si>
  <si>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</si>
  <si>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</si>
  <si>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</si>
  <si>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</si>
  <si>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</si>
  <si>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</si>
  <si>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</si>
  <si>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</si>
  <si>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</si>
  <si>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</si>
  <si>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</si>
  <si>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</si>
  <si>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</si>
  <si>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</si>
  <si>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</si>
  <si>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</si>
  <si>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</si>
  <si>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</si>
  <si>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</si>
  <si>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</si>
  <si>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</si>
  <si>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</si>
  <si>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</si>
  <si>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</si>
  <si>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</si>
  <si>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</si>
  <si>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</si>
  <si>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</si>
  <si>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</si>
  <si>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</si>
  <si>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</si>
  <si>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</si>
  <si>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</si>
  <si>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</si>
  <si>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</si>
  <si>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</si>
  <si>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</si>
  <si>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</si>
  <si>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</si>
  <si>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</si>
  <si>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</si>
  <si>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</si>
  <si>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</si>
  <si>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</si>
  <si>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</si>
  <si>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</si>
  <si>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</si>
  <si>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</si>
  <si>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</si>
  <si>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</si>
  <si>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</si>
  <si>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</si>
  <si>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</si>
  <si>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</si>
  <si>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</si>
  <si>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</si>
  <si>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</si>
  <si>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</si>
  <si>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</si>
  <si>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</si>
  <si>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</si>
  <si>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</si>
  <si>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</si>
  <si>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</si>
  <si>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</si>
  <si>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</si>
  <si>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</si>
  <si>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</si>
  <si>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</si>
  <si>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</si>
  <si>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</si>
  <si>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</si>
  <si>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</si>
  <si>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深圳科思明德医疗科技有限公司</t>
    <phoneticPr fontId="7" type="noConversion"/>
  </si>
  <si>
    <t>Optillusion</t>
    <phoneticPr fontId="7" type="noConversion"/>
  </si>
  <si>
    <t>江苏和府餐饮管理有限公司</t>
    <phoneticPr fontId="7" type="noConversion"/>
  </si>
  <si>
    <t>阅读历史投资文件</t>
    <phoneticPr fontId="7" type="noConversion"/>
  </si>
  <si>
    <t>BVNK Holdings Ltd</t>
    <phoneticPr fontId="7" type="noConversion"/>
  </si>
  <si>
    <t>审阅/学习审阅TS</t>
    <phoneticPr fontId="7" type="noConversion"/>
  </si>
  <si>
    <t>学习DD相关材料；学习key terms</t>
    <phoneticPr fontId="7" type="noConversion"/>
  </si>
  <si>
    <t>阅读历史投资文件;行业了解学习</t>
    <phoneticPr fontId="7" type="noConversion"/>
  </si>
  <si>
    <t>Bitvavo Group B.V</t>
    <phoneticPr fontId="7" type="noConversion"/>
  </si>
  <si>
    <t>Review NDA</t>
    <phoneticPr fontId="7" type="noConversion"/>
  </si>
  <si>
    <t>Public - Knowledge Accumulation &amp; Sharing</t>
  </si>
  <si>
    <t>Ashurst Legal AI sharing</t>
    <phoneticPr fontId="7" type="noConversion"/>
  </si>
  <si>
    <t>CTDers with James</t>
    <phoneticPr fontId="7" type="noConversion"/>
  </si>
  <si>
    <t>CTD meeting</t>
    <phoneticPr fontId="7" type="noConversion"/>
  </si>
  <si>
    <t>Congfeng AI sharing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</si>
</sst>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C3" zoomScale="134" zoomScaleNormal="100" workbookViewId="0">
      <selection activeCell="G14" sqref="G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31" t="s">
        <v>75</v>
      </c>
      <c r="E4" s="9" t="s">
        <v>38</v>
      </c>
      <c r="F4" s="14" t="s">
        <v>72</v>
      </c>
      <c r="G4" s="9">
        <v>3.6</v>
      </c>
      <c r="H4" s="14" t="s">
        <v>18</v>
      </c>
      <c r="I4" s="29" t="s">
        <v>79</v>
      </c>
    </row>
    <row r="5" spans="2:9" ht="28">
      <c r="B5" s="16" t="s">
        <v>73</v>
      </c>
      <c r="C5" s="27" t="s">
        <v>12</v>
      </c>
      <c r="D5" s="28" t="s">
        <v>74</v>
      </c>
      <c r="E5" s="9" t="s">
        <v>38</v>
      </c>
      <c r="F5" s="14" t="s">
        <v>72</v>
      </c>
      <c r="G5" s="9">
        <v>4.0999999999999996</v>
      </c>
      <c r="H5" s="14" t="s">
        <v>25</v>
      </c>
      <c r="I5" s="29" t="s">
        <v>80</v>
      </c>
    </row>
    <row r="6" spans="2:9" ht="28">
      <c r="B6" s="16" t="s">
        <v>73</v>
      </c>
      <c r="C6" s="14" t="s">
        <v>12</v>
      </c>
      <c r="D6" s="28" t="s">
        <v>76</v>
      </c>
      <c r="E6" s="9" t="s">
        <v>38</v>
      </c>
      <c r="F6" s="14" t="s">
        <v>72</v>
      </c>
      <c r="G6" s="9">
        <v>2.5</v>
      </c>
      <c r="H6" s="14" t="s">
        <v>25</v>
      </c>
      <c r="I6" s="29" t="s">
        <v>77</v>
      </c>
    </row>
    <row r="7" spans="2:9" ht="28">
      <c r="B7" s="16" t="s">
        <v>73</v>
      </c>
      <c r="C7" s="14" t="s">
        <v>12</v>
      </c>
      <c r="D7" s="28" t="s">
        <v>78</v>
      </c>
      <c r="E7" s="9" t="s">
        <v>38</v>
      </c>
      <c r="F7" s="14" t="s">
        <v>72</v>
      </c>
      <c r="G7" s="28">
        <v>4.7</v>
      </c>
      <c r="H7" s="14" t="s">
        <v>25</v>
      </c>
      <c r="I7" s="29" t="s">
        <v>81</v>
      </c>
    </row>
    <row r="8" spans="2:9" ht="28">
      <c r="B8" s="16" t="s">
        <v>73</v>
      </c>
      <c r="C8" s="14" t="s">
        <v>14</v>
      </c>
      <c r="D8" s="28" t="s">
        <v>82</v>
      </c>
      <c r="E8" s="9" t="s">
        <v>38</v>
      </c>
      <c r="F8" s="14" t="s">
        <v>72</v>
      </c>
      <c r="G8" s="30">
        <v>1.9</v>
      </c>
      <c r="H8" s="14" t="s">
        <v>18</v>
      </c>
      <c r="I8" s="29" t="s">
        <v>83</v>
      </c>
    </row>
    <row r="9" spans="2:9">
      <c r="B9" s="16" t="s">
        <v>73</v>
      </c>
      <c r="C9" s="27" t="s">
        <v>58</v>
      </c>
      <c r="D9" s="28"/>
      <c r="E9" s="9" t="s">
        <v>25</v>
      </c>
      <c r="F9" s="14"/>
      <c r="G9" s="9">
        <v>1.5</v>
      </c>
      <c r="H9" s="14" t="s">
        <v>32</v>
      </c>
      <c r="I9" s="29" t="s">
        <v>85</v>
      </c>
    </row>
    <row r="10" spans="2:9">
      <c r="B10" s="16" t="s">
        <v>73</v>
      </c>
      <c r="C10" s="14" t="s">
        <v>16</v>
      </c>
      <c r="D10" s="9"/>
      <c r="E10" s="9" t="s">
        <v>25</v>
      </c>
      <c r="F10" s="14"/>
      <c r="G10" s="9">
        <v>1</v>
      </c>
      <c r="H10" s="14" t="s">
        <v>22</v>
      </c>
      <c r="I10" s="29" t="s">
        <v>86</v>
      </c>
    </row>
    <row r="11" spans="2:9">
      <c r="B11" s="16" t="s">
        <v>73</v>
      </c>
      <c r="C11" s="14" t="s">
        <v>16</v>
      </c>
      <c r="D11" s="9"/>
      <c r="E11" s="9" t="s">
        <v>25</v>
      </c>
      <c r="F11" s="14"/>
      <c r="G11" s="9">
        <v>2.1</v>
      </c>
      <c r="H11" s="14" t="s">
        <v>22</v>
      </c>
      <c r="I11" s="29" t="s">
        <v>87</v>
      </c>
    </row>
    <row r="12" spans="2:9">
      <c r="B12" s="16" t="s">
        <v>73</v>
      </c>
      <c r="C12" s="14" t="s">
        <v>84</v>
      </c>
      <c r="D12" s="9"/>
      <c r="E12" s="9" t="s">
        <v>25</v>
      </c>
      <c r="F12" s="14"/>
      <c r="G12" s="9">
        <v>1.5</v>
      </c>
      <c r="H12" s="14" t="s">
        <v>32</v>
      </c>
      <c r="I12" s="29" t="s">
        <v>88</v>
      </c>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2"/>
      <c r="C30" s="23"/>
      <c r="D30" s="24"/>
      <c r="E30" s="24"/>
      <c r="F30" s="26" t="s">
        <v>65</v>
      </c>
      <c r="G30" s="35">
        <f>SUM(G3:G29)</f>
        <v>22.9</v>
      </c>
      <c r="H30" s="36"/>
      <c r="I30" s="37"/>
    </row>
    <row r="31" spans="2:9" ht="16" thickBot="1">
      <c r="B31" s="19"/>
      <c r="C31" s="20"/>
      <c r="D31" s="21"/>
      <c r="E31" s="21"/>
      <c r="F31" s="25" t="s">
        <v>66</v>
      </c>
      <c r="G31" s="32">
        <v>5</v>
      </c>
      <c r="H31" s="33"/>
      <c r="I31" s="34"/>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zoomScale="99" workbookViewId="0">
      <selection activeCell="F3" sqref="F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2025-03-31T10:52:06Z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