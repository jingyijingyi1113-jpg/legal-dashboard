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D337275A-8303-C84D-B944-610105907797}" xr6:coauthVersionLast="47" xr6:coauthVersionMax="47" xr10:uidLastSave="{00000000-0000-0000-0000-000000000000}"/>
  <bookViews>
    <workbookView xWindow="60" yWindow="760" windowWidth="29080" windowHeight="17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<sst xmlns="http://schemas.openxmlformats.org/spreadsheetml/2006/main" count="161" uniqueCount="84">
  <si>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</si>
  <si>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</si>
  <si>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</si>
  <si>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</si>
  <si>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</si>
  <si>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</si>
  <si>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</si>
  <si>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</si>
  <si>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</si>
  <si>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</si>
  <si>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</si>
  <si>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</si>
  <si>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</si>
  <si>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</si>
  <si>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</si>
  <si>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</si>
  <si>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</si>
  <si>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</si>
  <si>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</si>
  <si>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</si>
  <si>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</si>
  <si>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</si>
  <si>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</si>
  <si>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</si>
  <si>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</si>
  <si>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</si>
  <si>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</si>
  <si>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</si>
  <si>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</si>
  <si>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</si>
  <si>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</si>
  <si>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</si>
  <si>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</si>
  <si>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</si>
  <si>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</si>
  <si>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</si>
  <si>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</si>
  <si>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</si>
  <si>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</si>
  <si>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</si>
  <si>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</si>
  <si>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</si>
  <si>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</si>
  <si>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</si>
  <si>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</si>
  <si>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</si>
  <si>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</si>
  <si>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</si>
  <si>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</si>
  <si>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</si>
  <si>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</si>
  <si>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</si>
  <si>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</si>
  <si>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</si>
  <si>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</si>
  <si>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</si>
  <si>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</si>
  <si>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</si>
  <si>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</si>
  <si>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</si>
  <si>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</si>
  <si>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</si>
  <si>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</si>
  <si>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</si>
  <si>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</si>
  <si>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</si>
  <si>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</si>
  <si>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</si>
  <si>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</si>
  <si>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</si>
  <si>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</si>
  <si>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</si>
  <si>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</si>
  <si>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stellazyin</t>
    <phoneticPr fontId="7" type="noConversion"/>
  </si>
  <si>
    <t>深圳科思明德医疗科技有限公司</t>
    <phoneticPr fontId="7" type="noConversion"/>
  </si>
  <si>
    <t>北京云迹科技股份有限公司</t>
    <phoneticPr fontId="7" type="noConversion"/>
  </si>
  <si>
    <t>阅读DD相关材料</t>
    <phoneticPr fontId="7" type="noConversion"/>
  </si>
  <si>
    <t>Optillusion</t>
    <phoneticPr fontId="7" type="noConversion"/>
  </si>
  <si>
    <t>学习审阅TS</t>
    <phoneticPr fontId="7" type="noConversion"/>
  </si>
  <si>
    <t>江苏和府餐饮管理有限公司</t>
    <phoneticPr fontId="7" type="noConversion"/>
  </si>
  <si>
    <t>阅读历史投资文件</t>
    <phoneticPr fontId="7" type="noConversion"/>
  </si>
  <si>
    <t>公司现场尽职调查访谈；线上接入访谈会议</t>
    <phoneticPr fontId="7" type="noConversion"/>
  </si>
  <si>
    <t>BVNK Holdings Ltd</t>
    <phoneticPr fontId="7" type="noConversion"/>
  </si>
  <si>
    <t>kick-off meeting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</si>
</sst>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1" fillId="0" borderId="19" xfId="0" applyFont="1" applyBorder="1">
      <alignment vertical="center"/>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tabSelected="1" topLeftCell="A3" zoomScale="134" zoomScaleNormal="100" workbookViewId="0">
      <selection activeCell="I10" sqref="I10"/>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71</v>
      </c>
      <c r="E3" s="7" t="s">
        <v>57</v>
      </c>
      <c r="F3" s="7" t="s">
        <v>55</v>
      </c>
      <c r="G3" s="7" t="s">
        <v>8</v>
      </c>
      <c r="H3" s="7" t="s">
        <v>9</v>
      </c>
      <c r="I3" s="11" t="s">
        <v>10</v>
      </c>
    </row>
    <row r="4" spans="2:9" ht="28">
      <c r="B4" s="16" t="s">
        <v>73</v>
      </c>
      <c r="C4" s="27" t="s">
        <v>13</v>
      </c>
      <c r="D4" s="28" t="s">
        <v>75</v>
      </c>
      <c r="E4" s="9" t="s">
        <v>38</v>
      </c>
      <c r="F4" s="14" t="s">
        <v>72</v>
      </c>
      <c r="G4" s="9">
        <v>0.8</v>
      </c>
      <c r="H4" s="27" t="s">
        <v>26</v>
      </c>
      <c r="I4" s="29"/>
    </row>
    <row r="5" spans="2:9" ht="28">
      <c r="B5" s="16" t="s">
        <v>73</v>
      </c>
      <c r="C5" s="27" t="s">
        <v>12</v>
      </c>
      <c r="D5" s="31" t="s">
        <v>77</v>
      </c>
      <c r="E5" s="9" t="s">
        <v>38</v>
      </c>
      <c r="F5" s="14" t="s">
        <v>72</v>
      </c>
      <c r="G5" s="9">
        <v>4.2</v>
      </c>
      <c r="H5" s="14" t="s">
        <v>25</v>
      </c>
      <c r="I5" s="29" t="s">
        <v>78</v>
      </c>
    </row>
    <row r="6" spans="2:9" ht="28">
      <c r="B6" s="16" t="s">
        <v>73</v>
      </c>
      <c r="C6" s="27" t="s">
        <v>12</v>
      </c>
      <c r="D6" s="28" t="s">
        <v>74</v>
      </c>
      <c r="E6" s="9" t="s">
        <v>38</v>
      </c>
      <c r="F6" s="14" t="s">
        <v>72</v>
      </c>
      <c r="G6" s="9">
        <v>4.3</v>
      </c>
      <c r="H6" s="14" t="s">
        <v>25</v>
      </c>
      <c r="I6" s="29" t="s">
        <v>76</v>
      </c>
    </row>
    <row r="7" spans="2:9" ht="31" customHeight="1">
      <c r="B7" s="16" t="s">
        <v>73</v>
      </c>
      <c r="C7" s="27" t="s">
        <v>12</v>
      </c>
      <c r="D7" s="28" t="s">
        <v>74</v>
      </c>
      <c r="E7" s="9" t="s">
        <v>38</v>
      </c>
      <c r="F7" s="14" t="s">
        <v>72</v>
      </c>
      <c r="G7" s="9">
        <v>14</v>
      </c>
      <c r="H7" s="14" t="s">
        <v>23</v>
      </c>
      <c r="I7" s="29" t="s">
        <v>81</v>
      </c>
    </row>
    <row r="8" spans="2:9" ht="28">
      <c r="B8" s="16" t="s">
        <v>73</v>
      </c>
      <c r="C8" s="14" t="s">
        <v>12</v>
      </c>
      <c r="D8" s="28" t="s">
        <v>79</v>
      </c>
      <c r="E8" s="9" t="s">
        <v>38</v>
      </c>
      <c r="F8" s="14" t="s">
        <v>72</v>
      </c>
      <c r="G8" s="9">
        <v>4.5</v>
      </c>
      <c r="H8" s="14" t="s">
        <v>25</v>
      </c>
      <c r="I8" s="29" t="s">
        <v>80</v>
      </c>
    </row>
    <row r="9" spans="2:9" ht="28">
      <c r="B9" s="16" t="s">
        <v>73</v>
      </c>
      <c r="C9" s="14" t="s">
        <v>12</v>
      </c>
      <c r="D9" s="28" t="s">
        <v>82</v>
      </c>
      <c r="E9" s="9" t="s">
        <v>38</v>
      </c>
      <c r="F9" s="14" t="s">
        <v>72</v>
      </c>
      <c r="G9" s="30">
        <v>1.8</v>
      </c>
      <c r="H9" s="14" t="s">
        <v>25</v>
      </c>
      <c r="I9" s="29" t="s">
        <v>83</v>
      </c>
    </row>
    <row r="10" spans="2:9" ht="28">
      <c r="B10" s="16" t="s">
        <v>73</v>
      </c>
      <c r="C10" s="14" t="s">
        <v>12</v>
      </c>
      <c r="D10" s="28" t="s">
        <v>82</v>
      </c>
      <c r="E10" s="9" t="s">
        <v>38</v>
      </c>
      <c r="F10" s="14" t="s">
        <v>72</v>
      </c>
      <c r="G10" s="9">
        <v>2.1</v>
      </c>
      <c r="H10" s="14" t="s">
        <v>26</v>
      </c>
      <c r="I10" s="29"/>
    </row>
    <row r="11" spans="2:9">
      <c r="B11" s="8"/>
      <c r="C11" s="14"/>
      <c r="D11" s="9"/>
      <c r="E11" s="9"/>
      <c r="F11" s="14"/>
      <c r="G11" s="9"/>
      <c r="H11" s="14"/>
      <c r="I11" s="12"/>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22"/>
      <c r="C31" s="23"/>
      <c r="D31" s="24"/>
      <c r="E31" s="24"/>
      <c r="F31" s="26" t="s">
        <v>65</v>
      </c>
      <c r="G31" s="35">
        <f>SUM(G3:G30)</f>
        <v>31.700000000000003</v>
      </c>
      <c r="H31" s="36"/>
      <c r="I31" s="37"/>
    </row>
    <row r="32" spans="2:9" ht="16" thickBot="1">
      <c r="B32" s="19"/>
      <c r="C32" s="20"/>
      <c r="D32" s="21"/>
      <c r="E32" s="21"/>
      <c r="F32" s="25" t="s">
        <v>66</v>
      </c>
      <c r="G32" s="32">
        <v>5</v>
      </c>
      <c r="H32" s="33"/>
      <c r="I32" s="34"/>
    </row>
    <row r="33" ht="16" thickTop="1"/>
  </sheetData>
  <mergeCells count="2">
    <mergeCell ref="G32:I32"/>
    <mergeCell ref="G31:I31"/>
  </mergeCells>
  <phoneticPr fontId="7" type="noConversion"/>
  <dataValidations count="2">
    <dataValidation type="list" allowBlank="1" showInputMessage="1" showErrorMessage="1" sqref="H4:H30" xr:uid="{00000000-0002-0000-0000-000000000000}">
      <formula1>hh</formula1>
    </dataValidation>
    <dataValidation type="list" allowBlank="1" showInputMessage="1" showErrorMessage="1" sqref="F4:F3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E4:E32</xm:sqref>
        </x14:dataValidation>
        <x14:dataValidation type="list" allowBlank="1" showInputMessage="1" showErrorMessage="1" xr:uid="{00000000-0002-0000-0000-000002000000}">
          <x14:formula1>
            <xm:f>数据标签!$B$2:$H$2</xm:f>
          </x14:formula1>
          <xm:sqref>C4:C32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2025-03-24T08:04:02Z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