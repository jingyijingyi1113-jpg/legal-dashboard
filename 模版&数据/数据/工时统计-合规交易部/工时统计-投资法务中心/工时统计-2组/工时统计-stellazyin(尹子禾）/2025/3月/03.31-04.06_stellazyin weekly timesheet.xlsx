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A8891C5B-C42D-F449-97E0-BA3A3AAE9783}" xr6:coauthVersionLast="47" xr6:coauthVersionMax="47" xr10:uidLastSave="{00000000-0000-0000-0000-000000000000}"/>
  <bookViews>
    <workbookView xWindow="320" yWindow="760" windowWidth="29080" windowHeight="17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<sst xmlns="http://schemas.openxmlformats.org/spreadsheetml/2006/main" count="139" uniqueCount="82">
  <si>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</si>
  <si>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</si>
  <si>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</si>
  <si>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</si>
  <si>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</si>
  <si>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</si>
  <si>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</si>
  <si>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</si>
  <si>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</si>
  <si>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</si>
  <si>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</si>
  <si>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</si>
  <si>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</si>
  <si>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</si>
  <si>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</si>
  <si>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</si>
  <si>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</si>
  <si>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</si>
  <si>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</si>
  <si>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</si>
  <si>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</si>
  <si>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</si>
  <si>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</si>
  <si>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</si>
  <si>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</si>
  <si>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</si>
  <si>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</si>
  <si>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</si>
  <si>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</si>
  <si>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</si>
  <si>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</si>
  <si>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</si>
  <si>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</si>
  <si>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</si>
  <si>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</si>
  <si>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</si>
  <si>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</si>
  <si>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</si>
  <si>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</si>
  <si>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</si>
  <si>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</si>
  <si>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</si>
  <si>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</si>
  <si>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</si>
  <si>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</si>
  <si>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</si>
  <si>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</si>
  <si>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</si>
  <si>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</si>
  <si>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</si>
  <si>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</si>
  <si>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</si>
  <si>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</si>
  <si>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</si>
  <si>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</si>
  <si>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</si>
  <si>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</si>
  <si>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</si>
  <si>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</si>
  <si>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</si>
  <si>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</si>
  <si>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</si>
  <si>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</si>
  <si>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</si>
  <si>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</si>
  <si>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</si>
  <si>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</si>
  <si>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</si>
  <si>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</si>
  <si>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</si>
  <si>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</si>
  <si>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</si>
  <si>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</si>
  <si>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</si>
  <si>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深圳科思明德医疗科技有限公司</t>
    <phoneticPr fontId="7" type="noConversion"/>
  </si>
  <si>
    <t>Optillusion</t>
    <phoneticPr fontId="7" type="noConversion"/>
  </si>
  <si>
    <t>审阅/学习审阅TS</t>
    <phoneticPr fontId="7" type="noConversion"/>
  </si>
  <si>
    <t>Bitvavo Group B.V</t>
    <phoneticPr fontId="7" type="noConversion"/>
  </si>
  <si>
    <t>Review rounds of NDA</t>
    <phoneticPr fontId="7" type="noConversion"/>
  </si>
  <si>
    <t>Public - Infrastructure &amp; Guidance</t>
  </si>
  <si>
    <t>Establishing/improving IT systems</t>
  </si>
  <si>
    <t>Legal AI Agent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</si>
</sst>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9"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134" zoomScaleNormal="100" workbookViewId="0">
      <selection activeCell="H8" sqref="H8"/>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31" t="s">
        <v>75</v>
      </c>
      <c r="E4" s="9" t="s">
        <v>38</v>
      </c>
      <c r="F4" s="14" t="s">
        <v>72</v>
      </c>
      <c r="G4" s="9">
        <v>3.6</v>
      </c>
      <c r="H4" s="14" t="s">
        <v>18</v>
      </c>
      <c r="I4" s="29" t="s">
        <v>76</v>
      </c>
    </row>
    <row r="5" spans="2:9" ht="28">
      <c r="B5" s="16" t="s">
        <v>73</v>
      </c>
      <c r="C5" s="27" t="s">
        <v>12</v>
      </c>
      <c r="D5" s="28" t="s">
        <v>74</v>
      </c>
      <c r="E5" s="9" t="s">
        <v>38</v>
      </c>
      <c r="F5" s="14" t="s">
        <v>72</v>
      </c>
      <c r="G5" s="9">
        <v>4.5</v>
      </c>
      <c r="H5" s="14" t="s">
        <v>23</v>
      </c>
      <c r="I5" s="29"/>
    </row>
    <row r="6" spans="2:9" ht="28">
      <c r="B6" s="16" t="s">
        <v>73</v>
      </c>
      <c r="C6" s="14" t="s">
        <v>14</v>
      </c>
      <c r="D6" s="28" t="s">
        <v>77</v>
      </c>
      <c r="E6" s="9" t="s">
        <v>38</v>
      </c>
      <c r="F6" s="14" t="s">
        <v>72</v>
      </c>
      <c r="G6" s="30">
        <v>4.7</v>
      </c>
      <c r="H6" s="14" t="s">
        <v>18</v>
      </c>
      <c r="I6" s="29" t="s">
        <v>78</v>
      </c>
    </row>
    <row r="7" spans="2:9">
      <c r="B7" s="16" t="s">
        <v>73</v>
      </c>
      <c r="C7" s="27" t="s">
        <v>79</v>
      </c>
      <c r="D7" s="28"/>
      <c r="E7" s="9" t="s">
        <v>25</v>
      </c>
      <c r="F7" s="14"/>
      <c r="G7" s="9">
        <v>4.5</v>
      </c>
      <c r="H7" s="14" t="s">
        <v>80</v>
      </c>
      <c r="I7" s="29" t="s">
        <v>81</v>
      </c>
    </row>
    <row r="8" spans="2:9">
      <c r="B8" s="8"/>
      <c r="C8" s="14"/>
      <c r="D8" s="9"/>
      <c r="E8" s="9"/>
      <c r="F8" s="14"/>
      <c r="G8" s="9"/>
      <c r="H8" s="14"/>
      <c r="I8" s="12"/>
    </row>
    <row r="9" spans="2:9">
      <c r="B9" s="8"/>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22"/>
      <c r="C25" s="23"/>
      <c r="D25" s="24"/>
      <c r="E25" s="24"/>
      <c r="F25" s="26" t="s">
        <v>65</v>
      </c>
      <c r="G25" s="35">
        <f>SUM(G3:G24)</f>
        <v>17.3</v>
      </c>
      <c r="H25" s="36"/>
      <c r="I25" s="37"/>
    </row>
    <row r="26" spans="2:9" ht="16" thickBot="1">
      <c r="B26" s="19"/>
      <c r="C26" s="20"/>
      <c r="D26" s="21"/>
      <c r="E26" s="21"/>
      <c r="F26" s="25" t="s">
        <v>66</v>
      </c>
      <c r="G26" s="32">
        <v>4</v>
      </c>
      <c r="H26" s="33"/>
      <c r="I26" s="34"/>
    </row>
    <row r="27" spans="2:9" ht="16"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2025-04-07T08:34:47Z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