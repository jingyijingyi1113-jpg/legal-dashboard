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E0678155-4F4E-F545-89A8-F665222521F6}" xr6:coauthVersionLast="47" xr6:coauthVersionMax="47" xr10:uidLastSave="{00000000-0000-0000-0000-000000000000}"/>
  <bookViews>
    <workbookView xWindow="400" yWindow="1360" windowWidth="29000" windowHeight="16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<sst xmlns="http://schemas.openxmlformats.org/spreadsheetml/2006/main" count="134" uniqueCount="80">
  <si>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</si>
  <si>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</si>
  <si>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</si>
  <si>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</si>
  <si>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</si>
  <si>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</si>
  <si>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</si>
  <si>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</si>
  <si>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</si>
  <si>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</si>
  <si>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</si>
  <si>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</si>
  <si>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</si>
  <si>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</si>
  <si>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</si>
  <si>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</si>
  <si>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</si>
  <si>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</si>
  <si>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</si>
  <si>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</si>
  <si>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</si>
  <si>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</si>
  <si>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</si>
  <si>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</si>
  <si>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</si>
  <si>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</si>
  <si>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</si>
  <si>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</si>
  <si>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</si>
  <si>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</si>
  <si>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</si>
  <si>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</si>
  <si>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</si>
  <si>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</si>
  <si>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</si>
  <si>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</si>
  <si>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</si>
  <si>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</si>
  <si>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</si>
  <si>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</si>
  <si>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</si>
  <si>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</si>
  <si>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</si>
  <si>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</si>
  <si>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</si>
  <si>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</si>
  <si>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</si>
  <si>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</si>
  <si>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</si>
  <si>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</si>
  <si>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</si>
  <si>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</si>
  <si>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</si>
  <si>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</si>
  <si>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</si>
  <si>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</si>
  <si>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</si>
  <si>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</si>
  <si>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</si>
  <si>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</si>
  <si>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</si>
  <si>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</si>
  <si>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</si>
  <si>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</si>
  <si>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</si>
  <si>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</si>
  <si>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</si>
  <si>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</si>
  <si>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</si>
  <si>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</si>
  <si>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</si>
  <si>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北京云迹科技股份有限公司</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</si>
  <si>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</si>
  <si>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</si>
  <si>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Drafting/reviewing/negotiating legal documents</t>
    <phoneticPr fontId="7" type="noConversion"/>
  </si>
  <si>
    <t>stellazyin</t>
    <phoneticPr fontId="7" type="noConversion"/>
  </si>
  <si>
    <t>丰凯利医疗器械（上海）有限公司</t>
  </si>
  <si>
    <t>BVNK Holdings Limited</t>
    <phoneticPr fontId="7" type="noConversion"/>
  </si>
  <si>
    <t>NRL</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</si>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</sst>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9" fillId="0" borderId="0" xfId="0" applyFont="1">
      <alignment vertical="center"/>
    </xf>
    <xf numFmtId="0" fontId="10" fillId="0" borderId="4" xfId="0" applyFont="1" applyBorder="1">
      <alignment vertical="center"/>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C24" zoomScale="186" zoomScaleNormal="100" workbookViewId="0">
      <selection activeCell="G36" sqref="G3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72</v>
      </c>
      <c r="E3" s="7" t="s">
        <v>57</v>
      </c>
      <c r="F3" s="7" t="s">
        <v>55</v>
      </c>
      <c r="G3" s="7" t="s">
        <v>8</v>
      </c>
      <c r="H3" s="7" t="s">
        <v>9</v>
      </c>
      <c r="I3" s="11" t="s">
        <v>10</v>
      </c>
    </row>
    <row r="4" spans="2:9" ht="28">
      <c r="B4" s="16" t="s">
        <v>75</v>
      </c>
      <c r="C4" s="27" t="s">
        <v>14</v>
      </c>
      <c r="D4" s="28" t="s">
        <v>77</v>
      </c>
      <c r="E4" s="9" t="s">
        <v>38</v>
      </c>
      <c r="F4" s="14" t="s">
        <v>73</v>
      </c>
      <c r="G4" s="9">
        <v>2.1</v>
      </c>
      <c r="H4" s="27" t="s">
        <v>74</v>
      </c>
      <c r="I4" s="31" t="s">
        <v>78</v>
      </c>
    </row>
    <row r="5" spans="2:9" ht="28">
      <c r="B5" s="16" t="s">
        <v>75</v>
      </c>
      <c r="C5" s="27" t="s">
        <v>14</v>
      </c>
      <c r="D5" s="29" t="s">
        <v>76</v>
      </c>
      <c r="E5" s="9" t="s">
        <v>38</v>
      </c>
      <c r="F5" s="14" t="s">
        <v>73</v>
      </c>
      <c r="G5" s="9">
        <v>0.8</v>
      </c>
      <c r="H5" s="14" t="s">
        <v>18</v>
      </c>
      <c r="I5" s="31" t="s">
        <v>79</v>
      </c>
    </row>
    <row r="6" spans="2:9" ht="28">
      <c r="B6" s="16" t="s">
        <v>75</v>
      </c>
      <c r="C6" s="14" t="s">
        <v>13</v>
      </c>
      <c r="D6" s="30" t="s">
        <v>71</v>
      </c>
      <c r="E6" s="9" t="s">
        <v>38</v>
      </c>
      <c r="F6" s="14" t="s">
        <v>73</v>
      </c>
      <c r="G6" s="9">
        <v>4.2</v>
      </c>
      <c r="H6" s="14" t="s">
        <v>26</v>
      </c>
      <c r="I6" s="12"/>
    </row>
    <row r="7" spans="2:9">
      <c r="B7" s="16"/>
      <c r="C7" s="14"/>
      <c r="D7" s="9"/>
      <c r="E7" s="9"/>
      <c r="F7" s="14"/>
      <c r="G7" s="9"/>
      <c r="H7" s="14"/>
      <c r="I7" s="12"/>
    </row>
    <row r="8" spans="2:9">
      <c r="B8" s="16"/>
      <c r="C8" s="14"/>
      <c r="D8" s="9"/>
      <c r="E8" s="9"/>
      <c r="F8" s="14"/>
      <c r="G8" s="9"/>
      <c r="H8" s="14"/>
      <c r="I8" s="12"/>
    </row>
    <row r="9" spans="2:9">
      <c r="B9" s="16"/>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2"/>
      <c r="C32" s="23"/>
      <c r="D32" s="24"/>
      <c r="E32" s="24"/>
      <c r="F32" s="26" t="s">
        <v>65</v>
      </c>
      <c r="G32" s="35">
        <f>SUM(G3:G31)</f>
        <v>7.1000000000000005</v>
      </c>
      <c r="H32" s="36"/>
      <c r="I32" s="37"/>
    </row>
    <row r="33" spans="2:9" ht="16" thickBot="1">
      <c r="B33" s="19"/>
      <c r="C33" s="20"/>
      <c r="D33" s="21"/>
      <c r="E33" s="21"/>
      <c r="F33" s="25" t="s">
        <v>66</v>
      </c>
      <c r="G33" s="32">
        <v>5</v>
      </c>
      <c r="H33" s="33"/>
      <c r="I33" s="34"/>
    </row>
    <row r="34" spans="2:9" ht="16"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2025-03-10T09:20:35Z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