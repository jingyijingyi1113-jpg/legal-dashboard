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ED084324-2C8D-E349-B3F0-771F331EA0B5}" xr6:coauthVersionLast="47" xr6:coauthVersionMax="47" xr10:uidLastSave="{00000000-0000-0000-0000-000000000000}"/>
  <bookViews>
    <workbookView xWindow="1320" yWindow="1940" windowWidth="29080" windowHeight="171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<sst xmlns="http://schemas.openxmlformats.org/spreadsheetml/2006/main" count="132" uniqueCount="80">
  <si>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</si>
  <si>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</si>
  <si>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</si>
  <si>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</si>
  <si>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</si>
  <si>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</si>
  <si>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</si>
  <si>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</si>
  <si>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</si>
  <si>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</si>
  <si>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</si>
  <si>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</si>
  <si>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</si>
  <si>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</si>
  <si>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</si>
  <si>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</si>
  <si>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</si>
  <si>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</si>
  <si>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</si>
  <si>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</si>
  <si>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</si>
  <si>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</si>
  <si>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</si>
  <si>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</si>
  <si>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</si>
  <si>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</si>
  <si>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</si>
  <si>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</si>
  <si>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</si>
  <si>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</si>
  <si>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</si>
  <si>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</si>
  <si>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</si>
  <si>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</si>
  <si>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</si>
  <si>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</si>
  <si>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</si>
  <si>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</si>
  <si>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</si>
  <si>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</si>
  <si>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</si>
  <si>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</si>
  <si>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</si>
  <si>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</si>
  <si>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</si>
  <si>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</si>
  <si>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</si>
  <si>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</si>
  <si>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</si>
  <si>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</si>
  <si>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</si>
  <si>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</si>
  <si>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</si>
  <si>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</si>
  <si>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</si>
  <si>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</si>
  <si>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</si>
  <si>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</si>
  <si>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</si>
  <si>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</si>
  <si>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</si>
  <si>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</si>
  <si>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</si>
  <si>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</si>
  <si>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</si>
  <si>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</si>
  <si>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</si>
  <si>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</si>
  <si>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</si>
  <si>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</si>
  <si>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</si>
  <si>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</si>
  <si>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</si>
  <si>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</si>
  <si>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Public - Infrastructure &amp; Guidance</t>
  </si>
  <si>
    <t>Establishing/improving IT systems</t>
  </si>
  <si>
    <t>BVNK Holdings Limited</t>
    <phoneticPr fontId="7" type="noConversion"/>
  </si>
  <si>
    <t>Legal AI Agent Development</t>
    <phoneticPr fontId="7" type="noConversion"/>
  </si>
  <si>
    <t>NDA</t>
    <phoneticPr fontId="7" type="noConversion"/>
  </si>
  <si>
    <t>上海湃隆生物科技有限公司</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</si>
</sst>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B3" zoomScale="134" zoomScaleNormal="100" workbookViewId="0">
      <selection activeCell="H9" sqref="H9"/>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14</v>
      </c>
      <c r="D4" s="28" t="s">
        <v>76</v>
      </c>
      <c r="E4" s="9" t="s">
        <v>38</v>
      </c>
      <c r="F4" s="14" t="s">
        <v>72</v>
      </c>
      <c r="G4" s="9">
        <v>6.5</v>
      </c>
      <c r="H4" s="14" t="s">
        <v>18</v>
      </c>
      <c r="I4" s="29"/>
    </row>
    <row r="5" spans="2:9" ht="28">
      <c r="B5" s="16" t="s">
        <v>73</v>
      </c>
      <c r="C5" s="14" t="s">
        <v>14</v>
      </c>
      <c r="D5" s="28" t="s">
        <v>79</v>
      </c>
      <c r="E5" s="9" t="s">
        <v>38</v>
      </c>
      <c r="F5" s="14" t="s">
        <v>72</v>
      </c>
      <c r="G5" s="28">
        <v>2.2999999999999998</v>
      </c>
      <c r="H5" s="14" t="s">
        <v>25</v>
      </c>
      <c r="I5" s="29" t="s">
        <v>78</v>
      </c>
    </row>
    <row r="6" spans="2:9">
      <c r="B6" s="16" t="s">
        <v>73</v>
      </c>
      <c r="C6" s="27" t="s">
        <v>74</v>
      </c>
      <c r="D6" s="28"/>
      <c r="E6" s="9" t="s">
        <v>25</v>
      </c>
      <c r="F6" s="14"/>
      <c r="G6" s="9">
        <v>5.2</v>
      </c>
      <c r="H6" s="14" t="s">
        <v>75</v>
      </c>
      <c r="I6" s="29" t="s">
        <v>77</v>
      </c>
    </row>
    <row r="7" spans="2:9">
      <c r="B7" s="16"/>
      <c r="C7" s="14"/>
      <c r="D7" s="9"/>
      <c r="E7" s="9"/>
      <c r="F7" s="14"/>
      <c r="G7" s="9"/>
      <c r="H7" s="14"/>
      <c r="I7" s="29"/>
    </row>
    <row r="8" spans="2:9">
      <c r="B8" s="8"/>
      <c r="C8" s="14"/>
      <c r="D8" s="9"/>
      <c r="E8" s="9"/>
      <c r="F8" s="14"/>
      <c r="G8" s="9"/>
      <c r="H8" s="14"/>
      <c r="I8" s="12"/>
    </row>
    <row r="9" spans="2:9">
      <c r="B9" s="8"/>
      <c r="C9" s="14"/>
      <c r="D9" s="9"/>
      <c r="E9" s="9"/>
      <c r="F9" s="14"/>
      <c r="G9" s="9"/>
      <c r="H9" s="14"/>
      <c r="I9" s="12"/>
    </row>
    <row r="10" spans="2:9">
      <c r="B10" s="8"/>
      <c r="C10" s="14"/>
      <c r="D10" s="9"/>
      <c r="E10" s="9"/>
      <c r="F10" s="14"/>
      <c r="G10" s="9"/>
      <c r="H10" s="14"/>
      <c r="I10" s="12"/>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22"/>
      <c r="C24" s="23"/>
      <c r="D24" s="24"/>
      <c r="E24" s="24"/>
      <c r="F24" s="26" t="s">
        <v>65</v>
      </c>
      <c r="G24" s="33">
        <f>SUM(G3:G23)</f>
        <v>14</v>
      </c>
      <c r="H24" s="34"/>
      <c r="I24" s="35"/>
    </row>
    <row r="25" spans="2:9" ht="16" thickBot="1">
      <c r="B25" s="19"/>
      <c r="C25" s="20"/>
      <c r="D25" s="21"/>
      <c r="E25" s="21"/>
      <c r="F25" s="25" t="s">
        <v>66</v>
      </c>
      <c r="G25" s="30">
        <v>4</v>
      </c>
      <c r="H25" s="31"/>
      <c r="I25" s="32"/>
    </row>
    <row r="26" spans="2:9" ht="16"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2025-05-06T07:46:25Z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