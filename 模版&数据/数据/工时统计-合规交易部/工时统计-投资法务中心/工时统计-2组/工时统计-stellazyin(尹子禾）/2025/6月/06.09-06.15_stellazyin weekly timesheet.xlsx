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A326E980-1B11-1D4E-8D12-1B50BE2DAB95}" xr6:coauthVersionLast="47" xr6:coauthVersionMax="47" xr10:uidLastSave="{00000000-0000-0000-0000-000000000000}"/>
  <bookViews>
    <workbookView xWindow="320" yWindow="820" windowWidth="29080" windowHeight="174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<sst xmlns="http://schemas.openxmlformats.org/spreadsheetml/2006/main" count="152" uniqueCount="83">
  <si>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</si>
  <si>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</si>
  <si>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</si>
  <si>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</si>
  <si>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</si>
  <si>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</si>
  <si>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</si>
  <si>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</si>
  <si>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</si>
  <si>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</si>
  <si>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</si>
  <si>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</si>
  <si>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</si>
  <si>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</si>
  <si>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</si>
  <si>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</si>
  <si>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</si>
  <si>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</si>
  <si>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</si>
  <si>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</si>
  <si>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</si>
  <si>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</si>
  <si>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</si>
  <si>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</si>
  <si>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</si>
  <si>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</si>
  <si>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</si>
  <si>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</si>
  <si>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</si>
  <si>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</si>
  <si>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</si>
  <si>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</si>
  <si>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</si>
  <si>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</si>
  <si>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</si>
  <si>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</si>
  <si>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</si>
  <si>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</si>
  <si>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</si>
  <si>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</si>
  <si>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</si>
  <si>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</si>
  <si>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</si>
  <si>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</si>
  <si>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</si>
  <si>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</si>
  <si>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</si>
  <si>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</si>
  <si>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</si>
  <si>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</si>
  <si>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</si>
  <si>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</si>
  <si>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</si>
  <si>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</si>
  <si>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</si>
  <si>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</si>
  <si>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</si>
  <si>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</si>
  <si>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</si>
  <si>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</si>
  <si>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</si>
  <si>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</si>
  <si>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</si>
  <si>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</si>
  <si>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</si>
  <si>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</si>
  <si>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</si>
  <si>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</si>
  <si>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</si>
  <si>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</si>
  <si>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</si>
  <si>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</si>
  <si>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</si>
  <si>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</si>
  <si>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</si>
  <si>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NDA</t>
    <phoneticPr fontId="7" type="noConversion"/>
  </si>
  <si>
    <t>Public - Knowledge Accumulation &amp; Sharing</t>
  </si>
  <si>
    <t>美國的制裁政策改變和趨勢</t>
    <phoneticPr fontId="7" type="noConversion"/>
  </si>
  <si>
    <t>香港上市規則 - 《企業管治守則》</t>
    <phoneticPr fontId="7" type="noConversion"/>
  </si>
  <si>
    <r>
      <rPr>
        <sz val="10"/>
        <color theme="1"/>
        <rFont val="等线"/>
        <family val="4"/>
        <charset val="134"/>
      </rPr>
      <t>S</t>
    </r>
    <r>
      <rPr>
        <sz val="10"/>
        <color rgb="FF0E1014"/>
        <rFont val="等线"/>
        <family val="4"/>
        <charset val="134"/>
      </rPr>
      <t>交易和S基金解析</t>
    </r>
    <phoneticPr fontId="7" type="noConversion"/>
  </si>
  <si>
    <t>四川锦江电子医疗器械科技股份有限公司</t>
    <phoneticPr fontId="7" type="noConversion"/>
  </si>
  <si>
    <t>腾讯学堂课程</t>
    <phoneticPr fontId="7" type="noConversion"/>
  </si>
  <si>
    <t>法务管理节点第三批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</si>
</sst>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font>
    <font>
      <sz val="10"/>
      <color rgb="FF0E1014"/>
      <name val="等线"/>
      <family val="4"/>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3" zoomScale="116" zoomScaleNormal="150" workbookViewId="0">
      <selection activeCell="F13" sqref="F13"/>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13.7</v>
      </c>
      <c r="H4" s="14" t="s">
        <v>18</v>
      </c>
      <c r="I4" s="29"/>
    </row>
    <row r="5" spans="2:9" ht="28">
      <c r="B5" s="16" t="s">
        <v>73</v>
      </c>
      <c r="C5" s="27" t="s">
        <v>14</v>
      </c>
      <c r="D5" s="28" t="s">
        <v>80</v>
      </c>
      <c r="E5" s="9" t="s">
        <v>38</v>
      </c>
      <c r="F5" s="14" t="s">
        <v>72</v>
      </c>
      <c r="G5" s="9">
        <v>2.2999999999999998</v>
      </c>
      <c r="H5" s="14" t="s">
        <v>18</v>
      </c>
      <c r="I5" s="29" t="s">
        <v>75</v>
      </c>
    </row>
    <row r="6" spans="2:9">
      <c r="B6" s="16" t="s">
        <v>73</v>
      </c>
      <c r="C6" s="27" t="s">
        <v>16</v>
      </c>
      <c r="D6" s="28"/>
      <c r="E6" s="9" t="s">
        <v>25</v>
      </c>
      <c r="F6" s="14"/>
      <c r="G6" s="9">
        <v>5.8</v>
      </c>
      <c r="H6" s="14" t="s">
        <v>25</v>
      </c>
      <c r="I6" s="29" t="s">
        <v>82</v>
      </c>
    </row>
    <row r="7" spans="2:9">
      <c r="B7" s="16" t="s">
        <v>73</v>
      </c>
      <c r="C7" s="27" t="s">
        <v>76</v>
      </c>
      <c r="D7" s="28"/>
      <c r="E7" s="9" t="s">
        <v>25</v>
      </c>
      <c r="F7" s="14"/>
      <c r="G7" s="9">
        <v>1.5</v>
      </c>
      <c r="H7" s="14" t="s">
        <v>32</v>
      </c>
      <c r="I7" s="29" t="s">
        <v>77</v>
      </c>
    </row>
    <row r="8" spans="2:9">
      <c r="B8" s="16" t="s">
        <v>73</v>
      </c>
      <c r="C8" s="27" t="s">
        <v>76</v>
      </c>
      <c r="D8" s="28"/>
      <c r="E8" s="9" t="s">
        <v>25</v>
      </c>
      <c r="F8" s="14"/>
      <c r="G8" s="9">
        <v>1.5</v>
      </c>
      <c r="H8" s="14" t="s">
        <v>32</v>
      </c>
      <c r="I8" s="29" t="s">
        <v>78</v>
      </c>
    </row>
    <row r="9" spans="2:9">
      <c r="B9" s="16" t="s">
        <v>73</v>
      </c>
      <c r="C9" s="27" t="s">
        <v>76</v>
      </c>
      <c r="D9" s="28"/>
      <c r="E9" s="9" t="s">
        <v>25</v>
      </c>
      <c r="F9" s="14"/>
      <c r="G9" s="9">
        <v>2.2999999999999998</v>
      </c>
      <c r="H9" s="14" t="s">
        <v>32</v>
      </c>
      <c r="I9" s="30" t="s">
        <v>79</v>
      </c>
    </row>
    <row r="10" spans="2:9">
      <c r="B10" s="16" t="s">
        <v>73</v>
      </c>
      <c r="C10" s="27" t="s">
        <v>76</v>
      </c>
      <c r="D10" s="9"/>
      <c r="E10" s="9" t="s">
        <v>25</v>
      </c>
      <c r="F10" s="14"/>
      <c r="G10" s="9">
        <v>3.1</v>
      </c>
      <c r="H10" s="14" t="s">
        <v>25</v>
      </c>
      <c r="I10" s="29" t="s">
        <v>81</v>
      </c>
    </row>
    <row r="11" spans="2:9">
      <c r="B11" s="16"/>
      <c r="C11" s="14"/>
      <c r="D11" s="9"/>
      <c r="E11" s="9"/>
      <c r="F11" s="14"/>
      <c r="G11" s="9"/>
      <c r="H11" s="14"/>
      <c r="I11" s="12"/>
    </row>
    <row r="12" spans="2:9">
      <c r="B12" s="16"/>
      <c r="C12" s="14"/>
      <c r="D12" s="9"/>
      <c r="E12" s="9"/>
      <c r="F12" s="14"/>
      <c r="G12" s="9"/>
      <c r="H12" s="14"/>
      <c r="I12" s="29"/>
    </row>
    <row r="13" spans="2:9">
      <c r="B13" s="16"/>
      <c r="C13" s="14"/>
      <c r="D13" s="9"/>
      <c r="E13" s="9"/>
      <c r="F13" s="14"/>
      <c r="G13" s="9"/>
      <c r="H13" s="14"/>
      <c r="I13" s="29"/>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22"/>
      <c r="C25" s="23"/>
      <c r="D25" s="24"/>
      <c r="E25" s="24"/>
      <c r="F25" s="26" t="s">
        <v>65</v>
      </c>
      <c r="G25" s="34">
        <f>SUM(G3:G24)</f>
        <v>30.200000000000003</v>
      </c>
      <c r="H25" s="35"/>
      <c r="I25" s="36"/>
    </row>
    <row r="26" spans="2:9" ht="16" thickBot="1">
      <c r="B26" s="19"/>
      <c r="C26" s="20"/>
      <c r="D26" s="21"/>
      <c r="E26" s="21"/>
      <c r="F26" s="25" t="s">
        <v>66</v>
      </c>
      <c r="G26" s="31">
        <v>5</v>
      </c>
      <c r="H26" s="32"/>
      <c r="I26" s="33"/>
    </row>
    <row r="27" spans="2:9" ht="16" thickTop="1"/>
  </sheetData>
  <mergeCells count="2">
    <mergeCell ref="G26:I26"/>
    <mergeCell ref="G25:I25"/>
  </mergeCells>
  <phoneticPr fontId="7" type="noConversion"/>
  <dataValidations count="2">
    <dataValidation type="list" allowBlank="1" showInputMessage="1" showErrorMessage="1" sqref="H4:H24" xr:uid="{3666D0EA-600D-3140-A12F-C5F6A3F03E2B}">
      <formula1>hh</formula1>
    </dataValidation>
    <dataValidation type="list" allowBlank="1" showInputMessage="1" showErrorMessage="1" sqref="F4:F24"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C4:C26</xm:sqref>
        </x14:dataValidation>
        <x14:dataValidation type="list" allowBlank="1" showInputMessage="1" showErrorMessage="1" xr:uid="{B1051967-5659-CA42-B18E-38CBC0338F4A}">
          <x14:formula1>
            <xm:f>数据标签!$B$11:$D$11</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2025-06-17T02:04:52Z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