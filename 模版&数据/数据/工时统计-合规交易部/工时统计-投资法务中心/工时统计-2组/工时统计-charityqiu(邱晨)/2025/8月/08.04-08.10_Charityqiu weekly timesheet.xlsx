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6CEAC707-AA8A-4255-AB48-03BE8FC16DED}"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个人工时记录表!$D$2:$D$17</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<sst xmlns="http://schemas.openxmlformats.org/spreadsheetml/2006/main" count="190" uniqueCount="96">
  <si>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</si>
  <si>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</si>
  <si>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</si>
  <si>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</si>
  <si>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</si>
  <si>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</si>
  <si>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</si>
  <si>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</si>
  <si>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</si>
  <si>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</si>
  <si>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</si>
  <si>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</si>
  <si>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</si>
  <si>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</si>
  <si>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</si>
  <si>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</si>
  <si>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</si>
  <si>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</si>
  <si>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</si>
  <si>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</si>
  <si>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</si>
  <si>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</si>
  <si>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</si>
  <si>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</si>
  <si>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</si>
  <si>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</si>
  <si>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</si>
  <si>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</si>
  <si>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</si>
  <si>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</si>
  <si>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</si>
  <si>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</si>
  <si>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</si>
  <si>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</si>
  <si>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</si>
  <si>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</si>
  <si>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</si>
  <si>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</si>
  <si>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</si>
  <si>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</si>
  <si>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</si>
  <si>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</si>
  <si>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</si>
  <si>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</si>
  <si>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</si>
  <si>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</si>
  <si>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</si>
  <si>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</si>
  <si>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</si>
  <si>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</si>
  <si>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</si>
  <si>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</si>
  <si>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</si>
  <si>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</si>
  <si>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</si>
  <si>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</si>
  <si>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</si>
  <si>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</si>
  <si>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</si>
  <si>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</si>
  <si>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</si>
  <si>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</si>
  <si>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</si>
  <si>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</si>
  <si>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</si>
  <si>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</si>
  <si>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</si>
  <si>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</si>
  <si>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</si>
  <si>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</si>
  <si>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</si>
  <si>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</si>
  <si>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</si>
  <si>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</si>
  <si>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</si>
  <si>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</si>
  <si>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</si>
  <si>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</si>
  <si>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SD</t>
  </si>
  <si>
    <t>Bulkhead</t>
  </si>
  <si>
    <t>TME</t>
  </si>
  <si>
    <t>Hotdesk</t>
  </si>
  <si>
    <t>资本市场、投融资活动创新突破 Innovative breakthroughs in investments and capital market transactions</t>
  </si>
  <si>
    <t>晶泰</t>
  </si>
  <si>
    <t>Huya</t>
  </si>
  <si>
    <t>SHA issue list</t>
  </si>
  <si>
    <t>境外分红决议</t>
  </si>
  <si>
    <t xml:space="preserve"> Tax covenant review</t>
  </si>
  <si>
    <t>Attend to closing and revert to inquiry from finance</t>
  </si>
  <si>
    <t>Zhihu</t>
  </si>
  <si>
    <t>Revert to Zac's inquiry about potential disclosable event and resignation of director</t>
  </si>
  <si>
    <t>Revert to Dexter;s query on 13F, discuss with Yan and revert to TPP's query on 13F.</t>
  </si>
  <si>
    <t>Call with buyer re: pending issues</t>
  </si>
  <si>
    <t>Attend to HK covered call</t>
  </si>
  <si>
    <t>关联方查询</t>
  </si>
  <si>
    <t>Canadian RFI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</si>
</sst>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7"/>
  <sheetViews>
    <sheetView tabSelected="1" topLeftCell="A3" zoomScale="115" zoomScaleNormal="115" workbookViewId="0">
      <selection activeCell="G9" sqref="G9"/>
    </sheetView>
  </sheetViews>
  <sheetFormatPr defaultColWidth="9" defaultRowHeight="14.5"/>
  <cols>
    <col min="1" max="2" width="9" style="7"/>
    <col min="3" max="3" width="34.453125" style="22" customWidth="1"/>
    <col min="4" max="4" width="21.6328125" style="7" customWidth="1"/>
    <col min="5" max="5" width="10.54296875" style="7" customWidth="1"/>
    <col min="6" max="6" width="29.90625" style="22" customWidth="1"/>
    <col min="7" max="7" width="9" style="7"/>
    <col min="8" max="8" width="41.54296875" style="22" customWidth="1"/>
    <col min="9" max="9" width="39.90625" style="7" customWidth="1"/>
    <col min="10" max="16384" width="9" style="7"/>
  </cols>
  <sheetData>
    <row r="1" spans="2:9" ht="15" thickBot="1"/>
    <row r="2" spans="2:9" ht="26.5"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26">
      <c r="B4" s="23" t="s">
        <v>72</v>
      </c>
      <c r="C4" s="24" t="s">
        <v>14</v>
      </c>
      <c r="D4" s="25" t="s">
        <v>73</v>
      </c>
      <c r="E4" s="26" t="s">
        <v>40</v>
      </c>
      <c r="F4" s="24" t="s">
        <v>74</v>
      </c>
      <c r="G4" s="26">
        <v>2.5</v>
      </c>
      <c r="H4" s="24" t="s">
        <v>20</v>
      </c>
      <c r="I4" s="27" t="s">
        <v>85</v>
      </c>
    </row>
    <row r="5" spans="2:9" ht="26">
      <c r="B5" s="23" t="s">
        <v>72</v>
      </c>
      <c r="C5" s="24" t="s">
        <v>14</v>
      </c>
      <c r="D5" s="25" t="s">
        <v>80</v>
      </c>
      <c r="E5" s="26" t="s">
        <v>40</v>
      </c>
      <c r="F5" s="24" t="s">
        <v>74</v>
      </c>
      <c r="G5" s="26">
        <v>0.5</v>
      </c>
      <c r="H5" s="24" t="s">
        <v>20</v>
      </c>
      <c r="I5" s="27" t="s">
        <v>86</v>
      </c>
    </row>
    <row r="6" spans="2:9" ht="26">
      <c r="B6" s="23" t="s">
        <v>72</v>
      </c>
      <c r="C6" s="24" t="s">
        <v>14</v>
      </c>
      <c r="D6" s="25" t="s">
        <v>78</v>
      </c>
      <c r="E6" s="26" t="s">
        <v>40</v>
      </c>
      <c r="F6" s="24" t="s">
        <v>74</v>
      </c>
      <c r="G6" s="26">
        <v>0.5</v>
      </c>
      <c r="H6" s="24" t="s">
        <v>20</v>
      </c>
      <c r="I6" s="27" t="s">
        <v>87</v>
      </c>
    </row>
    <row r="7" spans="2:9" ht="26">
      <c r="B7" s="23" t="s">
        <v>72</v>
      </c>
      <c r="C7" s="24" t="s">
        <v>14</v>
      </c>
      <c r="D7" s="25" t="s">
        <v>79</v>
      </c>
      <c r="E7" s="26" t="s">
        <v>40</v>
      </c>
      <c r="F7" s="24" t="s">
        <v>74</v>
      </c>
      <c r="G7" s="26">
        <v>0.7</v>
      </c>
      <c r="H7" s="24" t="s">
        <v>36</v>
      </c>
      <c r="I7" s="27" t="s">
        <v>88</v>
      </c>
    </row>
    <row r="8" spans="2:9" ht="26">
      <c r="B8" s="23" t="s">
        <v>72</v>
      </c>
      <c r="C8" s="24" t="s">
        <v>14</v>
      </c>
      <c r="D8" s="25" t="s">
        <v>78</v>
      </c>
      <c r="E8" s="26" t="s">
        <v>40</v>
      </c>
      <c r="F8" s="24" t="s">
        <v>74</v>
      </c>
      <c r="G8" s="26">
        <v>1</v>
      </c>
      <c r="H8" s="24" t="s">
        <v>20</v>
      </c>
      <c r="I8" s="27" t="s">
        <v>92</v>
      </c>
    </row>
    <row r="9" spans="2:9" ht="52">
      <c r="B9" s="23" t="s">
        <v>72</v>
      </c>
      <c r="C9" s="24" t="s">
        <v>14</v>
      </c>
      <c r="D9" s="25" t="s">
        <v>89</v>
      </c>
      <c r="E9" s="26" t="s">
        <v>40</v>
      </c>
      <c r="F9" s="24" t="s">
        <v>82</v>
      </c>
      <c r="G9" s="25">
        <v>1</v>
      </c>
      <c r="H9" s="24" t="s">
        <v>36</v>
      </c>
      <c r="I9" s="27" t="s">
        <v>90</v>
      </c>
    </row>
    <row r="10" spans="2:9" ht="52">
      <c r="B10" s="23" t="s">
        <v>72</v>
      </c>
      <c r="C10" s="24" t="s">
        <v>14</v>
      </c>
      <c r="D10" s="25" t="s">
        <v>81</v>
      </c>
      <c r="E10" s="26" t="s">
        <v>40</v>
      </c>
      <c r="F10" s="24" t="s">
        <v>82</v>
      </c>
      <c r="G10" s="26">
        <v>1</v>
      </c>
      <c r="H10" s="24" t="s">
        <v>36</v>
      </c>
      <c r="I10" s="27" t="s">
        <v>91</v>
      </c>
    </row>
    <row r="11" spans="2:9" ht="39" customHeight="1">
      <c r="B11" s="23" t="s">
        <v>72</v>
      </c>
      <c r="C11" s="24" t="s">
        <v>14</v>
      </c>
      <c r="D11" s="25" t="s">
        <v>83</v>
      </c>
      <c r="E11" s="26" t="s">
        <v>40</v>
      </c>
      <c r="F11" s="24" t="s">
        <v>74</v>
      </c>
      <c r="G11" s="26">
        <v>2.5</v>
      </c>
      <c r="H11" s="24" t="s">
        <v>20</v>
      </c>
      <c r="I11" s="27" t="s">
        <v>93</v>
      </c>
    </row>
    <row r="12" spans="2:9" ht="26">
      <c r="B12" s="23" t="s">
        <v>72</v>
      </c>
      <c r="C12" s="24" t="s">
        <v>14</v>
      </c>
      <c r="D12" s="25" t="s">
        <v>73</v>
      </c>
      <c r="E12" s="26" t="s">
        <v>40</v>
      </c>
      <c r="F12" s="24" t="s">
        <v>74</v>
      </c>
      <c r="G12" s="26">
        <v>1</v>
      </c>
      <c r="H12" s="24" t="s">
        <v>20</v>
      </c>
      <c r="I12" s="27" t="s">
        <v>95</v>
      </c>
    </row>
    <row r="13" spans="2:9" ht="26">
      <c r="B13" s="23" t="s">
        <v>72</v>
      </c>
      <c r="C13" s="24" t="s">
        <v>16</v>
      </c>
      <c r="D13" s="25" t="s">
        <v>84</v>
      </c>
      <c r="E13" s="26" t="s">
        <v>40</v>
      </c>
      <c r="F13" s="24" t="s">
        <v>74</v>
      </c>
      <c r="G13" s="26">
        <v>1</v>
      </c>
      <c r="H13" s="24" t="s">
        <v>20</v>
      </c>
      <c r="I13" s="27" t="s">
        <v>94</v>
      </c>
    </row>
    <row r="14" spans="2:9" ht="26">
      <c r="B14" s="23" t="s">
        <v>72</v>
      </c>
      <c r="C14" s="24" t="s">
        <v>18</v>
      </c>
      <c r="D14" s="25" t="s">
        <v>76</v>
      </c>
      <c r="E14" s="26" t="s">
        <v>27</v>
      </c>
      <c r="F14" s="24"/>
      <c r="G14" s="26">
        <v>2</v>
      </c>
      <c r="H14" s="24" t="s">
        <v>77</v>
      </c>
      <c r="I14" s="27" t="s">
        <v>75</v>
      </c>
    </row>
    <row r="15" spans="2:9">
      <c r="B15" s="8"/>
      <c r="C15" s="9"/>
      <c r="D15" s="10"/>
      <c r="E15" s="10"/>
      <c r="F15" s="11" t="s">
        <v>67</v>
      </c>
      <c r="G15" s="31">
        <f>SUM(G3:G14)</f>
        <v>13.7</v>
      </c>
      <c r="H15" s="32"/>
      <c r="I15" s="33"/>
    </row>
    <row r="16" spans="2:9" ht="15" thickBot="1">
      <c r="B16" s="12"/>
      <c r="C16" s="13"/>
      <c r="D16" s="14"/>
      <c r="E16" s="14"/>
      <c r="F16" s="15" t="s">
        <v>68</v>
      </c>
      <c r="G16" s="28">
        <v>0</v>
      </c>
      <c r="H16" s="29"/>
      <c r="I16" s="30"/>
    </row>
    <row r="17" ht="15" thickTop="1"/>
  </sheetData>
  <autoFilter ref="D2:D17" xr:uid="{00000000-0001-0000-0000-000000000000}"/>
  <mergeCells count="2">
    <mergeCell ref="G16:I16"/>
    <mergeCell ref="G15:I15"/>
  </mergeCells>
  <phoneticPr fontId="7" type="noConversion"/>
  <dataValidations count="3">
    <dataValidation type="list" errorStyle="warning" allowBlank="1" sqref="D4:D10 D12:D14" xr:uid="{F3857C4E-9525-4F1F-819A-9E6BEBB79C0E}">
      <formula1>项目事项分类项目名称</formula1>
    </dataValidation>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5"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2">
      <c r="A12" s="1" t="s">
        <v>42</v>
      </c>
      <c r="B12" s="3" t="s">
        <v>43</v>
      </c>
    </row>
    <row r="13" spans="1:8" ht="39">
      <c r="B13" s="3" t="s">
        <v>55</v>
      </c>
      <c r="C13" s="4" t="s">
        <v>56</v>
      </c>
      <c r="D13" s="4" t="s">
        <v>56</v>
      </c>
    </row>
    <row r="14" spans="1:8" ht="39">
      <c r="B14" s="3" t="s">
        <v>44</v>
      </c>
      <c r="C14" s="4" t="s">
        <v>56</v>
      </c>
      <c r="D14" s="4" t="s">
        <v>56</v>
      </c>
    </row>
    <row r="15" spans="1:8" ht="52">
      <c r="B15" s="3" t="s">
        <v>45</v>
      </c>
      <c r="C15" s="4" t="s">
        <v>56</v>
      </c>
      <c r="D15" s="4" t="s">
        <v>56</v>
      </c>
    </row>
    <row r="16" spans="1:8" ht="52">
      <c r="B16" s="3" t="s">
        <v>46</v>
      </c>
      <c r="C16" s="4" t="s">
        <v>56</v>
      </c>
      <c r="D16" s="4" t="s">
        <v>56</v>
      </c>
    </row>
    <row r="17" spans="2:4" ht="52">
      <c r="B17" s="3" t="s">
        <v>47</v>
      </c>
      <c r="C17" s="4" t="s">
        <v>56</v>
      </c>
      <c r="D17" s="4" t="s">
        <v>56</v>
      </c>
    </row>
    <row r="18" spans="2:4" ht="52">
      <c r="B18" s="3" t="s">
        <v>48</v>
      </c>
      <c r="C18" s="4" t="s">
        <v>56</v>
      </c>
      <c r="D18" s="4" t="s">
        <v>56</v>
      </c>
    </row>
    <row r="19" spans="2:4" ht="52">
      <c r="B19" s="3" t="s">
        <v>49</v>
      </c>
      <c r="C19" s="4" t="s">
        <v>56</v>
      </c>
      <c r="D19" s="4" t="s">
        <v>56</v>
      </c>
    </row>
    <row r="20" spans="2:4" ht="39">
      <c r="B20" s="3" t="s">
        <v>63</v>
      </c>
      <c r="C20" s="4" t="s">
        <v>56</v>
      </c>
      <c r="D20" s="4" t="s">
        <v>56</v>
      </c>
    </row>
    <row r="21" spans="2:4" ht="39">
      <c r="B21" s="3" t="s">
        <v>50</v>
      </c>
      <c r="C21" s="4" t="s">
        <v>56</v>
      </c>
      <c r="D21" s="4" t="s">
        <v>56</v>
      </c>
    </row>
    <row r="22" spans="2:4" ht="39">
      <c r="B22" s="3" t="s">
        <v>64</v>
      </c>
      <c r="C22" s="4" t="s">
        <v>56</v>
      </c>
      <c r="D22" s="4" t="s">
        <v>56</v>
      </c>
    </row>
    <row r="23" spans="2:4" ht="39">
      <c r="B23" s="3" t="s">
        <v>65</v>
      </c>
      <c r="C23" s="4"/>
      <c r="D23" s="4"/>
    </row>
    <row r="24" spans="2:4" ht="78">
      <c r="B24" s="3" t="s">
        <v>54</v>
      </c>
      <c r="C24" s="4" t="s">
        <v>56</v>
      </c>
      <c r="D24" s="4" t="s">
        <v>56</v>
      </c>
    </row>
    <row r="25" spans="2:4" ht="39">
      <c r="B25" s="3" t="s">
        <v>51</v>
      </c>
      <c r="C25" s="4" t="s">
        <v>56</v>
      </c>
      <c r="D25" s="4" t="s">
        <v>56</v>
      </c>
    </row>
    <row r="26" spans="2:4" ht="39">
      <c r="B26" s="3" t="s">
        <v>52</v>
      </c>
      <c r="C26" s="4" t="s">
        <v>56</v>
      </c>
      <c r="D26" s="4" t="s">
        <v>56</v>
      </c>
    </row>
    <row r="27" spans="2:4" ht="2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2025-08-11T04:01:27Z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