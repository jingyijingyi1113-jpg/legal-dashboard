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1C6862BE-B342-4852-A7D6-478BEDB8A28F}"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<sst xmlns="http://schemas.openxmlformats.org/spreadsheetml/2006/main" count="227" uniqueCount="107">
  <si>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</si>
  <si>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</si>
  <si>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</si>
  <si>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</si>
  <si>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</si>
  <si>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</si>
  <si>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</si>
  <si>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</si>
  <si>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</si>
  <si>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</si>
  <si>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</si>
  <si>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</si>
  <si>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</si>
  <si>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</si>
  <si>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</si>
  <si>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</si>
  <si>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</si>
  <si>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</si>
  <si>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</si>
  <si>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</si>
  <si>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</si>
  <si>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</si>
  <si>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</si>
  <si>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</si>
  <si>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</si>
  <si>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</si>
  <si>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</si>
  <si>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</si>
  <si>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</si>
  <si>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</si>
  <si>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</si>
  <si>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</si>
  <si>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</si>
  <si>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</si>
  <si>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</si>
  <si>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</si>
  <si>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</si>
  <si>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</si>
  <si>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</si>
  <si>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</si>
  <si>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</si>
  <si>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</si>
  <si>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</si>
  <si>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</si>
  <si>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</si>
  <si>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</si>
  <si>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</si>
  <si>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</si>
  <si>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</si>
  <si>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</si>
  <si>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</si>
  <si>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</si>
  <si>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</si>
  <si>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</si>
  <si>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</si>
  <si>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</si>
  <si>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</si>
  <si>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</si>
  <si>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</si>
  <si>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</si>
  <si>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</si>
  <si>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</si>
  <si>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</si>
  <si>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</si>
  <si>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</si>
  <si>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</si>
  <si>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</si>
  <si>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</si>
  <si>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</si>
  <si>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</si>
  <si>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</si>
  <si>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</si>
  <si>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</si>
  <si>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</si>
  <si>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</si>
  <si>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</si>
  <si>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</si>
  <si>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</si>
  <si>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</si>
  <si>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</si>
  <si>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</si>
  <si>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</si>
  <si>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</si>
  <si>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</si>
  <si>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Providing training sessions/knowledge sharing</t>
  </si>
  <si>
    <t xml:space="preserve">TME </t>
  </si>
  <si>
    <t>Bulkhead</t>
  </si>
  <si>
    <t>境外董事培训</t>
  </si>
  <si>
    <t>13G allocation and checking</t>
  </si>
  <si>
    <t>Huya</t>
  </si>
  <si>
    <t>offer disucssion</t>
  </si>
  <si>
    <t>培训录制补录</t>
  </si>
  <si>
    <t>报价及LOI LSD讨论</t>
  </si>
  <si>
    <t>TPP</t>
  </si>
  <si>
    <t>RMB fund港股披露</t>
  </si>
  <si>
    <t>星锐</t>
  </si>
  <si>
    <t>review draft SPA, discuss internally certain comments, and review further revised SPA</t>
  </si>
  <si>
    <t>受益人登记讨论</t>
  </si>
  <si>
    <t>BVP Fund II</t>
  </si>
  <si>
    <t>Review draft side letter, and BVP response to KIL</t>
  </si>
  <si>
    <t>review revised SHA, discuss with Josh about data requested for evaluation of offer</t>
  </si>
  <si>
    <t>LSD 讨论，报价</t>
  </si>
  <si>
    <t>普众</t>
  </si>
  <si>
    <t>怪兽投资案</t>
  </si>
  <si>
    <t>review SHA and collect input from internal team， further review revised SHA</t>
  </si>
  <si>
    <t>主体选择讨论，律师选聘，NRL</t>
  </si>
  <si>
    <t>signing logistics and regulatory update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</si>
</sst>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0" fillId="2" borderId="0" xfId="0" applyFill="1">
      <alignment vertical="center"/>
    </xf>
    <xf numFmtId="0" fontId="1" fillId="2" borderId="4" xfId="0" applyFont="1" applyFill="1" applyBorder="1" applyAlignment="1">
      <alignment vertical="center" wrapText="1"/>
    </xf>
    <xf numFmtId="0" fontId="9" fillId="2" borderId="4" xfId="0" applyFont="1" applyFill="1" applyBorder="1" applyAlignment="1">
      <alignment vertical="center" wrapText="1"/>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5" fillId="2" borderId="4" xfId="0" applyFont="1" applyFill="1" applyBorder="1">
      <alignment vertical="center"/>
    </xf>
    <xf numFmtId="0" fontId="1" fillId="2" borderId="8"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2"/>
  <sheetViews>
    <sheetView tabSelected="1" zoomScale="115" zoomScaleNormal="115" workbookViewId="0">
      <selection activeCell="D5" sqref="D5"/>
    </sheetView>
  </sheetViews>
  <sheetFormatPr defaultColWidth="9" defaultRowHeight="14.4"/>
  <cols>
    <col min="3" max="3" width="34.44140625" style="5" customWidth="1"/>
    <col min="4" max="4" width="15.109375" customWidth="1"/>
    <col min="5" max="5" width="10.5546875" customWidth="1"/>
    <col min="6" max="6" width="29.88671875" style="5" customWidth="1"/>
    <col min="8" max="8" width="41.5546875" style="5" customWidth="1"/>
    <col min="9" max="9" width="39.77734375" customWidth="1"/>
  </cols>
  <sheetData>
    <row r="1" spans="2:9" s="19" customFormat="1">
      <c r="C1" s="22"/>
      <c r="F1" s="22"/>
      <c r="H1" s="22"/>
    </row>
    <row r="2" spans="2:9" s="19" customFormat="1" ht="27.6">
      <c r="B2" s="23" t="s">
        <v>0</v>
      </c>
      <c r="C2" s="24" t="s">
        <v>64</v>
      </c>
      <c r="D2" s="24" t="s">
        <v>1</v>
      </c>
      <c r="E2" s="24" t="s">
        <v>72</v>
      </c>
      <c r="F2" s="24" t="s">
        <v>73</v>
      </c>
      <c r="G2" s="24" t="s">
        <v>2</v>
      </c>
      <c r="H2" s="24" t="s">
        <v>3</v>
      </c>
      <c r="I2" s="25" t="s">
        <v>4</v>
      </c>
    </row>
    <row r="3" spans="2:9" s="19" customFormat="1" ht="207.9" customHeight="1">
      <c r="B3" s="26" t="s">
        <v>5</v>
      </c>
      <c r="C3" s="27" t="s">
        <v>6</v>
      </c>
      <c r="D3" s="27" t="s">
        <v>7</v>
      </c>
      <c r="E3" s="27" t="s">
        <v>71</v>
      </c>
      <c r="F3" s="27" t="s">
        <v>74</v>
      </c>
      <c r="G3" s="27" t="s">
        <v>8</v>
      </c>
      <c r="H3" s="27" t="s">
        <v>9</v>
      </c>
      <c r="I3" s="28" t="s">
        <v>10</v>
      </c>
    </row>
    <row r="4" spans="2:9" s="19" customFormat="1" ht="41.4">
      <c r="B4" s="16" t="s">
        <v>75</v>
      </c>
      <c r="C4" s="20" t="s">
        <v>12</v>
      </c>
      <c r="D4" s="18" t="s">
        <v>76</v>
      </c>
      <c r="E4" s="18" t="s">
        <v>37</v>
      </c>
      <c r="F4" s="20" t="s">
        <v>70</v>
      </c>
      <c r="G4" s="18">
        <v>1</v>
      </c>
      <c r="H4" s="17" t="s">
        <v>68</v>
      </c>
      <c r="I4" s="21" t="s">
        <v>77</v>
      </c>
    </row>
    <row r="5" spans="2:9" s="19" customFormat="1" ht="41.4">
      <c r="B5" s="16" t="s">
        <v>75</v>
      </c>
      <c r="C5" s="17" t="s">
        <v>12</v>
      </c>
      <c r="D5" s="18" t="s">
        <v>76</v>
      </c>
      <c r="E5" s="35" t="s">
        <v>37</v>
      </c>
      <c r="F5" s="17" t="s">
        <v>70</v>
      </c>
      <c r="G5" s="18">
        <v>1.2</v>
      </c>
      <c r="H5" s="17" t="s">
        <v>68</v>
      </c>
      <c r="I5" s="36" t="s">
        <v>106</v>
      </c>
    </row>
    <row r="6" spans="2:9" s="19" customFormat="1" ht="41.4">
      <c r="B6" s="16" t="s">
        <v>75</v>
      </c>
      <c r="C6" s="17" t="s">
        <v>12</v>
      </c>
      <c r="D6" s="18" t="s">
        <v>76</v>
      </c>
      <c r="E6" s="35" t="s">
        <v>37</v>
      </c>
      <c r="F6" s="17" t="s">
        <v>70</v>
      </c>
      <c r="G6" s="18">
        <v>1.5</v>
      </c>
      <c r="H6" s="17" t="s">
        <v>68</v>
      </c>
      <c r="I6" s="36" t="s">
        <v>100</v>
      </c>
    </row>
    <row r="7" spans="2:9" s="19" customFormat="1" ht="41.4">
      <c r="B7" s="16" t="s">
        <v>75</v>
      </c>
      <c r="C7" s="17" t="s">
        <v>13</v>
      </c>
      <c r="D7" s="18" t="s">
        <v>102</v>
      </c>
      <c r="E7" s="35" t="s">
        <v>37</v>
      </c>
      <c r="F7" s="17" t="s">
        <v>70</v>
      </c>
      <c r="G7" s="18">
        <v>2</v>
      </c>
      <c r="H7" s="17" t="s">
        <v>66</v>
      </c>
      <c r="I7" s="36" t="s">
        <v>105</v>
      </c>
    </row>
    <row r="8" spans="2:9" s="19" customFormat="1" ht="41.4">
      <c r="B8" s="16" t="s">
        <v>75</v>
      </c>
      <c r="C8" s="17" t="s">
        <v>13</v>
      </c>
      <c r="D8" s="18" t="s">
        <v>95</v>
      </c>
      <c r="E8" s="35" t="s">
        <v>37</v>
      </c>
      <c r="F8" s="17" t="s">
        <v>70</v>
      </c>
      <c r="G8" s="18">
        <v>4</v>
      </c>
      <c r="H8" s="17" t="s">
        <v>66</v>
      </c>
      <c r="I8" s="36" t="s">
        <v>96</v>
      </c>
    </row>
    <row r="9" spans="2:9" s="19" customFormat="1" ht="41.4">
      <c r="B9" s="16" t="s">
        <v>75</v>
      </c>
      <c r="C9" s="17" t="s">
        <v>14</v>
      </c>
      <c r="D9" s="18" t="s">
        <v>85</v>
      </c>
      <c r="E9" s="35" t="s">
        <v>37</v>
      </c>
      <c r="F9" s="17" t="s">
        <v>70</v>
      </c>
      <c r="G9" s="18">
        <v>1</v>
      </c>
      <c r="H9" s="17" t="s">
        <v>68</v>
      </c>
      <c r="I9" s="36" t="s">
        <v>97</v>
      </c>
    </row>
    <row r="10" spans="2:9" s="19" customFormat="1" ht="41.4">
      <c r="B10" s="16" t="s">
        <v>75</v>
      </c>
      <c r="C10" s="17" t="s">
        <v>13</v>
      </c>
      <c r="D10" s="18" t="s">
        <v>95</v>
      </c>
      <c r="E10" s="35" t="s">
        <v>37</v>
      </c>
      <c r="F10" s="17" t="s">
        <v>70</v>
      </c>
      <c r="G10" s="18">
        <v>5</v>
      </c>
      <c r="H10" s="17" t="s">
        <v>66</v>
      </c>
      <c r="I10" s="36" t="s">
        <v>104</v>
      </c>
    </row>
    <row r="11" spans="2:9" s="19" customFormat="1" ht="41.4">
      <c r="B11" s="16" t="s">
        <v>75</v>
      </c>
      <c r="C11" s="17" t="s">
        <v>13</v>
      </c>
      <c r="D11" s="18" t="s">
        <v>98</v>
      </c>
      <c r="E11" s="35" t="s">
        <v>37</v>
      </c>
      <c r="F11" s="17" t="s">
        <v>70</v>
      </c>
      <c r="G11" s="18">
        <v>5</v>
      </c>
      <c r="H11" s="17" t="s">
        <v>66</v>
      </c>
      <c r="I11" s="36" t="s">
        <v>99</v>
      </c>
    </row>
    <row r="12" spans="2:9" s="19" customFormat="1" ht="41.4">
      <c r="B12" s="16" t="s">
        <v>75</v>
      </c>
      <c r="C12" s="17" t="s">
        <v>14</v>
      </c>
      <c r="D12" s="18" t="s">
        <v>86</v>
      </c>
      <c r="E12" s="35" t="s">
        <v>37</v>
      </c>
      <c r="F12" s="17" t="s">
        <v>70</v>
      </c>
      <c r="G12" s="18">
        <v>0.5</v>
      </c>
      <c r="H12" s="17" t="s">
        <v>66</v>
      </c>
      <c r="I12" s="36" t="s">
        <v>101</v>
      </c>
    </row>
    <row r="13" spans="2:9" s="19" customFormat="1" ht="41.4">
      <c r="B13" s="16" t="s">
        <v>75</v>
      </c>
      <c r="C13" s="17" t="s">
        <v>12</v>
      </c>
      <c r="D13" s="18" t="s">
        <v>89</v>
      </c>
      <c r="E13" s="35" t="s">
        <v>37</v>
      </c>
      <c r="F13" s="17" t="s">
        <v>70</v>
      </c>
      <c r="G13" s="18">
        <v>1.5</v>
      </c>
      <c r="H13" s="17" t="s">
        <v>68</v>
      </c>
      <c r="I13" s="36" t="s">
        <v>90</v>
      </c>
    </row>
    <row r="14" spans="2:9" s="19" customFormat="1" ht="41.4">
      <c r="B14" s="16" t="s">
        <v>75</v>
      </c>
      <c r="C14" s="17" t="s">
        <v>14</v>
      </c>
      <c r="D14" s="18" t="s">
        <v>93</v>
      </c>
      <c r="E14" s="35" t="s">
        <v>37</v>
      </c>
      <c r="F14" s="17" t="s">
        <v>70</v>
      </c>
      <c r="G14" s="18">
        <v>1</v>
      </c>
      <c r="H14" s="17" t="s">
        <v>68</v>
      </c>
      <c r="I14" s="36" t="s">
        <v>94</v>
      </c>
    </row>
    <row r="15" spans="2:9" s="19" customFormat="1" ht="41.4">
      <c r="B15" s="16" t="s">
        <v>78</v>
      </c>
      <c r="C15" s="20" t="s">
        <v>82</v>
      </c>
      <c r="D15" s="18" t="s">
        <v>87</v>
      </c>
      <c r="E15" s="18" t="s">
        <v>37</v>
      </c>
      <c r="F15" s="20" t="s">
        <v>70</v>
      </c>
      <c r="G15" s="18">
        <v>1</v>
      </c>
      <c r="H15" s="17" t="s">
        <v>20</v>
      </c>
      <c r="I15" s="21" t="s">
        <v>91</v>
      </c>
    </row>
    <row r="16" spans="2:9" s="19" customFormat="1" ht="41.4">
      <c r="B16" s="16" t="s">
        <v>75</v>
      </c>
      <c r="C16" s="17" t="s">
        <v>14</v>
      </c>
      <c r="D16" s="18" t="s">
        <v>89</v>
      </c>
      <c r="E16" s="35" t="s">
        <v>37</v>
      </c>
      <c r="F16" s="17" t="s">
        <v>70</v>
      </c>
      <c r="G16" s="18">
        <v>1</v>
      </c>
      <c r="H16" s="17" t="s">
        <v>68</v>
      </c>
      <c r="I16" s="36" t="s">
        <v>103</v>
      </c>
    </row>
    <row r="17" spans="2:9" s="19" customFormat="1" ht="41.4">
      <c r="B17" s="16" t="s">
        <v>75</v>
      </c>
      <c r="C17" s="17" t="s">
        <v>13</v>
      </c>
      <c r="D17" s="18" t="s">
        <v>86</v>
      </c>
      <c r="E17" s="35" t="s">
        <v>37</v>
      </c>
      <c r="F17" s="17" t="s">
        <v>70</v>
      </c>
      <c r="G17" s="18">
        <v>1.5</v>
      </c>
      <c r="H17" s="17" t="s">
        <v>68</v>
      </c>
      <c r="I17" s="36" t="s">
        <v>92</v>
      </c>
    </row>
    <row r="18" spans="2:9" s="19" customFormat="1" ht="41.4">
      <c r="B18" s="16" t="s">
        <v>78</v>
      </c>
      <c r="C18" s="20" t="s">
        <v>82</v>
      </c>
      <c r="D18" s="18" t="s">
        <v>83</v>
      </c>
      <c r="E18" s="18" t="s">
        <v>37</v>
      </c>
      <c r="F18" s="20" t="s">
        <v>70</v>
      </c>
      <c r="G18" s="18">
        <v>0</v>
      </c>
      <c r="H18" s="17" t="s">
        <v>84</v>
      </c>
      <c r="I18" s="21" t="s">
        <v>88</v>
      </c>
    </row>
    <row r="19" spans="2:9" s="19" customFormat="1" ht="27.6">
      <c r="B19" s="16" t="s">
        <v>78</v>
      </c>
      <c r="C19" s="20" t="s">
        <v>16</v>
      </c>
      <c r="D19" s="18" t="s">
        <v>79</v>
      </c>
      <c r="E19" s="18" t="s">
        <v>24</v>
      </c>
      <c r="F19" s="20"/>
      <c r="G19" s="18">
        <v>2</v>
      </c>
      <c r="H19" s="20" t="s">
        <v>80</v>
      </c>
      <c r="I19" s="21" t="s">
        <v>81</v>
      </c>
    </row>
    <row r="20" spans="2:9">
      <c r="B20" s="11"/>
      <c r="C20" s="12"/>
      <c r="D20" s="13"/>
      <c r="E20" s="13"/>
      <c r="F20" s="15" t="s">
        <v>61</v>
      </c>
      <c r="G20" s="32">
        <f>SUM(G4:G19)</f>
        <v>29.2</v>
      </c>
      <c r="H20" s="33"/>
      <c r="I20" s="34"/>
    </row>
    <row r="21" spans="2:9" ht="15" thickBot="1">
      <c r="B21" s="8"/>
      <c r="C21" s="9"/>
      <c r="D21" s="10"/>
      <c r="E21" s="10"/>
      <c r="F21" s="14" t="s">
        <v>62</v>
      </c>
      <c r="G21" s="29">
        <v>4</v>
      </c>
      <c r="H21" s="30"/>
      <c r="I21" s="31"/>
    </row>
    <row r="22" spans="2:9" ht="15" thickTop="1"/>
  </sheetData>
  <mergeCells count="2">
    <mergeCell ref="G21:I21"/>
    <mergeCell ref="G20:I20"/>
  </mergeCells>
  <phoneticPr fontId="7" type="noConversion"/>
  <dataValidations count="3">
    <dataValidation type="list" errorStyle="warning" allowBlank="1" sqref="D4:D6 D15 D18:D19" xr:uid="{AB24A34C-8FC5-4EB5-A103-0BF3DC864A3D}">
      <formula1>项目事项分类项目名称</formula1>
    </dataValidation>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C20:C21 C5:C14 C16:C17</xm:sqref>
        </x14:dataValidation>
        <x14:dataValidation type="list" allowBlank="1" showInputMessage="1" showErrorMessage="1" xr:uid="{00000000-0002-0000-0000-000003000000}">
          <x14:formula1>
            <xm:f>数据标签!$B$12:$C$12</xm:f>
          </x14:formula1>
          <xm:sqref>E20:E21 E5:E14 E16:E17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7" t="s">
        <v>69</v>
      </c>
      <c r="C4" s="7" t="s">
        <v>69</v>
      </c>
      <c r="D4" s="7" t="s">
        <v>69</v>
      </c>
      <c r="E4" s="3" t="s">
        <v>23</v>
      </c>
      <c r="F4" s="6" t="s">
        <v>56</v>
      </c>
      <c r="G4" s="3" t="s">
        <v>53</v>
      </c>
      <c r="H4" s="3" t="s">
        <v>55</v>
      </c>
    </row>
    <row r="5" spans="1:8" ht="27.6">
      <c r="B5" s="3" t="s">
        <v>22</v>
      </c>
      <c r="C5" s="3" t="s">
        <v>22</v>
      </c>
      <c r="D5" s="3" t="s">
        <v>22</v>
      </c>
      <c r="E5" s="7" t="s">
        <v>26</v>
      </c>
      <c r="F5" s="6" t="s">
        <v>24</v>
      </c>
      <c r="G5" s="7" t="s">
        <v>27</v>
      </c>
      <c r="H5" s="7" t="s">
        <v>28</v>
      </c>
    </row>
    <row r="6" spans="1:8" ht="27.6">
      <c r="B6" s="3" t="s">
        <v>25</v>
      </c>
      <c r="C6" s="3" t="s">
        <v>25</v>
      </c>
      <c r="D6" s="3" t="s">
        <v>25</v>
      </c>
      <c r="E6" s="7" t="s">
        <v>30</v>
      </c>
      <c r="F6" s="6"/>
      <c r="G6" s="7" t="s">
        <v>31</v>
      </c>
      <c r="H6" s="7" t="s">
        <v>32</v>
      </c>
    </row>
    <row r="7" spans="1:8" ht="52.8">
      <c r="B7" s="3" t="s">
        <v>29</v>
      </c>
      <c r="C7" s="3" t="s">
        <v>29</v>
      </c>
      <c r="D7" s="3" t="s">
        <v>29</v>
      </c>
      <c r="E7" s="7" t="s">
        <v>34</v>
      </c>
      <c r="G7" s="7" t="s">
        <v>24</v>
      </c>
      <c r="H7" s="7" t="s">
        <v>35</v>
      </c>
    </row>
    <row r="8" spans="1:8">
      <c r="B8" s="3" t="s">
        <v>33</v>
      </c>
      <c r="C8" s="3" t="s">
        <v>33</v>
      </c>
      <c r="D8" s="3" t="s">
        <v>33</v>
      </c>
      <c r="E8" s="7"/>
      <c r="G8" s="7"/>
      <c r="H8" s="7" t="s">
        <v>65</v>
      </c>
    </row>
    <row r="9" spans="1:8">
      <c r="B9" s="1" t="s">
        <v>24</v>
      </c>
      <c r="C9" s="1" t="s">
        <v>24</v>
      </c>
      <c r="D9" s="1" t="s">
        <v>24</v>
      </c>
      <c r="E9" s="7"/>
      <c r="F9" s="6"/>
      <c r="G9" s="7"/>
      <c r="H9" s="7" t="s">
        <v>60</v>
      </c>
    </row>
    <row r="10" spans="1:8">
      <c r="C10" s="7"/>
      <c r="D10" s="7"/>
      <c r="H10" s="7"/>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2025-11-04T07:42:30Z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