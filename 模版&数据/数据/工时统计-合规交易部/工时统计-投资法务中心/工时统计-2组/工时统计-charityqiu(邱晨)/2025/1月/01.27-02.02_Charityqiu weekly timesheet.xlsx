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0584BD18-F1A1-472F-9A29-EF624F1C1B51}"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alcChain>
</file>

<file path=xl/sharedStrings.xml><?xml version="1.0" encoding="utf-8"?>
<sst xmlns="http://schemas.openxmlformats.org/spreadsheetml/2006/main" count="148" uniqueCount="83">
  <si>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</si>
  <si>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</si>
  <si>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</si>
  <si>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</si>
  <si>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</si>
  <si>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</si>
  <si>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</si>
  <si>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</si>
  <si>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</si>
  <si>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</si>
  <si>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</si>
  <si>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</si>
  <si>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</si>
  <si>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</si>
  <si>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</si>
  <si>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</si>
  <si>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</si>
  <si>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</si>
  <si>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</si>
  <si>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</si>
  <si>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</si>
  <si>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</si>
  <si>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</si>
  <si>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</si>
  <si>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</si>
  <si>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</si>
  <si>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</si>
  <si>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</si>
  <si>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</si>
  <si>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</si>
  <si>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</si>
  <si>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</si>
  <si>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</si>
  <si>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</si>
  <si>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</si>
  <si>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</si>
  <si>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</si>
  <si>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</si>
  <si>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</si>
  <si>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</si>
  <si>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</si>
  <si>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</si>
  <si>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</si>
  <si>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</si>
  <si>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</si>
  <si>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</si>
  <si>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</si>
  <si>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</si>
  <si>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</si>
  <si>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</si>
  <si>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</si>
  <si>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</si>
  <si>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</si>
  <si>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</si>
  <si>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</si>
  <si>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</si>
  <si>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</si>
  <si>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</si>
  <si>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</si>
  <si>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</si>
  <si>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</si>
  <si>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</si>
  <si>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</si>
  <si>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</si>
  <si>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</si>
  <si>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</si>
  <si>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</si>
  <si>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</si>
  <si>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</si>
  <si>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</si>
  <si>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</si>
  <si>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</si>
  <si>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</si>
  <si>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</si>
  <si>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</si>
  <si>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</si>
  <si>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</si>
  <si>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</si>
  <si>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Riot</t>
  </si>
  <si>
    <t>TS</t>
  </si>
  <si>
    <t>EL and NDA</t>
  </si>
  <si>
    <t>reverting to board query</t>
  </si>
  <si>
    <t>finalize founder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</si>
</sst>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0" fillId="3" borderId="0" xfId="0" applyFill="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zoomScale="80" zoomScaleNormal="100" workbookViewId="0">
      <selection activeCell="H7" sqref="H7"/>
    </sheetView>
  </sheetViews>
  <sheetFormatPr defaultColWidth="9" defaultRowHeight="14.5"/>
  <cols>
    <col min="3" max="3" width="34.453125" style="11" customWidth="1"/>
    <col min="4" max="4" width="15.08984375" customWidth="1"/>
    <col min="5" max="5" width="10.54296875" customWidth="1"/>
    <col min="6" max="6" width="29.90625" style="11" customWidth="1"/>
    <col min="8" max="8" width="41.54296875" style="11" customWidth="1"/>
    <col min="9" max="9" width="39.90625" customWidth="1"/>
  </cols>
  <sheetData>
    <row r="2" spans="2:9" ht="26">
      <c r="B2" s="4" t="s">
        <v>0</v>
      </c>
      <c r="C2" s="5" t="s">
        <v>70</v>
      </c>
      <c r="D2" s="5" t="s">
        <v>1</v>
      </c>
      <c r="E2" s="5" t="s">
        <v>2</v>
      </c>
      <c r="F2" s="5" t="s">
        <v>3</v>
      </c>
      <c r="G2" s="5" t="s">
        <v>4</v>
      </c>
      <c r="H2" s="5" t="s">
        <v>5</v>
      </c>
      <c r="I2" s="8" t="s">
        <v>6</v>
      </c>
    </row>
    <row r="3" spans="2:9" ht="207.9" customHeight="1">
      <c r="B3" s="6" t="s">
        <v>7</v>
      </c>
      <c r="C3" s="7" t="s">
        <v>8</v>
      </c>
      <c r="D3" s="7" t="s">
        <v>9</v>
      </c>
      <c r="E3" s="7" t="s">
        <v>59</v>
      </c>
      <c r="F3" s="7" t="s">
        <v>57</v>
      </c>
      <c r="G3" s="7" t="s">
        <v>10</v>
      </c>
      <c r="H3" s="7" t="s">
        <v>11</v>
      </c>
      <c r="I3" s="9" t="s">
        <v>12</v>
      </c>
    </row>
    <row r="4" spans="2:9" s="33" customFormat="1" ht="39">
      <c r="B4" s="29" t="s">
        <v>72</v>
      </c>
      <c r="C4" s="30" t="s">
        <v>14</v>
      </c>
      <c r="D4" s="31" t="s">
        <v>73</v>
      </c>
      <c r="E4" s="32" t="s">
        <v>40</v>
      </c>
      <c r="F4" s="30" t="s">
        <v>74</v>
      </c>
      <c r="G4" s="32">
        <v>0.5</v>
      </c>
      <c r="H4" s="30" t="s">
        <v>20</v>
      </c>
      <c r="I4" s="22" t="s">
        <v>80</v>
      </c>
    </row>
    <row r="5" spans="2:9" s="33" customFormat="1" ht="39">
      <c r="B5" s="29" t="s">
        <v>72</v>
      </c>
      <c r="C5" s="30" t="s">
        <v>16</v>
      </c>
      <c r="D5" s="31" t="s">
        <v>78</v>
      </c>
      <c r="E5" s="32" t="s">
        <v>40</v>
      </c>
      <c r="F5" s="30" t="s">
        <v>74</v>
      </c>
      <c r="G5" s="32">
        <v>1.5</v>
      </c>
      <c r="H5" s="30" t="s">
        <v>20</v>
      </c>
      <c r="I5" s="22" t="s">
        <v>82</v>
      </c>
    </row>
    <row r="6" spans="2:9" s="33" customFormat="1" ht="39">
      <c r="B6" s="29" t="s">
        <v>72</v>
      </c>
      <c r="C6" s="30" t="s">
        <v>16</v>
      </c>
      <c r="D6" s="31" t="s">
        <v>78</v>
      </c>
      <c r="E6" s="32" t="s">
        <v>40</v>
      </c>
      <c r="F6" s="30" t="s">
        <v>74</v>
      </c>
      <c r="G6" s="32">
        <v>1</v>
      </c>
      <c r="H6" s="30" t="s">
        <v>36</v>
      </c>
      <c r="I6" s="22" t="s">
        <v>81</v>
      </c>
    </row>
    <row r="7" spans="2:9" s="33" customFormat="1" ht="39">
      <c r="B7" s="29" t="s">
        <v>72</v>
      </c>
      <c r="C7" s="30" t="s">
        <v>14</v>
      </c>
      <c r="D7" s="31" t="s">
        <v>73</v>
      </c>
      <c r="E7" s="32" t="s">
        <v>40</v>
      </c>
      <c r="F7" s="30" t="s">
        <v>74</v>
      </c>
      <c r="G7" s="32">
        <v>2</v>
      </c>
      <c r="H7" s="30" t="s">
        <v>20</v>
      </c>
      <c r="I7" s="22" t="s">
        <v>79</v>
      </c>
    </row>
    <row r="8" spans="2:9" s="33" customFormat="1" ht="26">
      <c r="B8" s="29" t="s">
        <v>72</v>
      </c>
      <c r="C8" s="30" t="s">
        <v>18</v>
      </c>
      <c r="D8" s="31" t="s">
        <v>76</v>
      </c>
      <c r="E8" s="32" t="s">
        <v>27</v>
      </c>
      <c r="F8" s="30"/>
      <c r="G8" s="32">
        <v>2</v>
      </c>
      <c r="H8" s="30" t="s">
        <v>77</v>
      </c>
      <c r="I8" s="22" t="s">
        <v>75</v>
      </c>
    </row>
    <row r="9" spans="2:9">
      <c r="B9" s="17"/>
      <c r="C9" s="18"/>
      <c r="D9" s="19"/>
      <c r="E9" s="19"/>
      <c r="F9" s="21" t="s">
        <v>67</v>
      </c>
      <c r="G9" s="26">
        <f>SUM(G3:G8)</f>
        <v>7</v>
      </c>
      <c r="H9" s="27"/>
      <c r="I9" s="28"/>
    </row>
    <row r="10" spans="2:9" ht="15" thickBot="1">
      <c r="B10" s="14"/>
      <c r="C10" s="15"/>
      <c r="D10" s="16"/>
      <c r="E10" s="16"/>
      <c r="F10" s="20" t="s">
        <v>68</v>
      </c>
      <c r="G10" s="23">
        <v>1</v>
      </c>
      <c r="H10" s="24"/>
      <c r="I10" s="25"/>
    </row>
    <row r="11" spans="2:9" ht="15" thickTop="1"/>
  </sheetData>
  <mergeCells count="2">
    <mergeCell ref="G10:I10"/>
    <mergeCell ref="G9:I9"/>
  </mergeCells>
  <phoneticPr fontId="7" type="noConversion"/>
  <dataValidations count="3">
    <dataValidation type="list" errorStyle="warning" allowBlank="1" sqref="D4:D8" xr:uid="{F3857C4E-9525-4F1F-819A-9E6BEBB79C0E}">
      <formula1>项目事项分类项目名称</formula1>
    </dataValidation>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xm:sqref>
        </x14:dataValidation>
        <x14:dataValidation type="list" allowBlank="1" showInputMessage="1" showErrorMessage="1" xr:uid="{00000000-0002-0000-0000-000002000000}">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90625" defaultRowHeight="13"/>
  <cols>
    <col min="1" max="1" width="8.90625" style="1"/>
    <col min="2" max="2" width="26.90625" style="1" customWidth="1"/>
    <col min="3" max="3" width="21.6328125" style="1" customWidth="1"/>
    <col min="4" max="7" width="28.54296875" style="1" customWidth="1"/>
    <col min="8" max="8" width="27.36328125" style="1" customWidth="1"/>
    <col min="9" max="16384" width="8.9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2"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63</v>
      </c>
      <c r="C20" s="10" t="s">
        <v>56</v>
      </c>
      <c r="D20" s="10" t="s">
        <v>56</v>
      </c>
    </row>
    <row r="21" spans="2:4" ht="39">
      <c r="B21" s="3" t="s">
        <v>50</v>
      </c>
      <c r="C21" s="10" t="s">
        <v>56</v>
      </c>
      <c r="D21" s="10" t="s">
        <v>56</v>
      </c>
    </row>
    <row r="22" spans="2:4" ht="39">
      <c r="B22" s="3" t="s">
        <v>64</v>
      </c>
      <c r="C22" s="10" t="s">
        <v>56</v>
      </c>
      <c r="D22" s="10" t="s">
        <v>56</v>
      </c>
    </row>
    <row r="23" spans="2:4" ht="39">
      <c r="B23" s="3" t="s">
        <v>65</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H101117</cp:lastModifiedBy>
  <dcterms:created xsi:type="dcterms:W3CDTF">2024-12-10T02:24:00Z</dcterms:created>
  <dcterms:modified xsi:type="dcterms:W3CDTF">2025-02-03T06:55:55Z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