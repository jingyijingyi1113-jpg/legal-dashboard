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EAC51907-5B4B-483E-B265-E3DB6A505549}"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 name="项目事项分类项目名称">'[1]Exhibit II - Matter categories'!$A$1:$A$13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 r="A4" i="1"/>
  <c r="A4"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<sst xmlns="http://schemas.openxmlformats.org/spreadsheetml/2006/main" count="372" uniqueCount="129">
  <si>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</si>
  <si>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</si>
  <si>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</si>
  <si>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</si>
  <si>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</si>
  <si>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</si>
  <si>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</si>
  <si>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</si>
  <si>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</si>
  <si>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</si>
  <si>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</si>
  <si>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</si>
  <si>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</si>
  <si>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</si>
  <si>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</si>
  <si>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</si>
  <si>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</si>
  <si>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</si>
  <si>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</si>
  <si>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</si>
  <si>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</si>
  <si>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</si>
  <si>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</si>
  <si>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</si>
  <si>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</si>
  <si>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</si>
  <si>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</si>
  <si>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</si>
  <si>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</si>
  <si>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</si>
  <si>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</si>
  <si>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</si>
  <si>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</si>
  <si>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</si>
  <si>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</si>
  <si>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</si>
  <si>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</si>
  <si>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</si>
  <si>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</si>
  <si>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</si>
  <si>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</si>
  <si>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</si>
  <si>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</si>
  <si>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</si>
  <si>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</si>
  <si>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</si>
  <si>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</si>
  <si>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</si>
  <si>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</si>
  <si>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</si>
  <si>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</si>
  <si>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</si>
  <si>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</si>
  <si>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</si>
  <si>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</si>
  <si>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</si>
  <si>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</si>
  <si>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</si>
  <si>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</si>
  <si>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</si>
  <si>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</si>
  <si>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</si>
  <si>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</si>
  <si>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</si>
  <si>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</si>
  <si>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</si>
  <si>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</si>
  <si>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</si>
  <si>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</si>
  <si>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</si>
  <si>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</si>
  <si>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</si>
  <si>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</si>
  <si>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</si>
  <si>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</si>
  <si>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charityiqiu</t>
  </si>
  <si>
    <t>Ubisoft</t>
  </si>
  <si>
    <t>status call</t>
  </si>
  <si>
    <t>charityqiu</t>
  </si>
  <si>
    <t>timesheet</t>
  </si>
  <si>
    <t>Recording/reviewing deals updates/weekly time reports/other team summaries</t>
  </si>
  <si>
    <t>Timesheet</t>
  </si>
  <si>
    <t>Public - Knowledge Accumulation &amp; Sharing</t>
  </si>
  <si>
    <t>Hotdesk</t>
  </si>
  <si>
    <t>Providing training sessions/knowledge sharing</t>
  </si>
  <si>
    <t>Bulkhead</t>
  </si>
  <si>
    <t>境外董事培训</t>
  </si>
  <si>
    <t>Huya</t>
  </si>
  <si>
    <t>offer disucssion</t>
  </si>
  <si>
    <t>培训录制补录</t>
  </si>
  <si>
    <t>普众</t>
  </si>
  <si>
    <t>Midsummer Studio</t>
  </si>
  <si>
    <t>co-investor discussion</t>
  </si>
  <si>
    <t>trading during blackout discussion with PP</t>
  </si>
  <si>
    <t>review internal SHA comments, rever to company</t>
  </si>
  <si>
    <t>Kick off call, DD discussion</t>
  </si>
  <si>
    <t>Duolingo</t>
  </si>
  <si>
    <t>follow on investment</t>
  </si>
  <si>
    <t>DD list</t>
  </si>
  <si>
    <t>TME</t>
  </si>
  <si>
    <t xml:space="preserve"> 经营范围变更</t>
  </si>
  <si>
    <t>CFIUS评分标准</t>
  </si>
  <si>
    <t>SHA pending points</t>
  </si>
  <si>
    <t>SPA and DL review and comment</t>
  </si>
  <si>
    <t>SPA and DL comments</t>
  </si>
  <si>
    <t>call to disucss revised TS by company</t>
  </si>
  <si>
    <t xml:space="preserve">SPA internal disucssion </t>
  </si>
  <si>
    <t>SHA pending issue/SPA pending points discussion</t>
  </si>
  <si>
    <t>FDDR reliance letter review</t>
  </si>
  <si>
    <t>review revised SHA</t>
  </si>
  <si>
    <t>review SPA and consolidate comments</t>
  </si>
  <si>
    <t>13G filing record keeping</t>
  </si>
  <si>
    <t>supermaster covered call MCA signing</t>
  </si>
  <si>
    <t>linktime</t>
  </si>
  <si>
    <t>Linktime</t>
  </si>
  <si>
    <t>EGM voting</t>
  </si>
  <si>
    <t>Spotify</t>
  </si>
  <si>
    <t>Zeekr</t>
  </si>
  <si>
    <t>IC approval discussion</t>
  </si>
  <si>
    <t>Closing letter/Side letter</t>
  </si>
  <si>
    <t>Press release and NDRC</t>
  </si>
  <si>
    <t>关联方确认</t>
  </si>
  <si>
    <t>Edgar account printer setting</t>
  </si>
  <si>
    <t>CFIUS questionnaire and CRO agreements review, follow up DD, internal discussion on rating</t>
  </si>
  <si>
    <t>closing step plans</t>
  </si>
  <si>
    <t>Observer acceptance letter</t>
  </si>
  <si>
    <t>respond to Jushan's question about TRS issues</t>
  </si>
  <si>
    <t>LOI follow up with Roger</t>
  </si>
  <si>
    <t>intercompany loan settlement plan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</si>
</sst>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0" fillId="2" borderId="0" xfId="0" applyFill="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1" fillId="2" borderId="3" xfId="0" applyFont="1" applyFill="1" applyBorder="1">
      <alignment vertical="center"/>
    </xf>
    <xf numFmtId="0" fontId="1"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pplyAlignment="1">
      <alignment vertical="center" wrapText="1"/>
    </xf>
    <xf numFmtId="0" fontId="9" fillId="2" borderId="4" xfId="0" applyFont="1" applyFill="1" applyBorder="1" applyAlignment="1">
      <alignment vertical="center" wrapText="1"/>
    </xf>
    <xf numFmtId="0" fontId="5" fillId="2" borderId="4" xfId="0" applyFont="1" applyFill="1" applyBorder="1">
      <alignment vertical="center"/>
    </xf>
    <xf numFmtId="0" fontId="1" fillId="2" borderId="8" xfId="0" applyFont="1" applyFill="1" applyBorder="1" applyAlignment="1">
      <alignment vertical="center" wrapText="1"/>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1" fillId="2" borderId="17" xfId="0" applyFont="1" applyFill="1" applyBorder="1" applyAlignment="1">
      <alignment horizontal="left" vertical="center"/>
    </xf>
    <xf numFmtId="0" fontId="1" fillId="2" borderId="18" xfId="0" applyFont="1" applyFill="1" applyBorder="1" applyAlignment="1">
      <alignment horizontal="left" vertical="center"/>
    </xf>
    <xf numFmtId="0" fontId="1" fillId="2" borderId="11" xfId="0" applyFont="1" applyFill="1" applyBorder="1" applyAlignment="1">
      <alignment horizontal="left" vertical="center"/>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3"/>
  <sheetViews>
    <sheetView tabSelected="1" topLeftCell="A37" zoomScale="115" zoomScaleNormal="115" workbookViewId="0">
      <selection activeCell="E5" sqref="E5"/>
    </sheetView>
  </sheetViews>
  <sheetFormatPr defaultColWidth="9" defaultRowHeight="14.4"/>
  <cols>
    <col min="1" max="2" width="9" style="7"/>
    <col min="3" max="3" width="34.44140625" style="8" customWidth="1"/>
    <col min="4" max="4" width="15.109375" style="7" customWidth="1"/>
    <col min="5" max="5" width="10.5546875" style="7" customWidth="1"/>
    <col min="6" max="6" width="29.88671875" style="8" customWidth="1"/>
    <col min="7" max="7" width="9" style="7"/>
    <col min="8" max="8" width="41.5546875" style="8" customWidth="1"/>
    <col min="9" max="9" width="39.77734375" style="7" customWidth="1"/>
    <col min="10" max="16384" width="9" style="7"/>
  </cols>
  <sheetData>
    <row r="2" spans="1:9" ht="27.6">
      <c r="B2" s="9" t="s">
        <v>0</v>
      </c>
      <c r="C2" s="10" t="s">
        <v>64</v>
      </c>
      <c r="D2" s="10" t="s">
        <v>1</v>
      </c>
      <c r="E2" s="10" t="s">
        <v>72</v>
      </c>
      <c r="F2" s="10" t="s">
        <v>73</v>
      </c>
      <c r="G2" s="10" t="s">
        <v>2</v>
      </c>
      <c r="H2" s="10" t="s">
        <v>3</v>
      </c>
      <c r="I2" s="11" t="s">
        <v>4</v>
      </c>
    </row>
    <row r="3" spans="1:9" ht="207.9" customHeight="1">
      <c r="B3" s="12" t="s">
        <v>5</v>
      </c>
      <c r="C3" s="13" t="s">
        <v>6</v>
      </c>
      <c r="D3" s="13" t="s">
        <v>7</v>
      </c>
      <c r="E3" s="13" t="s">
        <v>71</v>
      </c>
      <c r="F3" s="13" t="s">
        <v>74</v>
      </c>
      <c r="G3" s="13" t="s">
        <v>8</v>
      </c>
      <c r="H3" s="13" t="s">
        <v>9</v>
      </c>
      <c r="I3" s="14" t="s">
        <v>10</v>
      </c>
    </row>
    <row r="4" spans="1:9" ht="41.4">
      <c r="A4" s="7" cm="1">
        <f t="array" aca="1" ref="A4" ca="1">4:32</f>
        <v>0</v>
      </c>
      <c r="B4" s="15" t="s">
        <v>75</v>
      </c>
      <c r="C4" s="16" t="s">
        <v>12</v>
      </c>
      <c r="D4" s="17" t="s">
        <v>76</v>
      </c>
      <c r="E4" s="17" t="s">
        <v>37</v>
      </c>
      <c r="F4" s="16" t="s">
        <v>70</v>
      </c>
      <c r="G4" s="17">
        <v>0.5</v>
      </c>
      <c r="H4" s="18" t="s">
        <v>68</v>
      </c>
      <c r="I4" s="19" t="s">
        <v>77</v>
      </c>
    </row>
    <row r="5" spans="1:9" ht="41.4">
      <c r="B5" s="15" t="s">
        <v>75</v>
      </c>
      <c r="C5" s="18" t="s">
        <v>12</v>
      </c>
      <c r="D5" s="17" t="s">
        <v>76</v>
      </c>
      <c r="E5" s="20" t="s">
        <v>37</v>
      </c>
      <c r="F5" s="18" t="s">
        <v>70</v>
      </c>
      <c r="G5" s="17">
        <v>0.5</v>
      </c>
      <c r="H5" s="18" t="s">
        <v>68</v>
      </c>
      <c r="I5" s="21" t="s">
        <v>92</v>
      </c>
    </row>
    <row r="6" spans="1:9" ht="41.4">
      <c r="B6" s="15" t="s">
        <v>75</v>
      </c>
      <c r="C6" s="18" t="s">
        <v>12</v>
      </c>
      <c r="D6" s="17" t="s">
        <v>76</v>
      </c>
      <c r="E6" s="20" t="s">
        <v>37</v>
      </c>
      <c r="F6" s="18" t="s">
        <v>70</v>
      </c>
      <c r="G6" s="17">
        <v>1.5</v>
      </c>
      <c r="H6" s="18" t="s">
        <v>68</v>
      </c>
      <c r="I6" s="21" t="s">
        <v>120</v>
      </c>
    </row>
    <row r="7" spans="1:9" ht="41.4">
      <c r="B7" s="15" t="s">
        <v>75</v>
      </c>
      <c r="C7" s="18" t="s">
        <v>12</v>
      </c>
      <c r="D7" s="17" t="s">
        <v>76</v>
      </c>
      <c r="E7" s="20" t="s">
        <v>37</v>
      </c>
      <c r="F7" s="18" t="s">
        <v>70</v>
      </c>
      <c r="G7" s="17">
        <v>1.5</v>
      </c>
      <c r="H7" s="18" t="s">
        <v>68</v>
      </c>
      <c r="I7" s="21" t="s">
        <v>102</v>
      </c>
    </row>
    <row r="8" spans="1:9" ht="41.4">
      <c r="B8" s="15" t="s">
        <v>75</v>
      </c>
      <c r="C8" s="18" t="s">
        <v>13</v>
      </c>
      <c r="D8" s="17" t="s">
        <v>90</v>
      </c>
      <c r="E8" s="20" t="s">
        <v>37</v>
      </c>
      <c r="F8" s="18" t="s">
        <v>70</v>
      </c>
      <c r="G8" s="17">
        <v>1</v>
      </c>
      <c r="H8" s="18" t="s">
        <v>66</v>
      </c>
      <c r="I8" s="21" t="s">
        <v>109</v>
      </c>
    </row>
    <row r="9" spans="1:9" ht="41.4">
      <c r="B9" s="15" t="s">
        <v>75</v>
      </c>
      <c r="C9" s="18" t="s">
        <v>13</v>
      </c>
      <c r="D9" s="17" t="s">
        <v>90</v>
      </c>
      <c r="E9" s="20" t="s">
        <v>37</v>
      </c>
      <c r="F9" s="18" t="s">
        <v>70</v>
      </c>
      <c r="G9" s="17">
        <v>2</v>
      </c>
      <c r="H9" s="18" t="s">
        <v>66</v>
      </c>
      <c r="I9" s="21" t="s">
        <v>104</v>
      </c>
    </row>
    <row r="10" spans="1:9" ht="41.4">
      <c r="B10" s="15" t="s">
        <v>75</v>
      </c>
      <c r="C10" s="18" t="s">
        <v>12</v>
      </c>
      <c r="D10" s="17" t="s">
        <v>76</v>
      </c>
      <c r="E10" s="20" t="s">
        <v>37</v>
      </c>
      <c r="F10" s="18" t="s">
        <v>70</v>
      </c>
      <c r="G10" s="17">
        <v>1.5</v>
      </c>
      <c r="H10" s="18" t="s">
        <v>68</v>
      </c>
      <c r="I10" s="21" t="s">
        <v>102</v>
      </c>
    </row>
    <row r="11" spans="1:9" ht="41.4">
      <c r="B11" s="15" t="s">
        <v>75</v>
      </c>
      <c r="C11" s="18" t="s">
        <v>13</v>
      </c>
      <c r="D11" s="17" t="s">
        <v>90</v>
      </c>
      <c r="E11" s="20" t="s">
        <v>37</v>
      </c>
      <c r="F11" s="18" t="s">
        <v>70</v>
      </c>
      <c r="G11" s="17">
        <v>1</v>
      </c>
      <c r="H11" s="18" t="s">
        <v>68</v>
      </c>
      <c r="I11" s="21" t="s">
        <v>107</v>
      </c>
    </row>
    <row r="12" spans="1:9" ht="41.4">
      <c r="B12" s="15" t="s">
        <v>75</v>
      </c>
      <c r="C12" s="18" t="s">
        <v>13</v>
      </c>
      <c r="D12" s="17" t="s">
        <v>90</v>
      </c>
      <c r="E12" s="20" t="s">
        <v>37</v>
      </c>
      <c r="F12" s="18" t="s">
        <v>70</v>
      </c>
      <c r="G12" s="17">
        <v>0.5</v>
      </c>
      <c r="H12" s="18" t="s">
        <v>66</v>
      </c>
      <c r="I12" s="21" t="s">
        <v>108</v>
      </c>
    </row>
    <row r="13" spans="1:9" ht="41.4">
      <c r="B13" s="15" t="s">
        <v>75</v>
      </c>
      <c r="C13" s="18" t="s">
        <v>12</v>
      </c>
      <c r="D13" s="17" t="s">
        <v>76</v>
      </c>
      <c r="E13" s="20" t="s">
        <v>37</v>
      </c>
      <c r="F13" s="18" t="s">
        <v>70</v>
      </c>
      <c r="G13" s="17">
        <v>1</v>
      </c>
      <c r="H13" s="18" t="s">
        <v>68</v>
      </c>
      <c r="I13" s="21" t="s">
        <v>124</v>
      </c>
    </row>
    <row r="14" spans="1:9" ht="41.4">
      <c r="B14" s="15" t="s">
        <v>75</v>
      </c>
      <c r="C14" s="18" t="s">
        <v>12</v>
      </c>
      <c r="D14" s="17" t="s">
        <v>76</v>
      </c>
      <c r="E14" s="20" t="s">
        <v>37</v>
      </c>
      <c r="F14" s="18" t="s">
        <v>70</v>
      </c>
      <c r="G14" s="17">
        <v>0.5</v>
      </c>
      <c r="H14" s="18" t="s">
        <v>68</v>
      </c>
      <c r="I14" s="21" t="s">
        <v>125</v>
      </c>
    </row>
    <row r="15" spans="1:9" ht="41.4">
      <c r="B15" s="15" t="s">
        <v>75</v>
      </c>
      <c r="C15" s="18" t="s">
        <v>12</v>
      </c>
      <c r="D15" s="17" t="s">
        <v>76</v>
      </c>
      <c r="E15" s="20" t="s">
        <v>37</v>
      </c>
      <c r="F15" s="18" t="s">
        <v>70</v>
      </c>
      <c r="G15" s="17">
        <v>1.5</v>
      </c>
      <c r="H15" s="18" t="s">
        <v>68</v>
      </c>
      <c r="I15" s="21" t="s">
        <v>119</v>
      </c>
    </row>
    <row r="16" spans="1:9" ht="41.4">
      <c r="B16" s="15" t="s">
        <v>75</v>
      </c>
      <c r="C16" s="18" t="s">
        <v>13</v>
      </c>
      <c r="D16" s="17" t="s">
        <v>90</v>
      </c>
      <c r="E16" s="20" t="s">
        <v>37</v>
      </c>
      <c r="F16" s="18" t="s">
        <v>70</v>
      </c>
      <c r="G16" s="17">
        <v>2.5</v>
      </c>
      <c r="H16" s="18" t="s">
        <v>68</v>
      </c>
      <c r="I16" s="21" t="s">
        <v>123</v>
      </c>
    </row>
    <row r="17" spans="2:9" ht="41.4">
      <c r="B17" s="15" t="s">
        <v>75</v>
      </c>
      <c r="C17" s="18" t="s">
        <v>13</v>
      </c>
      <c r="D17" s="17" t="s">
        <v>90</v>
      </c>
      <c r="E17" s="20" t="s">
        <v>37</v>
      </c>
      <c r="F17" s="18" t="s">
        <v>70</v>
      </c>
      <c r="G17" s="17">
        <v>1</v>
      </c>
      <c r="H17" s="18" t="s">
        <v>66</v>
      </c>
      <c r="I17" s="21" t="s">
        <v>94</v>
      </c>
    </row>
    <row r="18" spans="2:9" ht="41.4">
      <c r="B18" s="15" t="s">
        <v>75</v>
      </c>
      <c r="C18" s="16" t="s">
        <v>13</v>
      </c>
      <c r="D18" s="17" t="s">
        <v>90</v>
      </c>
      <c r="E18" s="17" t="s">
        <v>37</v>
      </c>
      <c r="F18" s="16" t="s">
        <v>70</v>
      </c>
      <c r="G18" s="17">
        <v>2.5</v>
      </c>
      <c r="H18" s="16" t="s">
        <v>66</v>
      </c>
      <c r="I18" s="21" t="s">
        <v>103</v>
      </c>
    </row>
    <row r="19" spans="2:9" ht="41.4">
      <c r="B19" s="15" t="s">
        <v>75</v>
      </c>
      <c r="C19" s="18" t="s">
        <v>14</v>
      </c>
      <c r="D19" s="17" t="s">
        <v>85</v>
      </c>
      <c r="E19" s="20" t="s">
        <v>37</v>
      </c>
      <c r="F19" s="18" t="s">
        <v>70</v>
      </c>
      <c r="G19" s="17">
        <v>2</v>
      </c>
      <c r="H19" s="18" t="s">
        <v>68</v>
      </c>
      <c r="I19" s="21" t="s">
        <v>106</v>
      </c>
    </row>
    <row r="20" spans="2:9" ht="41.4">
      <c r="B20" s="15" t="s">
        <v>75</v>
      </c>
      <c r="C20" s="18" t="s">
        <v>14</v>
      </c>
      <c r="D20" s="17" t="s">
        <v>85</v>
      </c>
      <c r="E20" s="20" t="s">
        <v>37</v>
      </c>
      <c r="F20" s="18" t="s">
        <v>70</v>
      </c>
      <c r="G20" s="17">
        <v>3</v>
      </c>
      <c r="H20" s="18" t="s">
        <v>68</v>
      </c>
      <c r="I20" s="21" t="s">
        <v>110</v>
      </c>
    </row>
    <row r="21" spans="2:9" ht="41.4">
      <c r="B21" s="15" t="s">
        <v>75</v>
      </c>
      <c r="C21" s="18" t="s">
        <v>14</v>
      </c>
      <c r="D21" s="17" t="s">
        <v>85</v>
      </c>
      <c r="E21" s="20" t="s">
        <v>37</v>
      </c>
      <c r="F21" s="18" t="s">
        <v>70</v>
      </c>
      <c r="G21" s="17">
        <v>1</v>
      </c>
      <c r="H21" s="18" t="s">
        <v>66</v>
      </c>
      <c r="I21" s="21" t="s">
        <v>98</v>
      </c>
    </row>
    <row r="22" spans="2:9" ht="41.4">
      <c r="B22" s="15" t="s">
        <v>75</v>
      </c>
      <c r="C22" s="18" t="s">
        <v>12</v>
      </c>
      <c r="D22" s="17" t="s">
        <v>87</v>
      </c>
      <c r="E22" s="20" t="s">
        <v>37</v>
      </c>
      <c r="F22" s="18" t="s">
        <v>70</v>
      </c>
      <c r="G22" s="17">
        <v>0.5</v>
      </c>
      <c r="H22" s="18" t="s">
        <v>68</v>
      </c>
      <c r="I22" s="21" t="s">
        <v>88</v>
      </c>
    </row>
    <row r="23" spans="2:9" ht="41.4">
      <c r="B23" s="15" t="s">
        <v>75</v>
      </c>
      <c r="C23" s="18" t="s">
        <v>12</v>
      </c>
      <c r="D23" s="17" t="s">
        <v>87</v>
      </c>
      <c r="E23" s="20" t="s">
        <v>37</v>
      </c>
      <c r="F23" s="18" t="s">
        <v>70</v>
      </c>
      <c r="G23" s="17">
        <v>1</v>
      </c>
      <c r="H23" s="18" t="s">
        <v>68</v>
      </c>
      <c r="I23" s="21" t="s">
        <v>121</v>
      </c>
    </row>
    <row r="24" spans="2:9" ht="41.4">
      <c r="B24" s="15" t="s">
        <v>75</v>
      </c>
      <c r="C24" s="18" t="s">
        <v>12</v>
      </c>
      <c r="D24" s="17" t="s">
        <v>96</v>
      </c>
      <c r="E24" s="20" t="s">
        <v>37</v>
      </c>
      <c r="F24" s="18" t="s">
        <v>70</v>
      </c>
      <c r="G24" s="17">
        <v>0.5</v>
      </c>
      <c r="H24" s="18" t="s">
        <v>68</v>
      </c>
      <c r="I24" s="21" t="s">
        <v>97</v>
      </c>
    </row>
    <row r="25" spans="2:9" ht="41.4">
      <c r="B25" s="15" t="s">
        <v>75</v>
      </c>
      <c r="C25" s="18" t="s">
        <v>12</v>
      </c>
      <c r="D25" s="17" t="s">
        <v>91</v>
      </c>
      <c r="E25" s="20" t="s">
        <v>37</v>
      </c>
      <c r="F25" s="18" t="s">
        <v>70</v>
      </c>
      <c r="G25" s="17">
        <v>1</v>
      </c>
      <c r="H25" s="18" t="s">
        <v>68</v>
      </c>
      <c r="I25" s="21" t="s">
        <v>105</v>
      </c>
    </row>
    <row r="26" spans="2:9" ht="41.4">
      <c r="B26" s="15" t="s">
        <v>75</v>
      </c>
      <c r="C26" s="18" t="s">
        <v>14</v>
      </c>
      <c r="D26" s="17" t="s">
        <v>99</v>
      </c>
      <c r="E26" s="20" t="s">
        <v>37</v>
      </c>
      <c r="F26" s="18" t="s">
        <v>70</v>
      </c>
      <c r="G26" s="17">
        <v>0.5</v>
      </c>
      <c r="H26" s="18" t="s">
        <v>68</v>
      </c>
      <c r="I26" s="21" t="s">
        <v>100</v>
      </c>
    </row>
    <row r="27" spans="2:9" ht="41.4">
      <c r="B27" s="15" t="s">
        <v>75</v>
      </c>
      <c r="C27" s="18" t="s">
        <v>14</v>
      </c>
      <c r="D27" s="17" t="s">
        <v>117</v>
      </c>
      <c r="E27" s="20" t="s">
        <v>37</v>
      </c>
      <c r="F27" s="18" t="s">
        <v>70</v>
      </c>
      <c r="G27" s="17">
        <v>0.7</v>
      </c>
      <c r="H27" s="18" t="s">
        <v>68</v>
      </c>
      <c r="I27" s="21" t="s">
        <v>118</v>
      </c>
    </row>
    <row r="28" spans="2:9" ht="41.4">
      <c r="B28" s="15" t="s">
        <v>75</v>
      </c>
      <c r="C28" s="18" t="s">
        <v>14</v>
      </c>
      <c r="D28" s="17" t="s">
        <v>116</v>
      </c>
      <c r="E28" s="20" t="s">
        <v>37</v>
      </c>
      <c r="F28" s="18" t="s">
        <v>70</v>
      </c>
      <c r="G28" s="17">
        <v>1</v>
      </c>
      <c r="H28" s="18" t="s">
        <v>68</v>
      </c>
      <c r="I28" s="21" t="s">
        <v>115</v>
      </c>
    </row>
    <row r="29" spans="2:9" ht="41.4">
      <c r="B29" s="15" t="s">
        <v>78</v>
      </c>
      <c r="C29" s="16" t="s">
        <v>82</v>
      </c>
      <c r="D29" s="17" t="s">
        <v>86</v>
      </c>
      <c r="E29" s="17" t="s">
        <v>37</v>
      </c>
      <c r="F29" s="16" t="s">
        <v>70</v>
      </c>
      <c r="G29" s="17">
        <v>0.5</v>
      </c>
      <c r="H29" s="18" t="s">
        <v>20</v>
      </c>
      <c r="I29" s="19" t="s">
        <v>89</v>
      </c>
    </row>
    <row r="30" spans="2:9" ht="41.4">
      <c r="B30" s="15" t="s">
        <v>75</v>
      </c>
      <c r="C30" s="18" t="s">
        <v>12</v>
      </c>
      <c r="D30" s="17" t="s">
        <v>87</v>
      </c>
      <c r="E30" s="20" t="s">
        <v>37</v>
      </c>
      <c r="F30" s="18" t="s">
        <v>70</v>
      </c>
      <c r="G30" s="17">
        <v>0.5</v>
      </c>
      <c r="H30" s="18" t="s">
        <v>68</v>
      </c>
      <c r="I30" s="21" t="s">
        <v>127</v>
      </c>
    </row>
    <row r="31" spans="2:9" ht="41.4">
      <c r="B31" s="15" t="s">
        <v>78</v>
      </c>
      <c r="C31" s="16" t="s">
        <v>82</v>
      </c>
      <c r="D31" s="17" t="s">
        <v>83</v>
      </c>
      <c r="E31" s="17" t="s">
        <v>37</v>
      </c>
      <c r="F31" s="16" t="s">
        <v>70</v>
      </c>
      <c r="G31" s="17">
        <v>0.5</v>
      </c>
      <c r="H31" s="18" t="s">
        <v>84</v>
      </c>
      <c r="I31" s="19" t="s">
        <v>122</v>
      </c>
    </row>
    <row r="32" spans="2:9" ht="41.4">
      <c r="B32" s="15" t="s">
        <v>78</v>
      </c>
      <c r="C32" s="16" t="s">
        <v>82</v>
      </c>
      <c r="D32" s="17" t="s">
        <v>83</v>
      </c>
      <c r="E32" s="17" t="s">
        <v>37</v>
      </c>
      <c r="F32" s="16" t="s">
        <v>70</v>
      </c>
      <c r="G32" s="17">
        <v>0.5</v>
      </c>
      <c r="H32" s="18" t="s">
        <v>84</v>
      </c>
      <c r="I32" s="19" t="s">
        <v>112</v>
      </c>
    </row>
    <row r="33" spans="2:9" ht="41.4">
      <c r="B33" s="15" t="s">
        <v>78</v>
      </c>
      <c r="C33" s="16" t="s">
        <v>82</v>
      </c>
      <c r="D33" s="17" t="s">
        <v>83</v>
      </c>
      <c r="E33" s="17" t="s">
        <v>37</v>
      </c>
      <c r="F33" s="16" t="s">
        <v>70</v>
      </c>
      <c r="G33" s="17">
        <v>0.5</v>
      </c>
      <c r="H33" s="18" t="s">
        <v>84</v>
      </c>
      <c r="I33" s="19" t="s">
        <v>126</v>
      </c>
    </row>
    <row r="34" spans="2:9" ht="41.4">
      <c r="B34" s="15" t="s">
        <v>78</v>
      </c>
      <c r="C34" s="16" t="s">
        <v>82</v>
      </c>
      <c r="D34" s="17" t="s">
        <v>83</v>
      </c>
      <c r="E34" s="17" t="s">
        <v>37</v>
      </c>
      <c r="F34" s="16" t="s">
        <v>70</v>
      </c>
      <c r="G34" s="17">
        <v>0.5</v>
      </c>
      <c r="H34" s="18" t="s">
        <v>84</v>
      </c>
      <c r="I34" s="19" t="s">
        <v>93</v>
      </c>
    </row>
    <row r="35" spans="2:9">
      <c r="B35" s="15" t="s">
        <v>78</v>
      </c>
      <c r="C35" s="16" t="s">
        <v>16</v>
      </c>
      <c r="D35" s="17" t="s">
        <v>101</v>
      </c>
      <c r="E35" s="17" t="s">
        <v>24</v>
      </c>
      <c r="F35" s="16"/>
      <c r="G35" s="17">
        <v>2</v>
      </c>
      <c r="H35" s="16" t="s">
        <v>21</v>
      </c>
      <c r="I35" s="19" t="s">
        <v>101</v>
      </c>
    </row>
    <row r="36" spans="2:9">
      <c r="B36" s="15" t="s">
        <v>78</v>
      </c>
      <c r="C36" s="16" t="s">
        <v>16</v>
      </c>
      <c r="D36" s="17" t="s">
        <v>113</v>
      </c>
      <c r="E36" s="17" t="s">
        <v>24</v>
      </c>
      <c r="F36" s="16"/>
      <c r="G36" s="17">
        <v>2</v>
      </c>
      <c r="H36" s="16" t="s">
        <v>24</v>
      </c>
      <c r="I36" s="19" t="s">
        <v>114</v>
      </c>
    </row>
    <row r="37" spans="2:9" ht="41.4">
      <c r="B37" s="15" t="s">
        <v>75</v>
      </c>
      <c r="C37" s="18" t="s">
        <v>13</v>
      </c>
      <c r="D37" s="17" t="s">
        <v>85</v>
      </c>
      <c r="E37" s="20" t="s">
        <v>37</v>
      </c>
      <c r="F37" s="18" t="s">
        <v>70</v>
      </c>
      <c r="G37" s="17">
        <v>0.5</v>
      </c>
      <c r="H37" s="18" t="s">
        <v>68</v>
      </c>
      <c r="I37" s="21" t="s">
        <v>128</v>
      </c>
    </row>
    <row r="38" spans="2:9" ht="41.4">
      <c r="B38" s="15" t="s">
        <v>75</v>
      </c>
      <c r="C38" s="18" t="s">
        <v>13</v>
      </c>
      <c r="D38" s="17" t="s">
        <v>85</v>
      </c>
      <c r="E38" s="20" t="s">
        <v>37</v>
      </c>
      <c r="F38" s="18" t="s">
        <v>70</v>
      </c>
      <c r="G38" s="17">
        <v>1</v>
      </c>
      <c r="H38" s="18" t="s">
        <v>68</v>
      </c>
      <c r="I38" s="21" t="s">
        <v>95</v>
      </c>
    </row>
    <row r="39" spans="2:9" ht="41.4">
      <c r="B39" s="15" t="s">
        <v>78</v>
      </c>
      <c r="C39" s="16" t="s">
        <v>82</v>
      </c>
      <c r="D39" s="17" t="s">
        <v>83</v>
      </c>
      <c r="E39" s="17" t="s">
        <v>37</v>
      </c>
      <c r="F39" s="16" t="s">
        <v>70</v>
      </c>
      <c r="G39" s="17">
        <v>0.5</v>
      </c>
      <c r="H39" s="18" t="s">
        <v>84</v>
      </c>
      <c r="I39" s="19" t="s">
        <v>111</v>
      </c>
    </row>
    <row r="40" spans="2:9" ht="27.6">
      <c r="B40" s="15" t="s">
        <v>78</v>
      </c>
      <c r="C40" s="16" t="s">
        <v>16</v>
      </c>
      <c r="D40" s="17" t="s">
        <v>79</v>
      </c>
      <c r="E40" s="17" t="s">
        <v>24</v>
      </c>
      <c r="F40" s="16"/>
      <c r="G40" s="17">
        <v>2</v>
      </c>
      <c r="H40" s="16" t="s">
        <v>80</v>
      </c>
      <c r="I40" s="19" t="s">
        <v>81</v>
      </c>
    </row>
    <row r="41" spans="2:9">
      <c r="B41" s="22"/>
      <c r="C41" s="23"/>
      <c r="D41" s="24"/>
      <c r="E41" s="24"/>
      <c r="F41" s="25" t="s">
        <v>61</v>
      </c>
      <c r="G41" s="26">
        <f>SUM(G4:G40)</f>
        <v>41.2</v>
      </c>
      <c r="H41" s="27"/>
      <c r="I41" s="28"/>
    </row>
    <row r="42" spans="2:9" ht="15" thickBot="1">
      <c r="B42" s="29"/>
      <c r="C42" s="30"/>
      <c r="D42" s="31"/>
      <c r="E42" s="31"/>
      <c r="F42" s="32" t="s">
        <v>62</v>
      </c>
      <c r="G42" s="33">
        <v>5</v>
      </c>
      <c r="H42" s="34"/>
      <c r="I42" s="35"/>
    </row>
    <row r="43" spans="2:9" ht="15" thickTop="1"/>
  </sheetData>
  <mergeCells count="2">
    <mergeCell ref="G42:I42"/>
    <mergeCell ref="G41:I41"/>
  </mergeCells>
  <phoneticPr fontId="7" type="noConversion"/>
  <dataValidations count="3">
    <dataValidation type="list" errorStyle="warning" allowBlank="1" sqref="D39:D40 D29 D10 D4:D7 D13:D15 D31:D36" xr:uid="{AB24A34C-8FC5-4EB5-A103-0BF3DC864A3D}">
      <formula1>项目事项分类项目名称</formula1>
    </dataValidation>
    <dataValidation type="list" allowBlank="1" showInputMessage="1" showErrorMessage="1" sqref="H4:H40" xr:uid="{00000000-0002-0000-0000-000000000000}">
      <formula1>hh</formula1>
    </dataValidation>
    <dataValidation type="list" allowBlank="1" showInputMessage="1" showErrorMessage="1" sqref="F4:F4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C41:C42 C19:C28 C37:C38 C30 C5:C17</xm:sqref>
        </x14:dataValidation>
        <x14:dataValidation type="list" allowBlank="1" showInputMessage="1" showErrorMessage="1" xr:uid="{00000000-0002-0000-0000-000003000000}">
          <x14:formula1>
            <xm:f>数据标签!$B$12:$C$12</xm:f>
          </x14:formula1>
          <xm:sqref>E41:E42 E19:E28 E37:E38 E30 E5:E17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6" t="s">
        <v>69</v>
      </c>
      <c r="C4" s="6" t="s">
        <v>69</v>
      </c>
      <c r="D4" s="6" t="s">
        <v>69</v>
      </c>
      <c r="E4" s="3" t="s">
        <v>23</v>
      </c>
      <c r="F4" s="5" t="s">
        <v>56</v>
      </c>
      <c r="G4" s="3" t="s">
        <v>53</v>
      </c>
      <c r="H4" s="3" t="s">
        <v>55</v>
      </c>
    </row>
    <row r="5" spans="1:8" ht="27.6">
      <c r="B5" s="3" t="s">
        <v>22</v>
      </c>
      <c r="C5" s="3" t="s">
        <v>22</v>
      </c>
      <c r="D5" s="3" t="s">
        <v>22</v>
      </c>
      <c r="E5" s="6" t="s">
        <v>26</v>
      </c>
      <c r="F5" s="5" t="s">
        <v>24</v>
      </c>
      <c r="G5" s="6" t="s">
        <v>27</v>
      </c>
      <c r="H5" s="6" t="s">
        <v>28</v>
      </c>
    </row>
    <row r="6" spans="1:8" ht="27.6">
      <c r="B6" s="3" t="s">
        <v>25</v>
      </c>
      <c r="C6" s="3" t="s">
        <v>25</v>
      </c>
      <c r="D6" s="3" t="s">
        <v>25</v>
      </c>
      <c r="E6" s="6" t="s">
        <v>30</v>
      </c>
      <c r="F6" s="5"/>
      <c r="G6" s="6" t="s">
        <v>31</v>
      </c>
      <c r="H6" s="6" t="s">
        <v>32</v>
      </c>
    </row>
    <row r="7" spans="1:8" ht="52.8">
      <c r="B7" s="3" t="s">
        <v>29</v>
      </c>
      <c r="C7" s="3" t="s">
        <v>29</v>
      </c>
      <c r="D7" s="3" t="s">
        <v>29</v>
      </c>
      <c r="E7" s="6" t="s">
        <v>34</v>
      </c>
      <c r="G7" s="6" t="s">
        <v>24</v>
      </c>
      <c r="H7" s="6" t="s">
        <v>35</v>
      </c>
    </row>
    <row r="8" spans="1:8">
      <c r="B8" s="3" t="s">
        <v>33</v>
      </c>
      <c r="C8" s="3" t="s">
        <v>33</v>
      </c>
      <c r="D8" s="3" t="s">
        <v>33</v>
      </c>
      <c r="E8" s="6"/>
      <c r="G8" s="6"/>
      <c r="H8" s="6" t="s">
        <v>65</v>
      </c>
    </row>
    <row r="9" spans="1:8">
      <c r="B9" s="1" t="s">
        <v>24</v>
      </c>
      <c r="C9" s="1" t="s">
        <v>24</v>
      </c>
      <c r="D9" s="1" t="s">
        <v>24</v>
      </c>
      <c r="E9" s="6"/>
      <c r="F9" s="5"/>
      <c r="G9" s="6"/>
      <c r="H9" s="6" t="s">
        <v>60</v>
      </c>
    </row>
    <row r="10" spans="1:8">
      <c r="C10" s="6"/>
      <c r="D10" s="6"/>
      <c r="H10" s="6"/>
    </row>
    <row r="12" spans="1:8">
      <c r="A12" s="1" t="s">
        <v>36</v>
      </c>
      <c r="B12" s="1" t="s">
        <v>37</v>
      </c>
      <c r="C12" s="1" t="s">
        <v>24</v>
      </c>
    </row>
    <row r="13" spans="1:8" ht="55.2">
      <c r="A13" s="1" t="s">
        <v>38</v>
      </c>
      <c r="B13" s="3" t="s">
        <v>39</v>
      </c>
    </row>
    <row r="14" spans="1:8" ht="41.4">
      <c r="B14" s="3" t="s">
        <v>51</v>
      </c>
      <c r="C14" s="4" t="s">
        <v>52</v>
      </c>
      <c r="D14" s="4" t="s">
        <v>52</v>
      </c>
    </row>
    <row r="15" spans="1:8" ht="41.4">
      <c r="B15" s="3" t="s">
        <v>40</v>
      </c>
      <c r="C15" s="4" t="s">
        <v>52</v>
      </c>
      <c r="D15" s="4" t="s">
        <v>52</v>
      </c>
    </row>
    <row r="16" spans="1:8" ht="55.2">
      <c r="B16" s="3" t="s">
        <v>41</v>
      </c>
      <c r="C16" s="4" t="s">
        <v>52</v>
      </c>
      <c r="D16" s="4" t="s">
        <v>52</v>
      </c>
    </row>
    <row r="17" spans="2:4" ht="55.2">
      <c r="B17" s="3" t="s">
        <v>42</v>
      </c>
      <c r="C17" s="4" t="s">
        <v>52</v>
      </c>
      <c r="D17" s="4" t="s">
        <v>52</v>
      </c>
    </row>
    <row r="18" spans="2:4" ht="55.2">
      <c r="B18" s="3" t="s">
        <v>43</v>
      </c>
      <c r="C18" s="4" t="s">
        <v>52</v>
      </c>
      <c r="D18" s="4" t="s">
        <v>52</v>
      </c>
    </row>
    <row r="19" spans="2:4" ht="69">
      <c r="B19" s="3" t="s">
        <v>44</v>
      </c>
      <c r="C19" s="4" t="s">
        <v>52</v>
      </c>
      <c r="D19" s="4" t="s">
        <v>52</v>
      </c>
    </row>
    <row r="20" spans="2:4" ht="55.2">
      <c r="B20" s="3" t="s">
        <v>45</v>
      </c>
      <c r="C20" s="4" t="s">
        <v>52</v>
      </c>
      <c r="D20" s="4" t="s">
        <v>52</v>
      </c>
    </row>
    <row r="21" spans="2:4" ht="41.4">
      <c r="B21" s="3" t="s">
        <v>57</v>
      </c>
      <c r="C21" s="4" t="s">
        <v>52</v>
      </c>
      <c r="D21" s="4" t="s">
        <v>52</v>
      </c>
    </row>
    <row r="22" spans="2:4" ht="41.4">
      <c r="B22" s="3" t="s">
        <v>46</v>
      </c>
      <c r="C22" s="4" t="s">
        <v>52</v>
      </c>
      <c r="D22" s="4" t="s">
        <v>52</v>
      </c>
    </row>
    <row r="23" spans="2:4" ht="41.4">
      <c r="B23" s="3" t="s">
        <v>58</v>
      </c>
      <c r="C23" s="4" t="s">
        <v>52</v>
      </c>
      <c r="D23" s="4" t="s">
        <v>52</v>
      </c>
    </row>
    <row r="24" spans="2:4" ht="41.4">
      <c r="B24" s="3" t="s">
        <v>59</v>
      </c>
      <c r="C24" s="4"/>
      <c r="D24" s="4"/>
    </row>
    <row r="25" spans="2:4" ht="96.6">
      <c r="B25" s="3" t="s">
        <v>50</v>
      </c>
      <c r="C25" s="4" t="s">
        <v>52</v>
      </c>
      <c r="D25" s="4" t="s">
        <v>52</v>
      </c>
    </row>
    <row r="26" spans="2:4" ht="41.4">
      <c r="B26" s="3" t="s">
        <v>47</v>
      </c>
      <c r="C26" s="4" t="s">
        <v>52</v>
      </c>
      <c r="D26" s="4" t="s">
        <v>52</v>
      </c>
    </row>
    <row r="27" spans="2:4" ht="41.4">
      <c r="B27" s="3" t="s">
        <v>48</v>
      </c>
      <c r="C27" s="4" t="s">
        <v>52</v>
      </c>
      <c r="D27" s="4" t="s">
        <v>52</v>
      </c>
    </row>
    <row r="28" spans="2:4" ht="27.6">
      <c r="B28" s="3" t="s">
        <v>49</v>
      </c>
      <c r="C28" s="4" t="s">
        <v>52</v>
      </c>
      <c r="D28" s="4"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2025-11-17T10:44:33Z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