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QC\Working Docs\Status summary\工作记录表\"/>
    </mc:Choice>
  </mc:AlternateContent>
  <xr:revisionPtr revIDLastSave="0" documentId="13_ncr:1_{A747B525-B0D1-449E-9D93-F1E23BCDC4B2}" xr6:coauthVersionLast="47" xr6:coauthVersionMax="47" xr10:uidLastSave="{00000000-0000-0000-0000-000000000000}"/>
  <bookViews>
    <workbookView xWindow="-108" yWindow="-108" windowWidth="30936" windowHeight="16896" xr2:uid="{00000000-000D-0000-FFFF-FFFF00000000}"/>
  </bookViews>
  <sheets>
    <sheet name="个人工时记录表" sheetId="1" r:id="rId1"/>
    <sheet name="数据标签" sheetId="2" r:id="rId2"/>
  </sheets>
  <externalReferences>
    <externalReference r:id="rId3"/>
  </externalReferences>
  <definedNames>
    <definedName name="_xlnm._FilterDatabase" localSheetId="0" hidden="1">个人工时记录表!$D$2:$D$29</definedName>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 name="项目事项分类项目名称">'[1]Exhibit II - Matter categories'!$A$1:$A$13</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<sst xmlns="http://schemas.openxmlformats.org/spreadsheetml/2006/main" count="272" uniqueCount="112">
  <si>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</si>
  <si>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</si>
  <si>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</si>
  <si>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</si>
  <si>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</si>
  <si>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</si>
  <si>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</si>
  <si>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</si>
  <si>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</si>
  <si>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</si>
  <si>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</si>
  <si>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</si>
  <si>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</si>
  <si>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</si>
  <si>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</si>
  <si>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</si>
  <si>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</si>
  <si>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</si>
  <si>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</si>
  <si>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</si>
  <si>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</si>
  <si>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</si>
  <si>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</si>
  <si>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</si>
  <si>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</si>
  <si>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</si>
  <si>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</si>
  <si>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</si>
  <si>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</si>
  <si>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</si>
  <si>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</si>
  <si>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</si>
  <si>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</si>
  <si>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</si>
  <si>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</si>
  <si>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</si>
  <si>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</si>
  <si>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</si>
  <si>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</si>
  <si>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</si>
  <si>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</si>
  <si>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</si>
  <si>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</si>
  <si>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</si>
  <si>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</si>
  <si>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</si>
  <si>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</si>
  <si>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</si>
  <si>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</si>
  <si>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</si>
  <si>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</si>
  <si>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</si>
  <si>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</si>
  <si>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</si>
  <si>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</si>
  <si>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</si>
  <si>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</si>
  <si>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</si>
  <si>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</si>
  <si>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</si>
  <si>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</si>
  <si>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</si>
  <si>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</si>
  <si>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</si>
  <si>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</si>
  <si>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</si>
  <si>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</si>
  <si>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</si>
  <si>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</si>
  <si>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</si>
  <si>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</si>
  <si>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</si>
  <si>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charityqiu</t>
  </si>
  <si>
    <t>Ubisoft</t>
  </si>
  <si>
    <t>投资项目全流程法务支持 Full-process legal support for investments</t>
  </si>
  <si>
    <t>Timesheet</t>
  </si>
  <si>
    <t>timesheet</t>
  </si>
  <si>
    <t>资本市场、投融资活动创新突破 Innovative breakthroughs in investments and capital market transactions</t>
  </si>
  <si>
    <t>Recording/reviewing deals updates/weekly time reports/other team summaries</t>
  </si>
  <si>
    <t>Huya</t>
  </si>
  <si>
    <t>Hotdesk</t>
  </si>
  <si>
    <t>Public - Knowledge Accumulation &amp; Sharing</t>
  </si>
  <si>
    <t>TME</t>
  </si>
  <si>
    <t>PDD</t>
  </si>
  <si>
    <t>B站</t>
  </si>
  <si>
    <t>Spring board meeting discussion</t>
  </si>
  <si>
    <t>Laopu</t>
  </si>
  <si>
    <t>IA open points discussion</t>
  </si>
  <si>
    <t>Covered call Nomura docs</t>
  </si>
  <si>
    <t>IA discussion</t>
  </si>
  <si>
    <t>Nomura issue list all parties call, internal call</t>
  </si>
  <si>
    <t>填表</t>
  </si>
  <si>
    <t>deal update</t>
  </si>
  <si>
    <t>GS 144 rep issue</t>
  </si>
  <si>
    <t>Status call, finalizing IA</t>
  </si>
  <si>
    <t>Finalizing GS form, restricted securities discussion</t>
  </si>
  <si>
    <t>AGM proxy</t>
  </si>
  <si>
    <t>Legal fee email to James, attend to signing logistics</t>
  </si>
  <si>
    <t>境外董事培训</t>
  </si>
  <si>
    <t>Public - Infrastructure &amp; Guidance</t>
  </si>
  <si>
    <t>MNPI确认流程</t>
  </si>
  <si>
    <t>Revise recusal meachansim and send to LW</t>
  </si>
  <si>
    <t>EC case study discussion with CC</t>
  </si>
  <si>
    <t>US director training update PPT</t>
  </si>
  <si>
    <t>review and respond to Diawa consignment of sale of shares</t>
  </si>
  <si>
    <t>Call spread template</t>
  </si>
  <si>
    <t>GS call spread template issue list</t>
  </si>
  <si>
    <t>finalizing GS form</t>
  </si>
  <si>
    <t>VIE法人变更申请，granted ESOP调整问题</t>
  </si>
  <si>
    <t>upsize docs and logistics</t>
  </si>
  <si>
    <t>Hotdesk update</t>
  </si>
  <si>
    <t>Canadian update to 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</si>
</sst>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s>
  <fills count="3">
    <fill>
      <patternFill patternType="none"/>
    </fill>
    <fill>
      <patternFill patternType="gray125"/>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49" fontId="1" fillId="0" borderId="0" xfId="0" applyNumberFormat="1" applyFont="1">
      <alignment vertical="center"/>
    </xf>
    <xf numFmtId="0" fontId="8" fillId="0" borderId="0" xfId="0" applyFont="1">
      <alignment vertical="center"/>
    </xf>
    <xf numFmtId="0" fontId="8" fillId="0" borderId="0" xfId="0" applyFont="1" applyAlignment="1">
      <alignment vertical="center" wrapText="1"/>
    </xf>
    <xf numFmtId="0" fontId="0" fillId="2" borderId="0" xfId="0" applyFill="1">
      <alignment vertical="center"/>
    </xf>
    <xf numFmtId="0" fontId="5" fillId="2" borderId="9" xfId="0" applyFont="1" applyFill="1" applyBorder="1">
      <alignment vertical="center"/>
    </xf>
    <xf numFmtId="0" fontId="5" fillId="2" borderId="10" xfId="0" applyFont="1" applyFill="1" applyBorder="1" applyAlignment="1">
      <alignment vertical="center" wrapText="1"/>
    </xf>
    <xf numFmtId="0" fontId="5" fillId="2" borderId="10" xfId="0" applyFont="1" applyFill="1" applyBorder="1">
      <alignment vertical="center"/>
    </xf>
    <xf numFmtId="0" fontId="1" fillId="2" borderId="16" xfId="0" applyFont="1" applyFill="1" applyBorder="1" applyAlignment="1">
      <alignment horizontal="right" vertical="center" wrapText="1"/>
    </xf>
    <xf numFmtId="0" fontId="5" fillId="2" borderId="5" xfId="0" applyFont="1" applyFill="1" applyBorder="1">
      <alignment vertical="center"/>
    </xf>
    <xf numFmtId="0" fontId="5" fillId="2" borderId="6" xfId="0" applyFont="1" applyFill="1" applyBorder="1" applyAlignment="1">
      <alignment vertical="center" wrapText="1"/>
    </xf>
    <xf numFmtId="0" fontId="5" fillId="2" borderId="6" xfId="0" applyFont="1" applyFill="1" applyBorder="1">
      <alignment vertical="center"/>
    </xf>
    <xf numFmtId="0" fontId="1" fillId="2" borderId="12" xfId="0" applyFont="1" applyFill="1" applyBorder="1" applyAlignment="1">
      <alignment horizontal="righ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6" fillId="2" borderId="7" xfId="0" applyFont="1" applyFill="1" applyBorder="1" applyAlignment="1">
      <alignment horizontal="center" vertical="center"/>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0" fontId="0" fillId="2" borderId="0" xfId="0" applyFill="1" applyAlignment="1">
      <alignment vertical="center" wrapText="1"/>
    </xf>
    <xf numFmtId="0" fontId="1" fillId="2" borderId="3" xfId="0" applyFont="1" applyFill="1" applyBorder="1">
      <alignment vertical="center"/>
    </xf>
    <xf numFmtId="0" fontId="5" fillId="2" borderId="4" xfId="0" applyFont="1" applyFill="1" applyBorder="1" applyAlignment="1">
      <alignment vertical="center" wrapText="1"/>
    </xf>
    <xf numFmtId="0" fontId="1" fillId="2" borderId="4" xfId="0" applyFont="1" applyFill="1" applyBorder="1">
      <alignment vertical="center"/>
    </xf>
    <xf numFmtId="0" fontId="5" fillId="2" borderId="4" xfId="0" applyFont="1" applyFill="1" applyBorder="1">
      <alignment vertical="center"/>
    </xf>
    <xf numFmtId="0" fontId="9" fillId="2" borderId="4" xfId="0" applyFont="1" applyFill="1" applyBorder="1" applyAlignment="1">
      <alignment vertical="center" wrapText="1"/>
    </xf>
    <xf numFmtId="0" fontId="1" fillId="2" borderId="4" xfId="0" applyFont="1" applyFill="1" applyBorder="1" applyAlignment="1">
      <alignment vertical="center" wrapText="1"/>
    </xf>
    <xf numFmtId="0" fontId="1" fillId="2" borderId="13" xfId="0" applyFont="1" applyFill="1" applyBorder="1" applyAlignment="1">
      <alignment horizontal="left" vertical="center"/>
    </xf>
    <xf numFmtId="0" fontId="5" fillId="2" borderId="14" xfId="0" applyFont="1" applyFill="1" applyBorder="1" applyAlignment="1">
      <alignment horizontal="left" vertical="center"/>
    </xf>
    <xf numFmtId="0" fontId="5" fillId="2" borderId="15" xfId="0" applyFont="1" applyFill="1" applyBorder="1" applyAlignment="1">
      <alignment horizontal="left" vertical="center"/>
    </xf>
    <xf numFmtId="0" fontId="1" fillId="2" borderId="17" xfId="0" applyFont="1" applyFill="1" applyBorder="1" applyAlignment="1">
      <alignment horizontal="left" vertical="center"/>
    </xf>
    <xf numFmtId="0" fontId="5" fillId="2" borderId="18" xfId="0" applyFont="1" applyFill="1" applyBorder="1" applyAlignment="1">
      <alignment horizontal="left" vertical="center"/>
    </xf>
    <xf numFmtId="0" fontId="5" fillId="2" borderId="11" xfId="0" applyFont="1" applyFill="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QC\Working%20Docs\Status%20summary\&#24037;&#20316;&#35760;&#24405;&#34920;\Charityqiu_&#25237;&#36164;&#27861;&#21153;&#20013;&#24515;&#24037;&#20316;&#35760;&#24405;&#34920;%20-%20&#20010;&#20154;&#35760;&#24405;&#34920;&#26684;_form%202024001216-1222%20(version%201).xlsx" TargetMode="External"/><Relationship Id="rId1" Type="http://schemas.openxmlformats.org/officeDocument/2006/relationships/externalLinkPath" Target="Charityqiu_&#25237;&#36164;&#27861;&#21153;&#20013;&#24515;&#24037;&#20316;&#35760;&#24405;&#34920;%20-%20&#20010;&#20154;&#35760;&#24405;&#34920;&#26684;_form%202024001216-1222%20(versio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个人记录表格"/>
      <sheetName val="Exhibit I - CTD ILC OKR items"/>
      <sheetName val="Exhibit II - Matter categories"/>
      <sheetName val="Exhibit III - Work categories"/>
    </sheetNames>
    <sheetDataSet>
      <sheetData sheetId="0"/>
      <sheetData sheetId="1"/>
      <sheetData sheetId="2">
        <row r="1">
          <cell r="A1" t="str">
            <v>Investment Related - M&amp;A Deal</v>
          </cell>
        </row>
        <row r="2">
          <cell r="A2" t="str">
            <v>Investment Related - IPO Deal</v>
          </cell>
        </row>
        <row r="3">
          <cell r="A3" t="str">
            <v>Investment Related - Corporate Matter</v>
          </cell>
        </row>
        <row r="4">
          <cell r="A4" t="str">
            <v>Non-Investment Related - CTD (合规交易部/公司事务及国际监管法务中心)</v>
          </cell>
        </row>
        <row r="5">
          <cell r="A5" t="str">
            <v>Non-Investment Related - AMLSC (反洗钱与制裁合规部)</v>
          </cell>
        </row>
        <row r="6">
          <cell r="A6" t="str">
            <v>Non-Investment Related - FLCD (金融法律合规部)</v>
          </cell>
        </row>
        <row r="7">
          <cell r="A7" t="str">
            <v>Non-Investment Related - FPAD (金融业务公共事务部)</v>
          </cell>
        </row>
        <row r="8">
          <cell r="A8" t="str">
            <v>Non-Investment Related - FCRPD (集团金融消费者权益保护部)</v>
          </cell>
        </row>
        <row r="9">
          <cell r="A9" t="str">
            <v>Public - Infrastructure &amp; Guidance</v>
          </cell>
        </row>
        <row r="10">
          <cell r="A10" t="str">
            <v>Public - GCTSM</v>
          </cell>
        </row>
        <row r="11">
          <cell r="A11" t="str">
            <v>Public - Knowledge Sharing</v>
          </cell>
        </row>
        <row r="12">
          <cell r="A12" t="str">
            <v>Public - Cost Control &amp; Efficiency Increasement</v>
          </cell>
        </row>
        <row r="13">
          <cell r="A13" t="str">
            <v>Management</v>
          </cell>
        </row>
      </sheetData>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29"/>
  <sheetViews>
    <sheetView tabSelected="1" topLeftCell="B1" zoomScale="85" zoomScaleNormal="85" workbookViewId="0">
      <selection activeCell="H3" sqref="H3"/>
    </sheetView>
  </sheetViews>
  <sheetFormatPr defaultColWidth="9" defaultRowHeight="14.4"/>
  <cols>
    <col min="1" max="2" width="9" style="7"/>
    <col min="3" max="3" width="34.44140625" style="22" customWidth="1"/>
    <col min="4" max="4" width="21.6640625" style="7" customWidth="1"/>
    <col min="5" max="5" width="10.5546875" style="7" customWidth="1"/>
    <col min="6" max="6" width="29.88671875" style="22" customWidth="1"/>
    <col min="7" max="7" width="9" style="7"/>
    <col min="8" max="8" width="41.5546875" style="22" customWidth="1"/>
    <col min="9" max="9" width="39.88671875" style="7" customWidth="1"/>
    <col min="10" max="16384" width="9" style="7"/>
  </cols>
  <sheetData>
    <row r="1" spans="2:9" ht="15" thickBot="1"/>
    <row r="2" spans="2:9" ht="28.2" thickTop="1">
      <c r="B2" s="16" t="s">
        <v>0</v>
      </c>
      <c r="C2" s="17" t="s">
        <v>70</v>
      </c>
      <c r="D2" s="17" t="s">
        <v>1</v>
      </c>
      <c r="E2" s="17" t="s">
        <v>2</v>
      </c>
      <c r="F2" s="17" t="s">
        <v>3</v>
      </c>
      <c r="G2" s="17" t="s">
        <v>4</v>
      </c>
      <c r="H2" s="17" t="s">
        <v>5</v>
      </c>
      <c r="I2" s="18" t="s">
        <v>6</v>
      </c>
    </row>
    <row r="3" spans="2:9" ht="207.9" customHeight="1">
      <c r="B3" s="19" t="s">
        <v>7</v>
      </c>
      <c r="C3" s="20" t="s">
        <v>8</v>
      </c>
      <c r="D3" s="20" t="s">
        <v>9</v>
      </c>
      <c r="E3" s="20" t="s">
        <v>59</v>
      </c>
      <c r="F3" s="20" t="s">
        <v>57</v>
      </c>
      <c r="G3" s="20" t="s">
        <v>10</v>
      </c>
      <c r="H3" s="20" t="s">
        <v>11</v>
      </c>
      <c r="I3" s="21" t="s">
        <v>12</v>
      </c>
    </row>
    <row r="4" spans="2:9" ht="41.4">
      <c r="B4" s="23" t="s">
        <v>72</v>
      </c>
      <c r="C4" s="24" t="s">
        <v>16</v>
      </c>
      <c r="D4" s="25" t="s">
        <v>82</v>
      </c>
      <c r="E4" s="26" t="s">
        <v>40</v>
      </c>
      <c r="F4" s="24" t="s">
        <v>74</v>
      </c>
      <c r="G4" s="26">
        <v>0.5</v>
      </c>
      <c r="H4" s="24" t="s">
        <v>20</v>
      </c>
      <c r="I4" s="27" t="s">
        <v>85</v>
      </c>
    </row>
    <row r="5" spans="2:9" ht="55.2">
      <c r="B5" s="23" t="s">
        <v>72</v>
      </c>
      <c r="C5" s="24" t="s">
        <v>99</v>
      </c>
      <c r="D5" s="25" t="s">
        <v>100</v>
      </c>
      <c r="E5" s="26" t="s">
        <v>40</v>
      </c>
      <c r="F5" s="24" t="s">
        <v>77</v>
      </c>
      <c r="G5" s="26">
        <v>1.5</v>
      </c>
      <c r="H5" s="24" t="s">
        <v>36</v>
      </c>
      <c r="I5" s="27" t="s">
        <v>101</v>
      </c>
    </row>
    <row r="6" spans="2:9" ht="41.4">
      <c r="B6" s="23" t="s">
        <v>72</v>
      </c>
      <c r="C6" s="24" t="s">
        <v>16</v>
      </c>
      <c r="D6" s="25" t="s">
        <v>82</v>
      </c>
      <c r="E6" s="26" t="s">
        <v>40</v>
      </c>
      <c r="F6" s="24" t="s">
        <v>74</v>
      </c>
      <c r="G6" s="26">
        <v>1</v>
      </c>
      <c r="H6" s="24" t="s">
        <v>20</v>
      </c>
      <c r="I6" s="27" t="s">
        <v>96</v>
      </c>
    </row>
    <row r="7" spans="2:9" ht="41.4">
      <c r="B7" s="23" t="s">
        <v>72</v>
      </c>
      <c r="C7" s="24" t="s">
        <v>16</v>
      </c>
      <c r="D7" s="25" t="s">
        <v>79</v>
      </c>
      <c r="E7" s="26" t="s">
        <v>40</v>
      </c>
      <c r="F7" s="24" t="s">
        <v>74</v>
      </c>
      <c r="G7" s="26">
        <v>1</v>
      </c>
      <c r="H7" s="24" t="s">
        <v>20</v>
      </c>
      <c r="I7" s="27" t="s">
        <v>108</v>
      </c>
    </row>
    <row r="8" spans="2:9" ht="55.2">
      <c r="B8" s="23" t="s">
        <v>72</v>
      </c>
      <c r="C8" s="24" t="s">
        <v>16</v>
      </c>
      <c r="D8" s="25" t="s">
        <v>80</v>
      </c>
      <c r="E8" s="26" t="s">
        <v>40</v>
      </c>
      <c r="F8" s="24" t="s">
        <v>77</v>
      </c>
      <c r="G8" s="26">
        <v>2</v>
      </c>
      <c r="H8" s="24" t="s">
        <v>36</v>
      </c>
      <c r="I8" s="27" t="s">
        <v>104</v>
      </c>
    </row>
    <row r="9" spans="2:9" ht="41.4">
      <c r="B9" s="23" t="s">
        <v>72</v>
      </c>
      <c r="C9" s="24" t="s">
        <v>14</v>
      </c>
      <c r="D9" s="25" t="s">
        <v>73</v>
      </c>
      <c r="E9" s="26" t="s">
        <v>40</v>
      </c>
      <c r="F9" s="24" t="s">
        <v>74</v>
      </c>
      <c r="G9" s="26">
        <v>1</v>
      </c>
      <c r="H9" s="24" t="s">
        <v>20</v>
      </c>
      <c r="I9" s="27" t="s">
        <v>102</v>
      </c>
    </row>
    <row r="10" spans="2:9" ht="55.2">
      <c r="B10" s="23" t="s">
        <v>72</v>
      </c>
      <c r="C10" s="24" t="s">
        <v>14</v>
      </c>
      <c r="D10" s="25" t="s">
        <v>105</v>
      </c>
      <c r="E10" s="26" t="s">
        <v>40</v>
      </c>
      <c r="F10" s="24" t="s">
        <v>77</v>
      </c>
      <c r="G10" s="26">
        <v>1</v>
      </c>
      <c r="H10" s="24" t="s">
        <v>20</v>
      </c>
      <c r="I10" s="27" t="s">
        <v>106</v>
      </c>
    </row>
    <row r="11" spans="2:9" ht="41.4">
      <c r="B11" s="23" t="s">
        <v>72</v>
      </c>
      <c r="C11" s="24" t="s">
        <v>14</v>
      </c>
      <c r="D11" s="25" t="s">
        <v>86</v>
      </c>
      <c r="E11" s="26" t="s">
        <v>40</v>
      </c>
      <c r="F11" s="24" t="s">
        <v>74</v>
      </c>
      <c r="G11" s="26">
        <v>2</v>
      </c>
      <c r="H11" s="24" t="s">
        <v>20</v>
      </c>
      <c r="I11" s="27" t="s">
        <v>90</v>
      </c>
    </row>
    <row r="12" spans="2:9" ht="41.4">
      <c r="B12" s="23" t="s">
        <v>72</v>
      </c>
      <c r="C12" s="24" t="s">
        <v>14</v>
      </c>
      <c r="D12" s="25" t="s">
        <v>86</v>
      </c>
      <c r="E12" s="26" t="s">
        <v>40</v>
      </c>
      <c r="F12" s="24" t="s">
        <v>74</v>
      </c>
      <c r="G12" s="26">
        <v>3</v>
      </c>
      <c r="H12" s="24" t="s">
        <v>20</v>
      </c>
      <c r="I12" s="27" t="s">
        <v>95</v>
      </c>
    </row>
    <row r="13" spans="2:9" ht="41.4">
      <c r="B13" s="23" t="s">
        <v>72</v>
      </c>
      <c r="C13" s="24" t="s">
        <v>14</v>
      </c>
      <c r="D13" s="25" t="s">
        <v>73</v>
      </c>
      <c r="E13" s="26" t="s">
        <v>40</v>
      </c>
      <c r="F13" s="24" t="s">
        <v>74</v>
      </c>
      <c r="G13" s="26">
        <v>3.5</v>
      </c>
      <c r="H13" s="24" t="s">
        <v>20</v>
      </c>
      <c r="I13" s="27" t="s">
        <v>94</v>
      </c>
    </row>
    <row r="14" spans="2:9" ht="41.4">
      <c r="B14" s="23" t="s">
        <v>72</v>
      </c>
      <c r="C14" s="24" t="s">
        <v>14</v>
      </c>
      <c r="D14" s="25" t="s">
        <v>86</v>
      </c>
      <c r="E14" s="26" t="s">
        <v>40</v>
      </c>
      <c r="F14" s="24" t="s">
        <v>74</v>
      </c>
      <c r="G14" s="26">
        <v>4</v>
      </c>
      <c r="H14" s="24" t="s">
        <v>20</v>
      </c>
      <c r="I14" s="27" t="s">
        <v>88</v>
      </c>
    </row>
    <row r="15" spans="2:9" ht="41.4">
      <c r="B15" s="23" t="s">
        <v>72</v>
      </c>
      <c r="C15" s="24" t="s">
        <v>14</v>
      </c>
      <c r="D15" s="25" t="s">
        <v>83</v>
      </c>
      <c r="E15" s="26" t="s">
        <v>40</v>
      </c>
      <c r="F15" s="24" t="s">
        <v>74</v>
      </c>
      <c r="G15" s="26">
        <v>3</v>
      </c>
      <c r="H15" s="24" t="s">
        <v>36</v>
      </c>
      <c r="I15" s="27" t="s">
        <v>109</v>
      </c>
    </row>
    <row r="16" spans="2:9" ht="41.4">
      <c r="B16" s="23" t="s">
        <v>72</v>
      </c>
      <c r="C16" s="24" t="s">
        <v>14</v>
      </c>
      <c r="D16" s="25" t="s">
        <v>73</v>
      </c>
      <c r="E16" s="26" t="s">
        <v>40</v>
      </c>
      <c r="F16" s="24" t="s">
        <v>74</v>
      </c>
      <c r="G16" s="26">
        <v>1.2</v>
      </c>
      <c r="H16" s="24" t="s">
        <v>20</v>
      </c>
      <c r="I16" s="27" t="s">
        <v>87</v>
      </c>
    </row>
    <row r="17" spans="2:9" ht="41.4">
      <c r="B17" s="23" t="s">
        <v>72</v>
      </c>
      <c r="C17" s="24" t="s">
        <v>16</v>
      </c>
      <c r="D17" s="25" t="s">
        <v>84</v>
      </c>
      <c r="E17" s="26" t="s">
        <v>40</v>
      </c>
      <c r="F17" s="24" t="s">
        <v>74</v>
      </c>
      <c r="G17" s="26">
        <v>1</v>
      </c>
      <c r="H17" s="24" t="s">
        <v>20</v>
      </c>
      <c r="I17" s="27" t="s">
        <v>96</v>
      </c>
    </row>
    <row r="18" spans="2:9" ht="41.4">
      <c r="B18" s="23" t="s">
        <v>72</v>
      </c>
      <c r="C18" s="24" t="s">
        <v>14</v>
      </c>
      <c r="D18" s="25" t="s">
        <v>73</v>
      </c>
      <c r="E18" s="26" t="s">
        <v>40</v>
      </c>
      <c r="F18" s="24" t="s">
        <v>74</v>
      </c>
      <c r="G18" s="26">
        <v>0.5</v>
      </c>
      <c r="H18" s="24" t="s">
        <v>20</v>
      </c>
      <c r="I18" s="27" t="s">
        <v>111</v>
      </c>
    </row>
    <row r="19" spans="2:9" ht="41.4">
      <c r="B19" s="23" t="s">
        <v>72</v>
      </c>
      <c r="C19" s="24" t="s">
        <v>14</v>
      </c>
      <c r="D19" s="25" t="s">
        <v>73</v>
      </c>
      <c r="E19" s="26" t="s">
        <v>40</v>
      </c>
      <c r="F19" s="24" t="s">
        <v>74</v>
      </c>
      <c r="G19" s="26">
        <v>1.5</v>
      </c>
      <c r="H19" s="24" t="s">
        <v>20</v>
      </c>
      <c r="I19" s="27" t="s">
        <v>97</v>
      </c>
    </row>
    <row r="20" spans="2:9" ht="41.4">
      <c r="B20" s="23" t="s">
        <v>72</v>
      </c>
      <c r="C20" s="24" t="s">
        <v>14</v>
      </c>
      <c r="D20" s="25" t="s">
        <v>73</v>
      </c>
      <c r="E20" s="26" t="s">
        <v>40</v>
      </c>
      <c r="F20" s="24" t="s">
        <v>74</v>
      </c>
      <c r="G20" s="26">
        <v>3</v>
      </c>
      <c r="H20" s="24" t="s">
        <v>20</v>
      </c>
      <c r="I20" s="27" t="s">
        <v>89</v>
      </c>
    </row>
    <row r="21" spans="2:9" ht="55.2">
      <c r="B21" s="23" t="s">
        <v>72</v>
      </c>
      <c r="C21" s="24" t="s">
        <v>14</v>
      </c>
      <c r="D21" s="25" t="s">
        <v>86</v>
      </c>
      <c r="E21" s="26" t="s">
        <v>40</v>
      </c>
      <c r="F21" s="28" t="s">
        <v>77</v>
      </c>
      <c r="G21" s="26">
        <v>0.5</v>
      </c>
      <c r="H21" s="24" t="s">
        <v>20</v>
      </c>
      <c r="I21" s="27" t="s">
        <v>93</v>
      </c>
    </row>
    <row r="22" spans="2:9" ht="55.2">
      <c r="B22" s="23" t="s">
        <v>72</v>
      </c>
      <c r="C22" s="24" t="s">
        <v>14</v>
      </c>
      <c r="D22" s="25" t="s">
        <v>86</v>
      </c>
      <c r="E22" s="26" t="s">
        <v>40</v>
      </c>
      <c r="F22" s="28" t="s">
        <v>77</v>
      </c>
      <c r="G22" s="26">
        <v>1</v>
      </c>
      <c r="H22" s="24" t="s">
        <v>20</v>
      </c>
      <c r="I22" s="27" t="s">
        <v>107</v>
      </c>
    </row>
    <row r="23" spans="2:9" ht="27.6">
      <c r="B23" s="23" t="s">
        <v>72</v>
      </c>
      <c r="C23" s="24" t="s">
        <v>18</v>
      </c>
      <c r="D23" s="25" t="s">
        <v>91</v>
      </c>
      <c r="E23" s="26" t="s">
        <v>27</v>
      </c>
      <c r="F23" s="24"/>
      <c r="G23" s="26">
        <v>0.5</v>
      </c>
      <c r="H23" s="24" t="s">
        <v>78</v>
      </c>
      <c r="I23" s="27" t="s">
        <v>110</v>
      </c>
    </row>
    <row r="24" spans="2:9" ht="41.4">
      <c r="B24" s="23" t="s">
        <v>72</v>
      </c>
      <c r="C24" s="24" t="s">
        <v>81</v>
      </c>
      <c r="D24" s="25" t="s">
        <v>98</v>
      </c>
      <c r="E24" s="26" t="s">
        <v>27</v>
      </c>
      <c r="F24" s="28" t="s">
        <v>74</v>
      </c>
      <c r="G24" s="26">
        <v>1.5</v>
      </c>
      <c r="H24" s="24" t="s">
        <v>34</v>
      </c>
      <c r="I24" s="27" t="s">
        <v>103</v>
      </c>
    </row>
    <row r="25" spans="2:9" ht="27.6">
      <c r="B25" s="23" t="s">
        <v>72</v>
      </c>
      <c r="C25" s="24" t="s">
        <v>18</v>
      </c>
      <c r="D25" s="25" t="s">
        <v>91</v>
      </c>
      <c r="E25" s="26" t="s">
        <v>27</v>
      </c>
      <c r="F25" s="24"/>
      <c r="G25" s="26">
        <v>1</v>
      </c>
      <c r="H25" s="24" t="s">
        <v>78</v>
      </c>
      <c r="I25" s="27" t="s">
        <v>92</v>
      </c>
    </row>
    <row r="26" spans="2:9" ht="27.6">
      <c r="B26" s="23" t="s">
        <v>72</v>
      </c>
      <c r="C26" s="24" t="s">
        <v>18</v>
      </c>
      <c r="D26" s="25" t="s">
        <v>76</v>
      </c>
      <c r="E26" s="26" t="s">
        <v>27</v>
      </c>
      <c r="F26" s="24"/>
      <c r="G26" s="26">
        <v>2</v>
      </c>
      <c r="H26" s="24" t="s">
        <v>78</v>
      </c>
      <c r="I26" s="27" t="s">
        <v>75</v>
      </c>
    </row>
    <row r="27" spans="2:9">
      <c r="B27" s="8"/>
      <c r="C27" s="9"/>
      <c r="D27" s="10"/>
      <c r="E27" s="10"/>
      <c r="F27" s="11" t="s">
        <v>67</v>
      </c>
      <c r="G27" s="32">
        <f>SUM(G3:G26)</f>
        <v>37.200000000000003</v>
      </c>
      <c r="H27" s="33"/>
      <c r="I27" s="34"/>
    </row>
    <row r="28" spans="2:9" ht="15" thickBot="1">
      <c r="B28" s="12"/>
      <c r="C28" s="13"/>
      <c r="D28" s="14"/>
      <c r="E28" s="14"/>
      <c r="F28" s="15" t="s">
        <v>68</v>
      </c>
      <c r="G28" s="29">
        <v>5</v>
      </c>
      <c r="H28" s="30"/>
      <c r="I28" s="31"/>
    </row>
    <row r="29" spans="2:9" ht="15" thickTop="1"/>
  </sheetData>
  <autoFilter ref="D2:D29" xr:uid="{00000000-0001-0000-0000-000000000000}"/>
  <mergeCells count="2">
    <mergeCell ref="G28:I28"/>
    <mergeCell ref="G27:I27"/>
  </mergeCells>
  <phoneticPr fontId="7" type="noConversion"/>
  <dataValidations count="3">
    <dataValidation type="list" errorStyle="warning" allowBlank="1" sqref="D4:D26" xr:uid="{F3857C4E-9525-4F1F-819A-9E6BEBB79C0E}">
      <formula1>项目事项分类项目名称</formula1>
    </dataValidation>
    <dataValidation type="list" allowBlank="1" showInputMessage="1" showErrorMessage="1" sqref="H4:H26" xr:uid="{00000000-0002-0000-0000-000000000000}">
      <formula1>hh</formula1>
    </dataValidation>
    <dataValidation type="list" allowBlank="1" showInputMessage="1" showErrorMessage="1" sqref="F4:F26" xr:uid="{00000000-0002-0000-0000-000001000000}">
      <formula1>INDIRECT(E4)</formula1>
    </dataValidation>
  </dataValidations>
  <pageMargins left="0.7" right="0.7" top="0.75" bottom="0.75" header="0.3" footer="0.3"/>
  <pageSetup paperSize="9" orientation="portrait" verticalDpi="120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E4:E28</xm:sqref>
        </x14:dataValidation>
        <x14:dataValidation type="list" allowBlank="1" showInputMessage="1" showErrorMessage="1" xr:uid="{00000000-0002-0000-0000-000002000000}">
          <x14:formula1>
            <xm:f>数据标签!$B$2:$H$2</xm:f>
          </x14:formula1>
          <xm:sqref>C4:C28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5" workbookViewId="0">
      <selection activeCell="H13" sqref="H13"/>
    </sheetView>
  </sheetViews>
  <sheetFormatPr defaultColWidth="8.88671875" defaultRowHeight="13.8"/>
  <cols>
    <col min="1" max="1" width="8.88671875" style="1"/>
    <col min="2" max="2" width="26.88671875" style="1" customWidth="1"/>
    <col min="3" max="3" width="21.6640625" style="1" customWidth="1"/>
    <col min="4" max="7" width="28.5546875" style="1" customWidth="1"/>
    <col min="8" max="8" width="27.33203125" style="1" customWidth="1"/>
    <col min="9" max="16384" width="8.88671875" style="1"/>
  </cols>
  <sheetData>
    <row r="2" spans="1:8" ht="27.6">
      <c r="A2" s="2" t="s">
        <v>13</v>
      </c>
      <c r="B2" s="3" t="s">
        <v>14</v>
      </c>
      <c r="C2" s="3" t="s">
        <v>15</v>
      </c>
      <c r="D2" s="3" t="s">
        <v>16</v>
      </c>
      <c r="E2" s="3" t="s">
        <v>17</v>
      </c>
      <c r="F2" s="3" t="s">
        <v>69</v>
      </c>
      <c r="G2" s="3" t="s">
        <v>60</v>
      </c>
      <c r="H2" s="3" t="s">
        <v>18</v>
      </c>
    </row>
    <row r="3" spans="1:8" ht="41.4">
      <c r="A3" s="2" t="s">
        <v>19</v>
      </c>
      <c r="B3" s="3" t="s">
        <v>20</v>
      </c>
      <c r="C3" s="3" t="s">
        <v>20</v>
      </c>
      <c r="D3" s="3" t="s">
        <v>20</v>
      </c>
      <c r="E3" s="3" t="s">
        <v>21</v>
      </c>
      <c r="F3" s="3" t="s">
        <v>22</v>
      </c>
      <c r="G3" s="3" t="s">
        <v>23</v>
      </c>
      <c r="H3" s="3" t="s">
        <v>24</v>
      </c>
    </row>
    <row r="4" spans="1:8" ht="41.4">
      <c r="B4" s="3" t="s">
        <v>25</v>
      </c>
      <c r="C4" s="3" t="s">
        <v>25</v>
      </c>
      <c r="D4" s="3" t="s">
        <v>25</v>
      </c>
      <c r="E4" s="3" t="s">
        <v>26</v>
      </c>
      <c r="F4" s="5" t="s">
        <v>62</v>
      </c>
      <c r="G4" s="3" t="s">
        <v>58</v>
      </c>
      <c r="H4" s="3" t="s">
        <v>61</v>
      </c>
    </row>
    <row r="5" spans="1:8" ht="27.6">
      <c r="B5" s="3" t="s">
        <v>28</v>
      </c>
      <c r="C5" s="3" t="s">
        <v>28</v>
      </c>
      <c r="D5" s="3" t="s">
        <v>28</v>
      </c>
      <c r="E5" s="3" t="s">
        <v>29</v>
      </c>
      <c r="F5" s="1" t="s">
        <v>27</v>
      </c>
      <c r="G5" s="3" t="s">
        <v>30</v>
      </c>
      <c r="H5" s="3" t="s">
        <v>31</v>
      </c>
    </row>
    <row r="6" spans="1:8" ht="27.6">
      <c r="B6" s="3" t="s">
        <v>32</v>
      </c>
      <c r="C6" s="3" t="s">
        <v>32</v>
      </c>
      <c r="D6" s="3" t="s">
        <v>32</v>
      </c>
      <c r="E6" s="3" t="s">
        <v>33</v>
      </c>
      <c r="G6" s="3" t="s">
        <v>34</v>
      </c>
      <c r="H6" s="3" t="s">
        <v>35</v>
      </c>
    </row>
    <row r="7" spans="1:8" ht="41.4">
      <c r="B7" s="3" t="s">
        <v>36</v>
      </c>
      <c r="C7" s="3" t="s">
        <v>36</v>
      </c>
      <c r="D7" s="3" t="s">
        <v>36</v>
      </c>
      <c r="E7" s="3" t="s">
        <v>37</v>
      </c>
      <c r="G7" s="1" t="s">
        <v>27</v>
      </c>
      <c r="H7" s="3" t="s">
        <v>38</v>
      </c>
    </row>
    <row r="8" spans="1:8">
      <c r="B8" s="1" t="s">
        <v>27</v>
      </c>
      <c r="C8" s="1" t="s">
        <v>27</v>
      </c>
      <c r="D8" s="1" t="s">
        <v>27</v>
      </c>
      <c r="E8" s="6"/>
      <c r="F8" s="5"/>
      <c r="G8" s="6"/>
      <c r="H8" s="6" t="s">
        <v>71</v>
      </c>
    </row>
    <row r="9" spans="1:8">
      <c r="C9" s="6"/>
      <c r="D9" s="6"/>
      <c r="H9" s="1" t="s">
        <v>66</v>
      </c>
    </row>
    <row r="11" spans="1:8">
      <c r="A11" s="1" t="s">
        <v>39</v>
      </c>
      <c r="B11" s="1" t="s">
        <v>40</v>
      </c>
      <c r="C11" s="1" t="s">
        <v>41</v>
      </c>
      <c r="D11" s="1" t="s">
        <v>27</v>
      </c>
    </row>
    <row r="12" spans="1:8" ht="55.2">
      <c r="A12" s="1" t="s">
        <v>42</v>
      </c>
      <c r="B12" s="3" t="s">
        <v>43</v>
      </c>
    </row>
    <row r="13" spans="1:8" ht="41.4">
      <c r="B13" s="3" t="s">
        <v>55</v>
      </c>
      <c r="C13" s="4" t="s">
        <v>56</v>
      </c>
      <c r="D13" s="4" t="s">
        <v>56</v>
      </c>
    </row>
    <row r="14" spans="1:8" ht="41.4">
      <c r="B14" s="3" t="s">
        <v>44</v>
      </c>
      <c r="C14" s="4" t="s">
        <v>56</v>
      </c>
      <c r="D14" s="4" t="s">
        <v>56</v>
      </c>
    </row>
    <row r="15" spans="1:8" ht="55.2">
      <c r="B15" s="3" t="s">
        <v>45</v>
      </c>
      <c r="C15" s="4" t="s">
        <v>56</v>
      </c>
      <c r="D15" s="4" t="s">
        <v>56</v>
      </c>
    </row>
    <row r="16" spans="1:8" ht="55.2">
      <c r="B16" s="3" t="s">
        <v>46</v>
      </c>
      <c r="C16" s="4" t="s">
        <v>56</v>
      </c>
      <c r="D16" s="4" t="s">
        <v>56</v>
      </c>
    </row>
    <row r="17" spans="2:4" ht="55.2">
      <c r="B17" s="3" t="s">
        <v>47</v>
      </c>
      <c r="C17" s="4" t="s">
        <v>56</v>
      </c>
      <c r="D17" s="4" t="s">
        <v>56</v>
      </c>
    </row>
    <row r="18" spans="2:4" ht="69">
      <c r="B18" s="3" t="s">
        <v>48</v>
      </c>
      <c r="C18" s="4" t="s">
        <v>56</v>
      </c>
      <c r="D18" s="4" t="s">
        <v>56</v>
      </c>
    </row>
    <row r="19" spans="2:4" ht="55.2">
      <c r="B19" s="3" t="s">
        <v>49</v>
      </c>
      <c r="C19" s="4" t="s">
        <v>56</v>
      </c>
      <c r="D19" s="4" t="s">
        <v>56</v>
      </c>
    </row>
    <row r="20" spans="2:4" ht="41.4">
      <c r="B20" s="3" t="s">
        <v>63</v>
      </c>
      <c r="C20" s="4" t="s">
        <v>56</v>
      </c>
      <c r="D20" s="4" t="s">
        <v>56</v>
      </c>
    </row>
    <row r="21" spans="2:4" ht="41.4">
      <c r="B21" s="3" t="s">
        <v>50</v>
      </c>
      <c r="C21" s="4" t="s">
        <v>56</v>
      </c>
      <c r="D21" s="4" t="s">
        <v>56</v>
      </c>
    </row>
    <row r="22" spans="2:4" ht="41.4">
      <c r="B22" s="3" t="s">
        <v>64</v>
      </c>
      <c r="C22" s="4" t="s">
        <v>56</v>
      </c>
      <c r="D22" s="4" t="s">
        <v>56</v>
      </c>
    </row>
    <row r="23" spans="2:4" ht="41.4">
      <c r="B23" s="3" t="s">
        <v>65</v>
      </c>
      <c r="C23" s="4"/>
      <c r="D23" s="4"/>
    </row>
    <row r="24" spans="2:4" ht="96.6">
      <c r="B24" s="3" t="s">
        <v>54</v>
      </c>
      <c r="C24" s="4" t="s">
        <v>56</v>
      </c>
      <c r="D24" s="4" t="s">
        <v>56</v>
      </c>
    </row>
    <row r="25" spans="2:4" ht="41.4">
      <c r="B25" s="3" t="s">
        <v>51</v>
      </c>
      <c r="C25" s="4" t="s">
        <v>56</v>
      </c>
      <c r="D25" s="4" t="s">
        <v>56</v>
      </c>
    </row>
    <row r="26" spans="2:4" ht="41.4">
      <c r="B26" s="3" t="s">
        <v>52</v>
      </c>
      <c r="C26" s="4" t="s">
        <v>56</v>
      </c>
      <c r="D26" s="4" t="s">
        <v>56</v>
      </c>
    </row>
    <row r="27" spans="2:4" ht="27.6">
      <c r="B27" s="3" t="s">
        <v>53</v>
      </c>
      <c r="C27" s="4" t="s">
        <v>56</v>
      </c>
      <c r="D27" s="4"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2025-06-10T10:48:27Z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