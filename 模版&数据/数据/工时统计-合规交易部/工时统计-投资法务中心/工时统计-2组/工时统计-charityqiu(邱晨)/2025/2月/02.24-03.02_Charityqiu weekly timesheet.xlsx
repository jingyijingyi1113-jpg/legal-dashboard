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98EA1D75-E57C-4B74-8D0E-93C1437E9542}"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externalReferences>
    <externalReference r:id="rId3"/>
  </externalReference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<sst xmlns="http://schemas.openxmlformats.org/spreadsheetml/2006/main" count="330" uniqueCount="129">
  <si>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</si>
  <si>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</si>
  <si>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</si>
  <si>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</si>
  <si>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</si>
  <si>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</si>
  <si>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</si>
  <si>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</si>
  <si>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</si>
  <si>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</si>
  <si>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</si>
  <si>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</si>
  <si>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</si>
  <si>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</si>
  <si>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</si>
  <si>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</si>
  <si>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</si>
  <si>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</si>
  <si>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</si>
  <si>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</si>
  <si>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</si>
  <si>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</si>
  <si>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</si>
  <si>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</si>
  <si>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</si>
  <si>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</si>
  <si>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</si>
  <si>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</si>
  <si>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</si>
  <si>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</si>
  <si>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</si>
  <si>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</si>
  <si>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</si>
  <si>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</si>
  <si>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</si>
  <si>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</si>
  <si>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</si>
  <si>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</si>
  <si>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</si>
  <si>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</si>
  <si>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</si>
  <si>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</si>
  <si>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</si>
  <si>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</si>
  <si>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</si>
  <si>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</si>
  <si>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</si>
  <si>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</si>
  <si>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</si>
  <si>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</si>
  <si>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</si>
  <si>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</si>
  <si>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</si>
  <si>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</si>
  <si>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</si>
  <si>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</si>
  <si>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</si>
  <si>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</si>
  <si>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</si>
  <si>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</si>
  <si>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</si>
  <si>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</si>
  <si>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</si>
  <si>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</si>
  <si>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</si>
  <si>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</si>
  <si>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</si>
  <si>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</si>
  <si>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</si>
  <si>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</si>
  <si>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</si>
  <si>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</si>
  <si>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</si>
  <si>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</si>
  <si>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</si>
  <si>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</si>
  <si>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Hotdesk</t>
  </si>
  <si>
    <t>timesheet</t>
  </si>
  <si>
    <t>资本市场、投融资活动创新突破 Innovative breakthroughs in investments and capital market transactions</t>
  </si>
  <si>
    <t>优化Hotdesk和专家组制度 Optimization of Hotdesk and expert panel system</t>
  </si>
  <si>
    <t>Recording/reviewing deals updates/weekly time reports/other team summaries</t>
  </si>
  <si>
    <t>Riot</t>
  </si>
  <si>
    <t>Covered call template</t>
  </si>
  <si>
    <t>SD</t>
  </si>
  <si>
    <t>Public - Infrastructure &amp; Guidance</t>
  </si>
  <si>
    <t>二级市场交易法务评估流程</t>
  </si>
  <si>
    <t>资本市场证券交易全流程合规体系建设 Full-process compliance system  for securities trading in capital markets</t>
  </si>
  <si>
    <t>TPP</t>
  </si>
  <si>
    <t>Nubank</t>
  </si>
  <si>
    <t>TME</t>
  </si>
  <si>
    <t>GMM</t>
  </si>
  <si>
    <t>Wharehouse structure discussion</t>
  </si>
  <si>
    <t>sort out loan agreement and discuss with Finance about assignment</t>
  </si>
  <si>
    <t>Nicolo acceleration discussion and performance bonus review</t>
  </si>
  <si>
    <t>discuss with IR about America first policy</t>
  </si>
  <si>
    <t xml:space="preserve"> </t>
  </si>
  <si>
    <t>Discuss new structure</t>
  </si>
  <si>
    <t>update issue list reponses and send to CC</t>
  </si>
  <si>
    <t>review resolutions on director resignation/appointment</t>
  </si>
  <si>
    <t>review revised wordings by GMM</t>
  </si>
  <si>
    <t>discuss with Zac about US IPO disclosure, material contract filing</t>
  </si>
  <si>
    <t>Japanese underlying documentation discussion with Lucy</t>
  </si>
  <si>
    <t>Discuss with Flora about warrant disclosure in IPO</t>
  </si>
  <si>
    <t>Discuss with Flora about security interest amount</t>
  </si>
  <si>
    <t>Boss</t>
  </si>
  <si>
    <t>Deed of release and NM2</t>
  </si>
  <si>
    <t>Further comment on document list per tax response</t>
  </si>
  <si>
    <t>Wharehouse new structure discussion</t>
  </si>
  <si>
    <t>Discuss with Ian about investment in Fintech company listed on US</t>
  </si>
  <si>
    <t>例会</t>
  </si>
  <si>
    <t>MNPI确认流程</t>
  </si>
  <si>
    <t>Discuss with Alice about HK template</t>
  </si>
  <si>
    <t>Public - Knowledge Accumulation &amp; Sharing</t>
  </si>
  <si>
    <t>ISDA</t>
  </si>
  <si>
    <t>Providing training sessions/knowledge sharing</t>
  </si>
  <si>
    <t>Revert to Cindy's query about exercise of options</t>
  </si>
  <si>
    <t>Discuss with Lucy about IPO disclosure</t>
  </si>
  <si>
    <t>Discuss with Ian and Dexter about ISDA training</t>
  </si>
  <si>
    <t xml:space="preserve">Review Kexiao's draft internal guidance </t>
  </si>
  <si>
    <t>Discuss with Flora about collateral ofcovered call</t>
  </si>
  <si>
    <t>review revised CTA, discuss CTA undertaking, review further revised CTA by U</t>
  </si>
  <si>
    <t>internal discussion, case search and study, prepare response to MA, disucss with MA issues relating to procedures</t>
  </si>
  <si>
    <t>Discuss with team about set off timing</t>
  </si>
  <si>
    <t>Discuss with Zac about US IPO disclosure and material contract disclosure</t>
  </si>
  <si>
    <t>交接</t>
  </si>
  <si>
    <t>Yulan handover</t>
  </si>
  <si>
    <t>review revised proposal by GMM，call with MA, discuss further with GMM, draft email to TME, sort out sending logistics</t>
  </si>
  <si>
    <t>Bilibili</t>
  </si>
  <si>
    <t>review filings and respond to MA inquiry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</si>
</sst>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3" borderId="4" xfId="0" applyFont="1" applyFill="1" applyBorder="1" applyAlignment="1">
      <alignmen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7"/>
  <sheetViews>
    <sheetView tabSelected="1" topLeftCell="A4" zoomScale="80" zoomScaleNormal="100" workbookViewId="0">
      <selection activeCell="A4" sqref="A4:XFD34"/>
    </sheetView>
  </sheetViews>
  <sheetFormatPr defaultColWidth="9" defaultRowHeight="14.4"/>
  <cols>
    <col min="3" max="3" width="34.44140625" style="11" customWidth="1"/>
    <col min="4" max="4" width="21.6640625" customWidth="1"/>
    <col min="5" max="5" width="10.5546875" customWidth="1"/>
    <col min="6" max="6" width="29.88671875" style="11" customWidth="1"/>
    <col min="8" max="8" width="41.5546875" style="11" customWidth="1"/>
    <col min="9" max="9" width="39.88671875" customWidth="1"/>
  </cols>
  <sheetData>
    <row r="2" spans="2:9" ht="27.6">
      <c r="B2" s="4" t="s">
        <v>0</v>
      </c>
      <c r="C2" s="5" t="s">
        <v>70</v>
      </c>
      <c r="D2" s="5" t="s">
        <v>1</v>
      </c>
      <c r="E2" s="5" t="s">
        <v>2</v>
      </c>
      <c r="F2" s="5" t="s">
        <v>3</v>
      </c>
      <c r="G2" s="5" t="s">
        <v>4</v>
      </c>
      <c r="H2" s="5" t="s">
        <v>5</v>
      </c>
      <c r="I2" s="8" t="s">
        <v>6</v>
      </c>
    </row>
    <row r="3" spans="2:9" ht="207.9" customHeight="1">
      <c r="B3" s="6" t="s">
        <v>7</v>
      </c>
      <c r="C3" s="7" t="s">
        <v>8</v>
      </c>
      <c r="D3" s="7" t="s">
        <v>9</v>
      </c>
      <c r="E3" s="7" t="s">
        <v>59</v>
      </c>
      <c r="F3" s="7" t="s">
        <v>57</v>
      </c>
      <c r="G3" s="7" t="s">
        <v>10</v>
      </c>
      <c r="H3" s="7" t="s">
        <v>11</v>
      </c>
      <c r="I3" s="9" t="s">
        <v>12</v>
      </c>
    </row>
    <row r="4" spans="2:9" s="27" customFormat="1" ht="55.2">
      <c r="B4" s="23" t="s">
        <v>72</v>
      </c>
      <c r="C4" s="24" t="s">
        <v>14</v>
      </c>
      <c r="D4" s="25" t="s">
        <v>82</v>
      </c>
      <c r="E4" s="26" t="s">
        <v>40</v>
      </c>
      <c r="F4" s="24" t="s">
        <v>78</v>
      </c>
      <c r="G4" s="26">
        <v>1</v>
      </c>
      <c r="H4" s="24" t="s">
        <v>20</v>
      </c>
      <c r="I4" s="22" t="s">
        <v>101</v>
      </c>
    </row>
    <row r="5" spans="2:9" s="27" customFormat="1" ht="55.2">
      <c r="B5" s="23" t="s">
        <v>72</v>
      </c>
      <c r="C5" s="24" t="s">
        <v>16</v>
      </c>
      <c r="D5" s="25" t="s">
        <v>76</v>
      </c>
      <c r="E5" s="26" t="s">
        <v>40</v>
      </c>
      <c r="F5" s="24" t="s">
        <v>78</v>
      </c>
      <c r="G5" s="26">
        <v>0.5</v>
      </c>
      <c r="H5" s="24" t="s">
        <v>36</v>
      </c>
      <c r="I5" s="22" t="s">
        <v>102</v>
      </c>
    </row>
    <row r="6" spans="2:9" s="27" customFormat="1" ht="41.4">
      <c r="B6" s="23" t="s">
        <v>72</v>
      </c>
      <c r="C6" s="24" t="s">
        <v>16</v>
      </c>
      <c r="D6" s="28" t="s">
        <v>88</v>
      </c>
      <c r="E6" s="26" t="s">
        <v>40</v>
      </c>
      <c r="F6" s="24" t="s">
        <v>74</v>
      </c>
      <c r="G6" s="26">
        <v>0.5</v>
      </c>
      <c r="H6" s="24" t="s">
        <v>36</v>
      </c>
      <c r="I6" s="22" t="s">
        <v>103</v>
      </c>
    </row>
    <row r="7" spans="2:9" s="27" customFormat="1" ht="41.4">
      <c r="B7" s="23" t="s">
        <v>72</v>
      </c>
      <c r="C7" s="24" t="s">
        <v>14</v>
      </c>
      <c r="D7" s="25" t="s">
        <v>127</v>
      </c>
      <c r="E7" s="26" t="s">
        <v>40</v>
      </c>
      <c r="F7" s="24" t="s">
        <v>74</v>
      </c>
      <c r="G7" s="26">
        <v>1</v>
      </c>
      <c r="H7" s="24" t="s">
        <v>36</v>
      </c>
      <c r="I7" s="22" t="s">
        <v>128</v>
      </c>
    </row>
    <row r="8" spans="2:9" s="27" customFormat="1" ht="55.2">
      <c r="B8" s="23" t="s">
        <v>72</v>
      </c>
      <c r="C8" s="24" t="s">
        <v>14</v>
      </c>
      <c r="D8" s="25" t="s">
        <v>82</v>
      </c>
      <c r="E8" s="26" t="s">
        <v>40</v>
      </c>
      <c r="F8" s="24" t="s">
        <v>78</v>
      </c>
      <c r="G8" s="26">
        <v>1</v>
      </c>
      <c r="H8" s="24" t="s">
        <v>20</v>
      </c>
      <c r="I8" s="22" t="s">
        <v>111</v>
      </c>
    </row>
    <row r="9" spans="2:9" s="27" customFormat="1" ht="41.4">
      <c r="B9" s="23" t="s">
        <v>72</v>
      </c>
      <c r="C9" s="24" t="s">
        <v>16</v>
      </c>
      <c r="D9" s="25" t="s">
        <v>76</v>
      </c>
      <c r="E9" s="26" t="s">
        <v>40</v>
      </c>
      <c r="F9" s="24" t="s">
        <v>74</v>
      </c>
      <c r="G9" s="26">
        <v>0.5</v>
      </c>
      <c r="H9" s="24" t="s">
        <v>36</v>
      </c>
      <c r="I9" s="22" t="s">
        <v>119</v>
      </c>
    </row>
    <row r="10" spans="2:9" s="27" customFormat="1" ht="55.2">
      <c r="B10" s="23" t="s">
        <v>72</v>
      </c>
      <c r="C10" s="24" t="s">
        <v>14</v>
      </c>
      <c r="D10" s="25" t="s">
        <v>104</v>
      </c>
      <c r="E10" s="26" t="s">
        <v>40</v>
      </c>
      <c r="F10" s="24" t="s">
        <v>78</v>
      </c>
      <c r="G10" s="26">
        <v>0.5</v>
      </c>
      <c r="H10" s="24" t="s">
        <v>20</v>
      </c>
      <c r="I10" s="22" t="s">
        <v>105</v>
      </c>
    </row>
    <row r="11" spans="2:9" s="27" customFormat="1" ht="55.2">
      <c r="B11" s="23" t="s">
        <v>72</v>
      </c>
      <c r="C11" s="24" t="s">
        <v>16</v>
      </c>
      <c r="D11" s="25" t="s">
        <v>110</v>
      </c>
      <c r="E11" s="26" t="s">
        <v>40</v>
      </c>
      <c r="F11" s="24" t="s">
        <v>86</v>
      </c>
      <c r="G11" s="26">
        <v>8</v>
      </c>
      <c r="H11" s="24" t="s">
        <v>28</v>
      </c>
      <c r="I11" s="22" t="s">
        <v>121</v>
      </c>
    </row>
    <row r="12" spans="2:9" s="27" customFormat="1" ht="41.4">
      <c r="B12" s="23" t="s">
        <v>72</v>
      </c>
      <c r="C12" s="24" t="s">
        <v>16</v>
      </c>
      <c r="D12" s="25" t="s">
        <v>76</v>
      </c>
      <c r="E12" s="26" t="s">
        <v>40</v>
      </c>
      <c r="F12" s="24" t="s">
        <v>79</v>
      </c>
      <c r="G12" s="26">
        <v>0.5</v>
      </c>
      <c r="H12" s="24" t="s">
        <v>36</v>
      </c>
      <c r="I12" s="22" t="s">
        <v>108</v>
      </c>
    </row>
    <row r="13" spans="2:9" s="27" customFormat="1" ht="41.4">
      <c r="B13" s="23" t="s">
        <v>72</v>
      </c>
      <c r="C13" s="24" t="s">
        <v>16</v>
      </c>
      <c r="D13" s="25" t="s">
        <v>76</v>
      </c>
      <c r="E13" s="26" t="s">
        <v>40</v>
      </c>
      <c r="F13" s="24" t="s">
        <v>79</v>
      </c>
      <c r="G13" s="26">
        <v>1</v>
      </c>
      <c r="H13" s="24" t="s">
        <v>36</v>
      </c>
      <c r="I13" s="22" t="s">
        <v>100</v>
      </c>
    </row>
    <row r="14" spans="2:9" s="27" customFormat="1" ht="41.4">
      <c r="B14" s="23" t="s">
        <v>72</v>
      </c>
      <c r="C14" s="24" t="s">
        <v>14</v>
      </c>
      <c r="D14" s="25" t="s">
        <v>73</v>
      </c>
      <c r="E14" s="26" t="s">
        <v>40</v>
      </c>
      <c r="F14" s="24" t="s">
        <v>74</v>
      </c>
      <c r="G14" s="26">
        <v>1</v>
      </c>
      <c r="H14" s="24" t="s">
        <v>28</v>
      </c>
      <c r="I14" s="22" t="s">
        <v>96</v>
      </c>
    </row>
    <row r="15" spans="2:9" s="27" customFormat="1" ht="41.4">
      <c r="B15" s="23" t="s">
        <v>72</v>
      </c>
      <c r="C15" s="24" t="s">
        <v>16</v>
      </c>
      <c r="D15" s="25" t="s">
        <v>87</v>
      </c>
      <c r="E15" s="26" t="s">
        <v>40</v>
      </c>
      <c r="F15" s="24" t="s">
        <v>74</v>
      </c>
      <c r="G15" s="26">
        <v>1</v>
      </c>
      <c r="H15" s="24" t="s">
        <v>36</v>
      </c>
      <c r="I15" s="22" t="s">
        <v>107</v>
      </c>
    </row>
    <row r="16" spans="2:9" s="27" customFormat="1" ht="41.4">
      <c r="B16" s="23" t="s">
        <v>72</v>
      </c>
      <c r="C16" s="24" t="s">
        <v>16</v>
      </c>
      <c r="D16" s="25" t="s">
        <v>87</v>
      </c>
      <c r="E16" s="26" t="s">
        <v>40</v>
      </c>
      <c r="F16" s="24" t="s">
        <v>74</v>
      </c>
      <c r="G16" s="26">
        <v>1</v>
      </c>
      <c r="H16" s="24" t="s">
        <v>36</v>
      </c>
      <c r="I16" s="22" t="s">
        <v>91</v>
      </c>
    </row>
    <row r="17" spans="2:9" s="27" customFormat="1" ht="41.4">
      <c r="B17" s="23" t="s">
        <v>72</v>
      </c>
      <c r="C17" s="24" t="s">
        <v>16</v>
      </c>
      <c r="D17" s="25" t="s">
        <v>90</v>
      </c>
      <c r="E17" s="26" t="s">
        <v>40</v>
      </c>
      <c r="F17" s="24" t="s">
        <v>74</v>
      </c>
      <c r="G17" s="26">
        <v>0.5</v>
      </c>
      <c r="H17" s="24" t="s">
        <v>20</v>
      </c>
      <c r="I17" s="22" t="s">
        <v>99</v>
      </c>
    </row>
    <row r="18" spans="2:9" s="27" customFormat="1" ht="55.2">
      <c r="B18" s="23" t="s">
        <v>72</v>
      </c>
      <c r="C18" s="24" t="s">
        <v>112</v>
      </c>
      <c r="D18" s="25" t="s">
        <v>113</v>
      </c>
      <c r="E18" s="26" t="s">
        <v>27</v>
      </c>
      <c r="F18" s="24" t="s">
        <v>86</v>
      </c>
      <c r="G18" s="25">
        <v>0.5</v>
      </c>
      <c r="H18" s="24" t="s">
        <v>114</v>
      </c>
      <c r="I18" s="22" t="s">
        <v>117</v>
      </c>
    </row>
    <row r="19" spans="2:9" s="27" customFormat="1" ht="41.4">
      <c r="B19" s="23" t="s">
        <v>72</v>
      </c>
      <c r="C19" s="24" t="s">
        <v>16</v>
      </c>
      <c r="D19" s="25" t="s">
        <v>90</v>
      </c>
      <c r="E19" s="26" t="s">
        <v>40</v>
      </c>
      <c r="F19" s="24" t="s">
        <v>74</v>
      </c>
      <c r="G19" s="26">
        <v>2.5</v>
      </c>
      <c r="H19" s="24" t="s">
        <v>20</v>
      </c>
      <c r="I19" s="22" t="s">
        <v>126</v>
      </c>
    </row>
    <row r="20" spans="2:9" s="27" customFormat="1" ht="41.4">
      <c r="B20" s="23" t="s">
        <v>72</v>
      </c>
      <c r="C20" s="24" t="s">
        <v>16</v>
      </c>
      <c r="D20" s="25" t="s">
        <v>76</v>
      </c>
      <c r="E20" s="26" t="s">
        <v>40</v>
      </c>
      <c r="F20" s="24" t="s">
        <v>74</v>
      </c>
      <c r="G20" s="26">
        <v>0.7</v>
      </c>
      <c r="H20" s="24" t="s">
        <v>36</v>
      </c>
      <c r="I20" s="22" t="s">
        <v>115</v>
      </c>
    </row>
    <row r="21" spans="2:9" s="27" customFormat="1" ht="55.2">
      <c r="B21" s="23" t="s">
        <v>72</v>
      </c>
      <c r="C21" s="24" t="s">
        <v>16</v>
      </c>
      <c r="D21" s="25" t="s">
        <v>76</v>
      </c>
      <c r="E21" s="26" t="s">
        <v>40</v>
      </c>
      <c r="F21" s="24" t="s">
        <v>86</v>
      </c>
      <c r="G21" s="26">
        <v>0.5</v>
      </c>
      <c r="H21" s="24" t="s">
        <v>36</v>
      </c>
      <c r="I21" s="22" t="s">
        <v>116</v>
      </c>
    </row>
    <row r="22" spans="2:9" s="27" customFormat="1" ht="55.2">
      <c r="B22" s="23" t="s">
        <v>72</v>
      </c>
      <c r="C22" s="28" t="s">
        <v>84</v>
      </c>
      <c r="D22" s="28" t="s">
        <v>85</v>
      </c>
      <c r="E22" s="25" t="s">
        <v>40</v>
      </c>
      <c r="F22" s="28" t="s">
        <v>86</v>
      </c>
      <c r="G22" s="26">
        <v>0.5</v>
      </c>
      <c r="H22" s="28" t="s">
        <v>22</v>
      </c>
      <c r="I22" s="22" t="s">
        <v>118</v>
      </c>
    </row>
    <row r="23" spans="2:9" s="27" customFormat="1" ht="55.2">
      <c r="B23" s="23" t="s">
        <v>72</v>
      </c>
      <c r="C23" s="24" t="s">
        <v>16</v>
      </c>
      <c r="D23" s="25" t="s">
        <v>76</v>
      </c>
      <c r="E23" s="26" t="s">
        <v>40</v>
      </c>
      <c r="F23" s="24" t="s">
        <v>78</v>
      </c>
      <c r="G23" s="26">
        <v>0.5</v>
      </c>
      <c r="H23" s="24" t="s">
        <v>36</v>
      </c>
      <c r="I23" s="22" t="s">
        <v>123</v>
      </c>
    </row>
    <row r="24" spans="2:9" s="27" customFormat="1" ht="41.4">
      <c r="B24" s="23" t="s">
        <v>72</v>
      </c>
      <c r="C24" s="24" t="s">
        <v>16</v>
      </c>
      <c r="D24" s="25" t="s">
        <v>83</v>
      </c>
      <c r="E24" s="26" t="s">
        <v>40</v>
      </c>
      <c r="F24" s="24" t="s">
        <v>74</v>
      </c>
      <c r="G24" s="26">
        <v>1</v>
      </c>
      <c r="H24" s="24" t="s">
        <v>20</v>
      </c>
      <c r="I24" s="22" t="s">
        <v>97</v>
      </c>
    </row>
    <row r="25" spans="2:9" s="27" customFormat="1" ht="41.4">
      <c r="B25" s="23" t="s">
        <v>72</v>
      </c>
      <c r="C25" s="24" t="s">
        <v>16</v>
      </c>
      <c r="D25" s="25" t="s">
        <v>89</v>
      </c>
      <c r="E25" s="26" t="s">
        <v>40</v>
      </c>
      <c r="F25" s="24" t="s">
        <v>74</v>
      </c>
      <c r="G25" s="26">
        <v>0.3</v>
      </c>
      <c r="H25" s="24" t="s">
        <v>36</v>
      </c>
      <c r="I25" s="22" t="s">
        <v>98</v>
      </c>
    </row>
    <row r="26" spans="2:9" s="27" customFormat="1" ht="41.4">
      <c r="B26" s="23" t="s">
        <v>72</v>
      </c>
      <c r="C26" s="24" t="s">
        <v>16</v>
      </c>
      <c r="D26" s="25" t="s">
        <v>76</v>
      </c>
      <c r="E26" s="26" t="s">
        <v>40</v>
      </c>
      <c r="F26" s="24" t="s">
        <v>79</v>
      </c>
      <c r="G26" s="26">
        <v>0.5</v>
      </c>
      <c r="H26" s="24" t="s">
        <v>36</v>
      </c>
      <c r="I26" s="22" t="s">
        <v>94</v>
      </c>
    </row>
    <row r="27" spans="2:9" s="27" customFormat="1" ht="41.4">
      <c r="B27" s="23" t="s">
        <v>72</v>
      </c>
      <c r="C27" s="24" t="s">
        <v>16</v>
      </c>
      <c r="D27" s="25" t="s">
        <v>83</v>
      </c>
      <c r="E27" s="26" t="s">
        <v>40</v>
      </c>
      <c r="F27" s="24" t="s">
        <v>74</v>
      </c>
      <c r="G27" s="26">
        <v>1</v>
      </c>
      <c r="H27" s="24" t="s">
        <v>20</v>
      </c>
      <c r="I27" s="22" t="s">
        <v>106</v>
      </c>
    </row>
    <row r="28" spans="2:9" s="27" customFormat="1" ht="41.4">
      <c r="B28" s="23" t="s">
        <v>72</v>
      </c>
      <c r="C28" s="24" t="s">
        <v>14</v>
      </c>
      <c r="D28" s="25" t="s">
        <v>73</v>
      </c>
      <c r="E28" s="26" t="s">
        <v>40</v>
      </c>
      <c r="F28" s="24" t="s">
        <v>74</v>
      </c>
      <c r="G28" s="26">
        <v>1.5</v>
      </c>
      <c r="H28" s="24" t="s">
        <v>20</v>
      </c>
      <c r="I28" s="22" t="s">
        <v>120</v>
      </c>
    </row>
    <row r="29" spans="2:9" s="27" customFormat="1" ht="41.4">
      <c r="B29" s="23" t="s">
        <v>72</v>
      </c>
      <c r="C29" s="24" t="s">
        <v>16</v>
      </c>
      <c r="D29" s="25" t="s">
        <v>81</v>
      </c>
      <c r="E29" s="26" t="s">
        <v>40</v>
      </c>
      <c r="F29" s="24" t="s">
        <v>74</v>
      </c>
      <c r="G29" s="26">
        <v>1.5</v>
      </c>
      <c r="H29" s="24" t="s">
        <v>20</v>
      </c>
      <c r="I29" s="22" t="s">
        <v>93</v>
      </c>
    </row>
    <row r="30" spans="2:9" s="27" customFormat="1" ht="41.4">
      <c r="B30" s="23" t="s">
        <v>72</v>
      </c>
      <c r="C30" s="24" t="s">
        <v>16</v>
      </c>
      <c r="D30" s="25" t="s">
        <v>83</v>
      </c>
      <c r="E30" s="26" t="s">
        <v>40</v>
      </c>
      <c r="F30" s="24" t="s">
        <v>74</v>
      </c>
      <c r="G30" s="26">
        <v>3</v>
      </c>
      <c r="H30" s="24" t="s">
        <v>20</v>
      </c>
      <c r="I30" s="22" t="s">
        <v>92</v>
      </c>
    </row>
    <row r="31" spans="2:9" s="27" customFormat="1" ht="41.4">
      <c r="B31" s="23" t="s">
        <v>72</v>
      </c>
      <c r="C31" s="24" t="s">
        <v>16</v>
      </c>
      <c r="D31" s="25" t="s">
        <v>83</v>
      </c>
      <c r="E31" s="26" t="s">
        <v>40</v>
      </c>
      <c r="F31" s="24" t="s">
        <v>74</v>
      </c>
      <c r="G31" s="26">
        <v>0.5</v>
      </c>
      <c r="H31" s="24" t="s">
        <v>20</v>
      </c>
      <c r="I31" s="22" t="s">
        <v>122</v>
      </c>
    </row>
    <row r="32" spans="2:9" s="27" customFormat="1">
      <c r="B32" s="23" t="s">
        <v>72</v>
      </c>
      <c r="C32" s="24" t="s">
        <v>18</v>
      </c>
      <c r="D32" s="25" t="s">
        <v>124</v>
      </c>
      <c r="E32" s="26" t="s">
        <v>27</v>
      </c>
      <c r="F32" s="24" t="s">
        <v>95</v>
      </c>
      <c r="G32" s="26">
        <v>1</v>
      </c>
      <c r="H32" s="24" t="s">
        <v>27</v>
      </c>
      <c r="I32" s="22" t="s">
        <v>125</v>
      </c>
    </row>
    <row r="33" spans="2:9" s="27" customFormat="1">
      <c r="B33" s="23" t="s">
        <v>72</v>
      </c>
      <c r="C33" s="24" t="s">
        <v>18</v>
      </c>
      <c r="D33" s="25" t="s">
        <v>109</v>
      </c>
      <c r="E33" s="26" t="s">
        <v>27</v>
      </c>
      <c r="F33" s="24" t="s">
        <v>95</v>
      </c>
      <c r="G33" s="26">
        <v>2</v>
      </c>
      <c r="H33" s="24" t="s">
        <v>24</v>
      </c>
      <c r="I33" s="22" t="s">
        <v>109</v>
      </c>
    </row>
    <row r="34" spans="2:9" s="27" customFormat="1" ht="27.6">
      <c r="B34" s="23" t="s">
        <v>72</v>
      </c>
      <c r="C34" s="24" t="s">
        <v>18</v>
      </c>
      <c r="D34" s="25" t="s">
        <v>77</v>
      </c>
      <c r="E34" s="26" t="s">
        <v>27</v>
      </c>
      <c r="F34" s="24"/>
      <c r="G34" s="26">
        <v>2</v>
      </c>
      <c r="H34" s="24" t="s">
        <v>80</v>
      </c>
      <c r="I34" s="22" t="s">
        <v>75</v>
      </c>
    </row>
    <row r="35" spans="2:9">
      <c r="B35" s="17"/>
      <c r="C35" s="18"/>
      <c r="D35" s="19"/>
      <c r="E35" s="19"/>
      <c r="F35" s="21" t="s">
        <v>67</v>
      </c>
      <c r="G35" s="32">
        <f>SUM(G3:G34)</f>
        <v>37.5</v>
      </c>
      <c r="H35" s="33"/>
      <c r="I35" s="34"/>
    </row>
    <row r="36" spans="2:9" ht="15" thickBot="1">
      <c r="B36" s="14"/>
      <c r="C36" s="15"/>
      <c r="D36" s="16"/>
      <c r="E36" s="16"/>
      <c r="F36" s="20" t="s">
        <v>68</v>
      </c>
      <c r="G36" s="29">
        <v>5</v>
      </c>
      <c r="H36" s="30"/>
      <c r="I36" s="31"/>
    </row>
    <row r="37" spans="2:9" ht="15" thickTop="1"/>
  </sheetData>
  <mergeCells count="2">
    <mergeCell ref="G36:I36"/>
    <mergeCell ref="G35:I35"/>
  </mergeCells>
  <phoneticPr fontId="7" type="noConversion"/>
  <dataValidations count="3">
    <dataValidation type="list" errorStyle="warning" allowBlank="1" sqref="D4:D34" xr:uid="{F3857C4E-9525-4F1F-819A-9E6BEBB79C0E}">
      <formula1>项目事项分类项目名称</formula1>
    </dataValidation>
    <dataValidation type="list" allowBlank="1" showInputMessage="1" showErrorMessage="1" sqref="H4:H34" xr:uid="{00000000-0002-0000-0000-000000000000}">
      <formula1>hh</formula1>
    </dataValidation>
    <dataValidation type="list" allowBlank="1" showInputMessage="1" showErrorMessage="1" sqref="F4:F34"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E23:E36 E4:E21</xm:sqref>
        </x14:dataValidation>
        <x14:dataValidation type="list" allowBlank="1" showInputMessage="1" showErrorMessage="1" xr:uid="{00000000-0002-0000-0000-000002000000}">
          <x14:formula1>
            <xm:f>数据标签!$B$2:$H$2</xm:f>
          </x14:formula1>
          <xm:sqref>C23:C36 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12"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55.2">
      <c r="A12" s="1" t="s">
        <v>42</v>
      </c>
      <c r="B12" s="3" t="s">
        <v>43</v>
      </c>
    </row>
    <row r="13" spans="1:8" ht="41.4">
      <c r="B13" s="3" t="s">
        <v>55</v>
      </c>
      <c r="C13" s="10" t="s">
        <v>56</v>
      </c>
      <c r="D13" s="10" t="s">
        <v>56</v>
      </c>
    </row>
    <row r="14" spans="1:8" ht="41.4">
      <c r="B14" s="3" t="s">
        <v>44</v>
      </c>
      <c r="C14" s="10" t="s">
        <v>56</v>
      </c>
      <c r="D14" s="10" t="s">
        <v>56</v>
      </c>
    </row>
    <row r="15" spans="1:8" ht="55.2">
      <c r="B15" s="3" t="s">
        <v>45</v>
      </c>
      <c r="C15" s="10" t="s">
        <v>56</v>
      </c>
      <c r="D15" s="10" t="s">
        <v>56</v>
      </c>
    </row>
    <row r="16" spans="1:8" ht="55.2">
      <c r="B16" s="3" t="s">
        <v>46</v>
      </c>
      <c r="C16" s="10" t="s">
        <v>56</v>
      </c>
      <c r="D16" s="10" t="s">
        <v>56</v>
      </c>
    </row>
    <row r="17" spans="2:4" ht="55.2">
      <c r="B17" s="3" t="s">
        <v>47</v>
      </c>
      <c r="C17" s="10" t="s">
        <v>56</v>
      </c>
      <c r="D17" s="10" t="s">
        <v>56</v>
      </c>
    </row>
    <row r="18" spans="2:4" ht="69">
      <c r="B18" s="3" t="s">
        <v>48</v>
      </c>
      <c r="C18" s="10" t="s">
        <v>56</v>
      </c>
      <c r="D18" s="10" t="s">
        <v>56</v>
      </c>
    </row>
    <row r="19" spans="2:4" ht="55.2">
      <c r="B19" s="3" t="s">
        <v>49</v>
      </c>
      <c r="C19" s="10" t="s">
        <v>56</v>
      </c>
      <c r="D19" s="10" t="s">
        <v>56</v>
      </c>
    </row>
    <row r="20" spans="2:4" ht="41.4">
      <c r="B20" s="3" t="s">
        <v>63</v>
      </c>
      <c r="C20" s="10" t="s">
        <v>56</v>
      </c>
      <c r="D20" s="10" t="s">
        <v>56</v>
      </c>
    </row>
    <row r="21" spans="2:4" ht="41.4">
      <c r="B21" s="3" t="s">
        <v>50</v>
      </c>
      <c r="C21" s="10" t="s">
        <v>56</v>
      </c>
      <c r="D21" s="10" t="s">
        <v>56</v>
      </c>
    </row>
    <row r="22" spans="2:4" ht="41.4">
      <c r="B22" s="3" t="s">
        <v>64</v>
      </c>
      <c r="C22" s="10" t="s">
        <v>56</v>
      </c>
      <c r="D22" s="10" t="s">
        <v>56</v>
      </c>
    </row>
    <row r="23" spans="2:4" ht="41.4">
      <c r="B23" s="3" t="s">
        <v>65</v>
      </c>
      <c r="C23" s="10"/>
      <c r="D23" s="10"/>
    </row>
    <row r="24" spans="2:4" ht="96.6">
      <c r="B24" s="3" t="s">
        <v>54</v>
      </c>
      <c r="C24" s="10" t="s">
        <v>56</v>
      </c>
      <c r="D24" s="10" t="s">
        <v>56</v>
      </c>
    </row>
    <row r="25" spans="2:4" ht="41.4">
      <c r="B25" s="3" t="s">
        <v>51</v>
      </c>
      <c r="C25" s="10" t="s">
        <v>56</v>
      </c>
      <c r="D25" s="10" t="s">
        <v>56</v>
      </c>
    </row>
    <row r="26" spans="2:4" ht="41.4">
      <c r="B26" s="3" t="s">
        <v>52</v>
      </c>
      <c r="C26" s="10" t="s">
        <v>56</v>
      </c>
      <c r="D26" s="10" t="s">
        <v>56</v>
      </c>
    </row>
    <row r="27" spans="2:4" ht="27.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2025-03-03T15:40:51Z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