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416BED70-B4CB-40DD-ACC2-56BA6E063412}"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<sst xmlns="http://schemas.openxmlformats.org/spreadsheetml/2006/main" count="321" uniqueCount="124">
  <si>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</si>
  <si>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</si>
  <si>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</si>
  <si>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</si>
  <si>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</si>
  <si>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</si>
  <si>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</si>
  <si>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</si>
  <si>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</si>
  <si>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</si>
  <si>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</si>
  <si>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</si>
  <si>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</si>
  <si>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</si>
  <si>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</si>
  <si>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</si>
  <si>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</si>
  <si>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</si>
  <si>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</si>
  <si>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</si>
  <si>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</si>
  <si>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</si>
  <si>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</si>
  <si>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</si>
  <si>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</si>
  <si>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</si>
  <si>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</si>
  <si>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</si>
  <si>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</si>
  <si>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</si>
  <si>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</si>
  <si>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</si>
  <si>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</si>
  <si>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</si>
  <si>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</si>
  <si>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</si>
  <si>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</si>
  <si>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</si>
  <si>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</si>
  <si>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</si>
  <si>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</si>
  <si>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</si>
  <si>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</si>
  <si>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</si>
  <si>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</si>
  <si>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</si>
  <si>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</si>
  <si>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</si>
  <si>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</si>
  <si>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</si>
  <si>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</si>
  <si>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</si>
  <si>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</si>
  <si>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</si>
  <si>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</si>
  <si>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</si>
  <si>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</si>
  <si>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</si>
  <si>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</si>
  <si>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</si>
  <si>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</si>
  <si>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</si>
  <si>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</si>
  <si>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</si>
  <si>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</si>
  <si>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</si>
  <si>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</si>
  <si>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</si>
  <si>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</si>
  <si>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</si>
  <si>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</si>
  <si>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</si>
  <si>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</si>
  <si>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</si>
  <si>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</si>
  <si>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</si>
  <si>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</si>
  <si>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</si>
  <si>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</si>
  <si>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优化Hotdesk和专家组制度 Optimization of Hotdesk and expert panel system</t>
  </si>
  <si>
    <t>Recording/reviewing deals updates/weekly time reports/other team summaries</t>
  </si>
  <si>
    <t>Riot</t>
  </si>
  <si>
    <t>Covered call template</t>
  </si>
  <si>
    <t>SD</t>
  </si>
  <si>
    <t>Cango</t>
  </si>
  <si>
    <t>Attend to 13G filing</t>
  </si>
  <si>
    <t>Bonus guideline review, discuss with Haylie</t>
  </si>
  <si>
    <t>Discuss with Yulan about JD MNPI</t>
  </si>
  <si>
    <t>Deal update</t>
  </si>
  <si>
    <t>deal update</t>
  </si>
  <si>
    <t>律师费</t>
  </si>
  <si>
    <t>Respond to company's inquiry about 13G filing</t>
  </si>
  <si>
    <t>CSA mechanism discussion with DPW</t>
  </si>
  <si>
    <t>Public - Infrastructure &amp; Guidance</t>
  </si>
  <si>
    <t>Commission Sharing Agreement</t>
  </si>
  <si>
    <t>review and comment on CSA</t>
  </si>
  <si>
    <t>Call with Shilu re: 13D confirmation, respond to quries from Shi Lu</t>
  </si>
  <si>
    <t>Japanese underlying documentation discussion</t>
  </si>
  <si>
    <t>discuss documentation approach to market borrow and client borrow with DPW, review revised draft</t>
  </si>
  <si>
    <t>covered call collateral disclosure discussion with Erin</t>
  </si>
  <si>
    <t>二级市场交易法务评估流程</t>
  </si>
  <si>
    <t>资本市场证券交易全流程合规体系建设 Full-process compliance system  for securities trading in capital markets</t>
  </si>
  <si>
    <t>腾讯集团上市公司证券投资交易合规管理办法细则</t>
  </si>
  <si>
    <t>Discuss with Pingping about MA comments</t>
  </si>
  <si>
    <t xml:space="preserve">Horizon Quantum </t>
  </si>
  <si>
    <t>Review and discuss with Lucy about De-spac docs</t>
  </si>
  <si>
    <t>Call with Mofo re: japanese securities law requirements</t>
  </si>
  <si>
    <t>Discuss with Huanhao about non-affiliate opinion options</t>
  </si>
  <si>
    <t>combine and conform seconary market transaction guide</t>
  </si>
  <si>
    <t>TS</t>
  </si>
  <si>
    <t>TS, DDQ</t>
  </si>
  <si>
    <t>disucssion on FEFTA change on disclosure</t>
  </si>
  <si>
    <t>Stock lending</t>
  </si>
  <si>
    <t>Discuss with finance on FEFTA implication on stock lending</t>
  </si>
  <si>
    <t>Huya</t>
  </si>
  <si>
    <t>Discuss with GCTSM about Raymond's other appointment</t>
  </si>
  <si>
    <t>Discuss with counsel about docs drafting</t>
  </si>
  <si>
    <t>discuss and agree on HK covered call approach</t>
  </si>
  <si>
    <t>Cheetah 13D discussion with Pingping</t>
  </si>
  <si>
    <t>review clean team agreement draft, review revised CTA, discuss fee quote, clean team notice discussion</t>
  </si>
  <si>
    <t>discuss with GS about covered call mechanism under CSA</t>
  </si>
  <si>
    <t>Public - Knowledge Accumulation &amp; Sharing</t>
  </si>
  <si>
    <t>双周会</t>
  </si>
  <si>
    <t>周会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</si>
</sst>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26" zoomScale="80" zoomScaleNormal="100" workbookViewId="0">
      <selection activeCell="I29" sqref="I29"/>
    </sheetView>
  </sheetViews>
  <sheetFormatPr defaultColWidth="9" defaultRowHeight="14.5"/>
  <cols>
    <col min="3" max="3" width="34.453125" style="11" customWidth="1"/>
    <col min="4" max="4" width="21.632812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27" customFormat="1" ht="52">
      <c r="B4" s="23" t="s">
        <v>72</v>
      </c>
      <c r="C4" s="24" t="s">
        <v>14</v>
      </c>
      <c r="D4" s="25" t="s">
        <v>82</v>
      </c>
      <c r="E4" s="26" t="s">
        <v>40</v>
      </c>
      <c r="F4" s="24" t="s">
        <v>78</v>
      </c>
      <c r="G4" s="26">
        <v>2.5</v>
      </c>
      <c r="H4" s="24" t="s">
        <v>20</v>
      </c>
      <c r="I4" s="22" t="s">
        <v>99</v>
      </c>
    </row>
    <row r="5" spans="2:9" s="27" customFormat="1" ht="26">
      <c r="B5" s="23" t="s">
        <v>72</v>
      </c>
      <c r="C5" s="24" t="s">
        <v>18</v>
      </c>
      <c r="D5" s="25" t="s">
        <v>88</v>
      </c>
      <c r="E5" s="26" t="s">
        <v>27</v>
      </c>
      <c r="F5" s="24"/>
      <c r="G5" s="26">
        <v>1</v>
      </c>
      <c r="H5" s="24" t="s">
        <v>80</v>
      </c>
      <c r="I5" s="22" t="s">
        <v>89</v>
      </c>
    </row>
    <row r="6" spans="2:9" s="27" customFormat="1" ht="52">
      <c r="B6" s="23" t="s">
        <v>72</v>
      </c>
      <c r="C6" s="24" t="s">
        <v>14</v>
      </c>
      <c r="D6" s="25" t="s">
        <v>82</v>
      </c>
      <c r="E6" s="26" t="s">
        <v>40</v>
      </c>
      <c r="F6" s="24" t="s">
        <v>78</v>
      </c>
      <c r="G6" s="26">
        <v>1.5</v>
      </c>
      <c r="H6" s="24" t="s">
        <v>20</v>
      </c>
      <c r="I6" s="22" t="s">
        <v>97</v>
      </c>
    </row>
    <row r="7" spans="2:9" s="27" customFormat="1" ht="52">
      <c r="B7" s="23" t="s">
        <v>72</v>
      </c>
      <c r="C7" s="24" t="s">
        <v>14</v>
      </c>
      <c r="D7" s="25" t="s">
        <v>82</v>
      </c>
      <c r="E7" s="26" t="s">
        <v>40</v>
      </c>
      <c r="F7" s="24" t="s">
        <v>78</v>
      </c>
      <c r="G7" s="26">
        <v>1</v>
      </c>
      <c r="H7" s="24" t="s">
        <v>20</v>
      </c>
      <c r="I7" s="22" t="s">
        <v>117</v>
      </c>
    </row>
    <row r="8" spans="2:9" s="27" customFormat="1" ht="52">
      <c r="B8" s="23" t="s">
        <v>72</v>
      </c>
      <c r="C8" s="24" t="s">
        <v>14</v>
      </c>
      <c r="D8" s="25" t="s">
        <v>82</v>
      </c>
      <c r="E8" s="26" t="s">
        <v>40</v>
      </c>
      <c r="F8" s="24" t="s">
        <v>78</v>
      </c>
      <c r="G8" s="26">
        <v>1</v>
      </c>
      <c r="H8" s="24" t="s">
        <v>20</v>
      </c>
      <c r="I8" s="22" t="s">
        <v>98</v>
      </c>
    </row>
    <row r="9" spans="2:9" s="27" customFormat="1" ht="52">
      <c r="B9" s="23" t="s">
        <v>72</v>
      </c>
      <c r="C9" s="24" t="s">
        <v>14</v>
      </c>
      <c r="D9" s="25" t="s">
        <v>82</v>
      </c>
      <c r="E9" s="26" t="s">
        <v>40</v>
      </c>
      <c r="F9" s="24" t="s">
        <v>78</v>
      </c>
      <c r="G9" s="26">
        <v>1</v>
      </c>
      <c r="H9" s="24" t="s">
        <v>20</v>
      </c>
      <c r="I9" s="22" t="s">
        <v>92</v>
      </c>
    </row>
    <row r="10" spans="2:9" s="27" customFormat="1" ht="52">
      <c r="B10" s="23" t="s">
        <v>72</v>
      </c>
      <c r="C10" s="24" t="s">
        <v>93</v>
      </c>
      <c r="D10" s="34" t="s">
        <v>94</v>
      </c>
      <c r="E10" s="26" t="s">
        <v>40</v>
      </c>
      <c r="F10" s="24" t="s">
        <v>78</v>
      </c>
      <c r="G10" s="26">
        <v>2</v>
      </c>
      <c r="H10" s="24" t="s">
        <v>27</v>
      </c>
      <c r="I10" s="22" t="s">
        <v>95</v>
      </c>
    </row>
    <row r="11" spans="2:9" s="27" customFormat="1" ht="39">
      <c r="B11" s="23" t="s">
        <v>72</v>
      </c>
      <c r="C11" s="24" t="s">
        <v>15</v>
      </c>
      <c r="D11" s="34" t="s">
        <v>104</v>
      </c>
      <c r="E11" s="26" t="s">
        <v>40</v>
      </c>
      <c r="F11" s="24" t="s">
        <v>74</v>
      </c>
      <c r="G11" s="26">
        <v>1</v>
      </c>
      <c r="H11" s="24" t="s">
        <v>20</v>
      </c>
      <c r="I11" s="22" t="s">
        <v>105</v>
      </c>
    </row>
    <row r="12" spans="2:9" s="27" customFormat="1" ht="52">
      <c r="B12" s="23" t="s">
        <v>72</v>
      </c>
      <c r="C12" s="24" t="s">
        <v>14</v>
      </c>
      <c r="D12" s="25" t="s">
        <v>82</v>
      </c>
      <c r="E12" s="26" t="s">
        <v>40</v>
      </c>
      <c r="F12" s="24" t="s">
        <v>78</v>
      </c>
      <c r="G12" s="26">
        <v>1</v>
      </c>
      <c r="H12" s="24" t="s">
        <v>20</v>
      </c>
      <c r="I12" s="22" t="s">
        <v>106</v>
      </c>
    </row>
    <row r="13" spans="2:9" s="27" customFormat="1" ht="52">
      <c r="B13" s="23" t="s">
        <v>72</v>
      </c>
      <c r="C13" s="24" t="s">
        <v>14</v>
      </c>
      <c r="D13" s="25" t="s">
        <v>82</v>
      </c>
      <c r="E13" s="26" t="s">
        <v>40</v>
      </c>
      <c r="F13" s="24" t="s">
        <v>78</v>
      </c>
      <c r="G13" s="26">
        <v>1.5</v>
      </c>
      <c r="H13" s="24" t="s">
        <v>20</v>
      </c>
      <c r="I13" s="22" t="s">
        <v>111</v>
      </c>
    </row>
    <row r="14" spans="2:9" s="27" customFormat="1" ht="39">
      <c r="B14" s="23" t="s">
        <v>72</v>
      </c>
      <c r="C14" s="24" t="s">
        <v>16</v>
      </c>
      <c r="D14" s="25" t="s">
        <v>76</v>
      </c>
      <c r="E14" s="26" t="s">
        <v>40</v>
      </c>
      <c r="F14" s="24" t="s">
        <v>79</v>
      </c>
      <c r="G14" s="26">
        <v>1</v>
      </c>
      <c r="H14" s="24" t="s">
        <v>36</v>
      </c>
      <c r="I14" s="22" t="s">
        <v>107</v>
      </c>
    </row>
    <row r="15" spans="2:9" s="27" customFormat="1" ht="39">
      <c r="B15" s="23" t="s">
        <v>72</v>
      </c>
      <c r="C15" s="24" t="s">
        <v>16</v>
      </c>
      <c r="D15" s="25" t="s">
        <v>76</v>
      </c>
      <c r="E15" s="26" t="s">
        <v>40</v>
      </c>
      <c r="F15" s="24" t="s">
        <v>79</v>
      </c>
      <c r="G15" s="26">
        <v>1.7</v>
      </c>
      <c r="H15" s="24" t="s">
        <v>36</v>
      </c>
      <c r="I15" s="22" t="s">
        <v>96</v>
      </c>
    </row>
    <row r="16" spans="2:9" s="27" customFormat="1" ht="39">
      <c r="B16" s="23" t="s">
        <v>72</v>
      </c>
      <c r="C16" s="24" t="s">
        <v>16</v>
      </c>
      <c r="D16" s="25" t="s">
        <v>76</v>
      </c>
      <c r="E16" s="26" t="s">
        <v>40</v>
      </c>
      <c r="F16" s="24" t="s">
        <v>79</v>
      </c>
      <c r="G16" s="26">
        <v>2</v>
      </c>
      <c r="H16" s="24" t="s">
        <v>36</v>
      </c>
      <c r="I16" s="22" t="s">
        <v>87</v>
      </c>
    </row>
    <row r="17" spans="2:9" s="27" customFormat="1" ht="39">
      <c r="B17" s="23" t="s">
        <v>72</v>
      </c>
      <c r="C17" s="24" t="s">
        <v>14</v>
      </c>
      <c r="D17" s="25" t="s">
        <v>73</v>
      </c>
      <c r="E17" s="26" t="s">
        <v>40</v>
      </c>
      <c r="F17" s="24" t="s">
        <v>74</v>
      </c>
      <c r="G17" s="26">
        <v>1</v>
      </c>
      <c r="H17" s="24" t="s">
        <v>27</v>
      </c>
      <c r="I17" s="22" t="s">
        <v>90</v>
      </c>
    </row>
    <row r="18" spans="2:9" s="27" customFormat="1" ht="39">
      <c r="B18" s="23" t="s">
        <v>72</v>
      </c>
      <c r="C18" s="24" t="s">
        <v>14</v>
      </c>
      <c r="D18" s="25" t="s">
        <v>73</v>
      </c>
      <c r="E18" s="26" t="s">
        <v>40</v>
      </c>
      <c r="F18" s="24" t="s">
        <v>74</v>
      </c>
      <c r="G18" s="26">
        <v>2</v>
      </c>
      <c r="H18" s="24" t="s">
        <v>20</v>
      </c>
      <c r="I18" s="22" t="s">
        <v>109</v>
      </c>
    </row>
    <row r="19" spans="2:9" s="27" customFormat="1" ht="39">
      <c r="B19" s="23" t="s">
        <v>72</v>
      </c>
      <c r="C19" s="24" t="s">
        <v>14</v>
      </c>
      <c r="D19" s="25" t="s">
        <v>73</v>
      </c>
      <c r="E19" s="26" t="s">
        <v>40</v>
      </c>
      <c r="F19" s="24" t="s">
        <v>74</v>
      </c>
      <c r="G19" s="26">
        <v>1</v>
      </c>
      <c r="H19" s="24" t="s">
        <v>20</v>
      </c>
      <c r="I19" s="22" t="s">
        <v>110</v>
      </c>
    </row>
    <row r="20" spans="2:9" s="27" customFormat="1" ht="39">
      <c r="B20" s="23" t="s">
        <v>72</v>
      </c>
      <c r="C20" s="24" t="s">
        <v>16</v>
      </c>
      <c r="D20" s="25" t="s">
        <v>84</v>
      </c>
      <c r="E20" s="26" t="s">
        <v>40</v>
      </c>
      <c r="F20" s="24" t="s">
        <v>74</v>
      </c>
      <c r="G20" s="26">
        <v>0.5</v>
      </c>
      <c r="H20" s="24" t="s">
        <v>36</v>
      </c>
      <c r="I20" s="22" t="s">
        <v>91</v>
      </c>
    </row>
    <row r="21" spans="2:9" s="27" customFormat="1" ht="39">
      <c r="B21" s="23" t="s">
        <v>72</v>
      </c>
      <c r="C21" s="24" t="s">
        <v>16</v>
      </c>
      <c r="D21" s="25" t="s">
        <v>84</v>
      </c>
      <c r="E21" s="26" t="s">
        <v>40</v>
      </c>
      <c r="F21" s="24" t="s">
        <v>74</v>
      </c>
      <c r="G21" s="26">
        <v>0.5</v>
      </c>
      <c r="H21" s="24" t="s">
        <v>36</v>
      </c>
      <c r="I21" s="22" t="s">
        <v>85</v>
      </c>
    </row>
    <row r="22" spans="2:9" s="27" customFormat="1" ht="52">
      <c r="B22" s="23" t="s">
        <v>72</v>
      </c>
      <c r="C22" s="24" t="s">
        <v>93</v>
      </c>
      <c r="D22" s="34" t="s">
        <v>102</v>
      </c>
      <c r="E22" s="26" t="s">
        <v>40</v>
      </c>
      <c r="F22" s="24" t="s">
        <v>101</v>
      </c>
      <c r="G22" s="26">
        <v>0.5</v>
      </c>
      <c r="H22" s="24" t="s">
        <v>22</v>
      </c>
      <c r="I22" s="22" t="s">
        <v>103</v>
      </c>
    </row>
    <row r="23" spans="2:9" s="27" customFormat="1" ht="52">
      <c r="B23" s="23" t="s">
        <v>72</v>
      </c>
      <c r="C23" s="34" t="s">
        <v>93</v>
      </c>
      <c r="D23" s="34" t="s">
        <v>100</v>
      </c>
      <c r="E23" s="25" t="s">
        <v>40</v>
      </c>
      <c r="F23" s="34" t="s">
        <v>101</v>
      </c>
      <c r="G23" s="25">
        <v>1.5</v>
      </c>
      <c r="H23" s="34" t="s">
        <v>22</v>
      </c>
      <c r="I23" s="22" t="s">
        <v>108</v>
      </c>
    </row>
    <row r="24" spans="2:9" s="27" customFormat="1" ht="52">
      <c r="B24" s="23" t="s">
        <v>72</v>
      </c>
      <c r="C24" s="24" t="s">
        <v>14</v>
      </c>
      <c r="D24" s="25" t="s">
        <v>112</v>
      </c>
      <c r="E24" s="26" t="s">
        <v>40</v>
      </c>
      <c r="F24" s="24" t="s">
        <v>78</v>
      </c>
      <c r="G24" s="26">
        <v>1</v>
      </c>
      <c r="H24" s="24" t="s">
        <v>20</v>
      </c>
      <c r="I24" s="22" t="s">
        <v>113</v>
      </c>
    </row>
    <row r="25" spans="2:9" s="27" customFormat="1" ht="39">
      <c r="B25" s="23" t="s">
        <v>72</v>
      </c>
      <c r="C25" s="24" t="s">
        <v>16</v>
      </c>
      <c r="D25" s="25" t="s">
        <v>76</v>
      </c>
      <c r="E25" s="26" t="s">
        <v>40</v>
      </c>
      <c r="F25" s="24" t="s">
        <v>79</v>
      </c>
      <c r="G25" s="26">
        <v>1</v>
      </c>
      <c r="H25" s="24" t="s">
        <v>36</v>
      </c>
      <c r="I25" s="22" t="s">
        <v>107</v>
      </c>
    </row>
    <row r="26" spans="2:9" s="27" customFormat="1" ht="39">
      <c r="B26" s="23" t="s">
        <v>72</v>
      </c>
      <c r="C26" s="24" t="s">
        <v>16</v>
      </c>
      <c r="D26" s="25" t="s">
        <v>114</v>
      </c>
      <c r="E26" s="26" t="s">
        <v>40</v>
      </c>
      <c r="F26" s="24" t="s">
        <v>74</v>
      </c>
      <c r="G26" s="26">
        <v>0.5</v>
      </c>
      <c r="H26" s="24" t="s">
        <v>36</v>
      </c>
      <c r="I26" s="22" t="s">
        <v>115</v>
      </c>
    </row>
    <row r="27" spans="2:9" s="27" customFormat="1" ht="39">
      <c r="B27" s="23" t="s">
        <v>72</v>
      </c>
      <c r="C27" s="24" t="s">
        <v>16</v>
      </c>
      <c r="D27" s="25" t="s">
        <v>76</v>
      </c>
      <c r="E27" s="26" t="s">
        <v>40</v>
      </c>
      <c r="F27" s="24" t="s">
        <v>79</v>
      </c>
      <c r="G27" s="26">
        <v>1</v>
      </c>
      <c r="H27" s="24" t="s">
        <v>36</v>
      </c>
      <c r="I27" s="22" t="s">
        <v>118</v>
      </c>
    </row>
    <row r="28" spans="2:9" s="27" customFormat="1" ht="52">
      <c r="B28" s="23" t="s">
        <v>72</v>
      </c>
      <c r="C28" s="24" t="s">
        <v>14</v>
      </c>
      <c r="D28" s="25" t="s">
        <v>82</v>
      </c>
      <c r="E28" s="26" t="s">
        <v>40</v>
      </c>
      <c r="F28" s="24" t="s">
        <v>78</v>
      </c>
      <c r="G28" s="26">
        <v>0.5</v>
      </c>
      <c r="H28" s="24" t="s">
        <v>20</v>
      </c>
      <c r="I28" s="22" t="s">
        <v>120</v>
      </c>
    </row>
    <row r="29" spans="2:9" s="27" customFormat="1" ht="26">
      <c r="B29" s="23" t="s">
        <v>72</v>
      </c>
      <c r="C29" s="24" t="s">
        <v>121</v>
      </c>
      <c r="D29" s="25" t="s">
        <v>123</v>
      </c>
      <c r="E29" s="26" t="s">
        <v>27</v>
      </c>
      <c r="F29" s="24"/>
      <c r="G29" s="26">
        <v>2</v>
      </c>
      <c r="H29" s="24" t="s">
        <v>27</v>
      </c>
      <c r="I29" s="22" t="s">
        <v>122</v>
      </c>
    </row>
    <row r="30" spans="2:9" s="27" customFormat="1" ht="26">
      <c r="B30" s="23" t="s">
        <v>72</v>
      </c>
      <c r="C30" s="24" t="s">
        <v>16</v>
      </c>
      <c r="D30" s="25" t="s">
        <v>83</v>
      </c>
      <c r="E30" s="26" t="s">
        <v>40</v>
      </c>
      <c r="F30" s="24" t="s">
        <v>74</v>
      </c>
      <c r="G30" s="26">
        <v>0.5</v>
      </c>
      <c r="H30" s="24" t="s">
        <v>36</v>
      </c>
      <c r="I30" s="22" t="s">
        <v>116</v>
      </c>
    </row>
    <row r="31" spans="2:9" s="27" customFormat="1" ht="39">
      <c r="B31" s="23" t="s">
        <v>72</v>
      </c>
      <c r="C31" s="24" t="s">
        <v>14</v>
      </c>
      <c r="D31" s="25" t="s">
        <v>73</v>
      </c>
      <c r="E31" s="26" t="s">
        <v>40</v>
      </c>
      <c r="F31" s="24" t="s">
        <v>74</v>
      </c>
      <c r="G31" s="26">
        <v>2.5</v>
      </c>
      <c r="H31" s="24" t="s">
        <v>20</v>
      </c>
      <c r="I31" s="22" t="s">
        <v>119</v>
      </c>
    </row>
    <row r="32" spans="2:9" s="27" customFormat="1" ht="26">
      <c r="B32" s="23" t="s">
        <v>72</v>
      </c>
      <c r="C32" s="24" t="s">
        <v>16</v>
      </c>
      <c r="D32" s="25" t="s">
        <v>81</v>
      </c>
      <c r="E32" s="26" t="s">
        <v>40</v>
      </c>
      <c r="F32" s="24" t="s">
        <v>74</v>
      </c>
      <c r="G32" s="26">
        <v>1</v>
      </c>
      <c r="H32" s="24" t="s">
        <v>20</v>
      </c>
      <c r="I32" s="22" t="s">
        <v>86</v>
      </c>
    </row>
    <row r="33" spans="2:9" s="27" customFormat="1" ht="26">
      <c r="B33" s="23" t="s">
        <v>72</v>
      </c>
      <c r="C33" s="24" t="s">
        <v>18</v>
      </c>
      <c r="D33" s="25" t="s">
        <v>77</v>
      </c>
      <c r="E33" s="26" t="s">
        <v>27</v>
      </c>
      <c r="F33" s="24"/>
      <c r="G33" s="26">
        <v>2</v>
      </c>
      <c r="H33" s="24" t="s">
        <v>80</v>
      </c>
      <c r="I33" s="22" t="s">
        <v>75</v>
      </c>
    </row>
    <row r="34" spans="2:9">
      <c r="B34" s="17"/>
      <c r="C34" s="18"/>
      <c r="D34" s="19"/>
      <c r="E34" s="19"/>
      <c r="F34" s="21" t="s">
        <v>67</v>
      </c>
      <c r="G34" s="31">
        <f>SUM(G3:G33)</f>
        <v>37.200000000000003</v>
      </c>
      <c r="H34" s="32"/>
      <c r="I34" s="33"/>
    </row>
    <row r="35" spans="2:9" ht="15" thickBot="1">
      <c r="B35" s="14"/>
      <c r="C35" s="15"/>
      <c r="D35" s="16"/>
      <c r="E35" s="16"/>
      <c r="F35" s="20" t="s">
        <v>68</v>
      </c>
      <c r="G35" s="28">
        <v>5</v>
      </c>
      <c r="H35" s="29"/>
      <c r="I35" s="30"/>
    </row>
    <row r="36" spans="2:9" ht="15" thickTop="1"/>
  </sheetData>
  <mergeCells count="2">
    <mergeCell ref="G35:I35"/>
    <mergeCell ref="G34:I34"/>
  </mergeCells>
  <phoneticPr fontId="7" type="noConversion"/>
  <dataValidations count="3">
    <dataValidation type="list" errorStyle="warning" allowBlank="1" sqref="D4:D33" xr:uid="{F3857C4E-9525-4F1F-819A-9E6BEBB79C0E}">
      <formula1>项目事项分类项目名称</formula1>
    </dataValidation>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 E24:E35</xm:sqref>
        </x14:dataValidation>
        <x14:dataValidation type="list" allowBlank="1" showInputMessage="1" showErrorMessage="1" xr:uid="{00000000-0002-0000-0000-000002000000}">
          <x14:formula1>
            <xm:f>数据标签!$B$2:$H$2</xm:f>
          </x14:formula1>
          <xm:sqref>C4:C22 C24:C35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2025-02-17T13:18:05Z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