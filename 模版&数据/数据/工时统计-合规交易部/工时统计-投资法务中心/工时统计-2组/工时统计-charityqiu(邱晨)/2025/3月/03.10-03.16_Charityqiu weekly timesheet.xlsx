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BF89BB4E-BC43-4B66-B3B3-45A2D97FA4A7}"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<sst xmlns="http://schemas.openxmlformats.org/spreadsheetml/2006/main" count="301" uniqueCount="120">
  <si>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</si>
  <si>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</si>
  <si>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</si>
  <si>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</si>
  <si>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</si>
  <si>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</si>
  <si>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</si>
  <si>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</si>
  <si>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</si>
  <si>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</si>
  <si>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</si>
  <si>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</si>
  <si>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</si>
  <si>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</si>
  <si>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</si>
  <si>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</si>
  <si>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</si>
  <si>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</si>
  <si>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</si>
  <si>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</si>
  <si>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</si>
  <si>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</si>
  <si>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</si>
  <si>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</si>
  <si>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</si>
  <si>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</si>
  <si>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</si>
  <si>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</si>
  <si>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</si>
  <si>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</si>
  <si>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</si>
  <si>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</si>
  <si>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</si>
  <si>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</si>
  <si>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</si>
  <si>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</si>
  <si>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</si>
  <si>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</si>
  <si>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</si>
  <si>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</si>
  <si>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</si>
  <si>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</si>
  <si>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</si>
  <si>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</si>
  <si>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</si>
  <si>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</si>
  <si>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</si>
  <si>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</si>
  <si>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</si>
  <si>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</si>
  <si>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</si>
  <si>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</si>
  <si>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</si>
  <si>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</si>
  <si>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</si>
  <si>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</si>
  <si>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</si>
  <si>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</si>
  <si>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</si>
  <si>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</si>
  <si>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</si>
  <si>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</si>
  <si>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</si>
  <si>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</si>
  <si>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</si>
  <si>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</si>
  <si>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</si>
  <si>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</si>
  <si>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</si>
  <si>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</si>
  <si>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</si>
  <si>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</si>
  <si>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</si>
  <si>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</si>
  <si>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</si>
  <si>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</si>
  <si>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Hotdesk</t>
  </si>
  <si>
    <t>timesheet</t>
  </si>
  <si>
    <t>资本市场、投融资活动创新突破 Innovative breakthroughs in investments and capital market transactions</t>
  </si>
  <si>
    <t>Recording/reviewing deals updates/weekly time reports/other team summaries</t>
  </si>
  <si>
    <t>Covered call template</t>
  </si>
  <si>
    <t>SD</t>
  </si>
  <si>
    <t>资本市场证券交易全流程合规体系建设 Full-process compliance system  for securities trading in capital markets</t>
  </si>
  <si>
    <t>GMM</t>
  </si>
  <si>
    <t xml:space="preserve"> </t>
  </si>
  <si>
    <t>Boss</t>
  </si>
  <si>
    <t>MNPI确认流程</t>
  </si>
  <si>
    <t>Public - Knowledge Accumulation &amp; Sharing</t>
  </si>
  <si>
    <t>Providing training sessions/knowledge sharing</t>
  </si>
  <si>
    <t>Huya</t>
  </si>
  <si>
    <t>13G passive change discussion with Daniel</t>
  </si>
  <si>
    <t>Discuss with Sally about US bond disclosure</t>
  </si>
  <si>
    <t>Futu</t>
  </si>
  <si>
    <t>Discuss with Yufei about concerted party</t>
  </si>
  <si>
    <t>13F call</t>
  </si>
  <si>
    <t>revise documents to reflect internal comments, circulate internally and to counsel and counterpraty for review, sort out sig pages</t>
  </si>
  <si>
    <t>CSA</t>
  </si>
  <si>
    <t>Review and comments on CSLA's comments</t>
  </si>
  <si>
    <t>resignation letter discussion</t>
  </si>
  <si>
    <t>Discuss with Zhangyang on disclosure of VIE entity</t>
  </si>
  <si>
    <t>contract training</t>
  </si>
  <si>
    <t>training</t>
  </si>
  <si>
    <t>周会</t>
  </si>
  <si>
    <t>关联方确认</t>
  </si>
  <si>
    <t>Size test</t>
  </si>
  <si>
    <t xml:space="preserve">ICM </t>
  </si>
  <si>
    <t xml:space="preserve">licensing payment </t>
  </si>
  <si>
    <t>填表</t>
  </si>
  <si>
    <t>分红</t>
  </si>
  <si>
    <t>Further respond to CLSA's comments</t>
  </si>
  <si>
    <t>Cango</t>
  </si>
  <si>
    <t>discussion on non-binding offer</t>
  </si>
  <si>
    <t>ppt deck</t>
  </si>
  <si>
    <t>weekly call</t>
  </si>
  <si>
    <t>HK company registry discussion</t>
  </si>
  <si>
    <t>Discuss about payment terms of licensing agreements, call with business team</t>
  </si>
  <si>
    <t>finalizing TS, call among all parties</t>
  </si>
  <si>
    <t>review 1st batch dd docs, review 2nd batch dd docs</t>
  </si>
  <si>
    <t>Discharge of charge, follow up on original</t>
  </si>
  <si>
    <t>Call with Erin, call with MA about MNPI confirmation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</si>
</sst>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9" fillId="3" borderId="4" xfId="0" applyFont="1" applyFill="1" applyBorder="1" applyAlignment="1">
      <alignmen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0" fillId="3" borderId="0" xfId="0" applyFill="1">
      <alignment vertical="center"/>
    </xf>
    <xf numFmtId="0" fontId="5" fillId="3" borderId="9" xfId="0" applyFont="1" applyFill="1" applyBorder="1">
      <alignment vertical="center"/>
    </xf>
    <xf numFmtId="0" fontId="5" fillId="3" borderId="10" xfId="0" applyFont="1" applyFill="1" applyBorder="1" applyAlignment="1">
      <alignment vertical="center" wrapText="1"/>
    </xf>
    <xf numFmtId="0" fontId="5" fillId="3" borderId="10" xfId="0" applyFont="1" applyFill="1" applyBorder="1">
      <alignment vertical="center"/>
    </xf>
    <xf numFmtId="0" fontId="1" fillId="3" borderId="16" xfId="0" applyFont="1" applyFill="1" applyBorder="1" applyAlignment="1">
      <alignment horizontal="right" vertical="center" wrapText="1"/>
    </xf>
    <xf numFmtId="0" fontId="5" fillId="3" borderId="5" xfId="0" applyFont="1" applyFill="1" applyBorder="1">
      <alignment vertical="center"/>
    </xf>
    <xf numFmtId="0" fontId="5" fillId="3" borderId="6" xfId="0" applyFont="1" applyFill="1" applyBorder="1" applyAlignment="1">
      <alignment vertical="center" wrapText="1"/>
    </xf>
    <xf numFmtId="0" fontId="5" fillId="3" borderId="6" xfId="0" applyFont="1" applyFill="1" applyBorder="1">
      <alignment vertical="center"/>
    </xf>
    <xf numFmtId="0" fontId="1" fillId="3" borderId="12" xfId="0" applyFont="1" applyFill="1" applyBorder="1" applyAlignment="1">
      <alignment horizontal="right" vertical="center" wrapText="1"/>
    </xf>
    <xf numFmtId="0" fontId="1" fillId="3" borderId="13" xfId="0" applyFont="1" applyFill="1" applyBorder="1" applyAlignment="1">
      <alignment horizontal="left" vertical="center"/>
    </xf>
    <xf numFmtId="0" fontId="5" fillId="3" borderId="14" xfId="0" applyFont="1" applyFill="1" applyBorder="1" applyAlignment="1">
      <alignment horizontal="left" vertical="center"/>
    </xf>
    <xf numFmtId="0" fontId="5" fillId="3" borderId="15" xfId="0" applyFont="1" applyFill="1" applyBorder="1" applyAlignment="1">
      <alignment horizontal="left" vertical="center"/>
    </xf>
    <xf numFmtId="0" fontId="1" fillId="3" borderId="17" xfId="0" applyFont="1" applyFill="1" applyBorder="1" applyAlignment="1">
      <alignment horizontal="left" vertical="center"/>
    </xf>
    <xf numFmtId="0" fontId="5" fillId="3" borderId="18" xfId="0" applyFont="1" applyFill="1" applyBorder="1" applyAlignment="1">
      <alignment horizontal="left" vertical="center"/>
    </xf>
    <xf numFmtId="0" fontId="5" fillId="3"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A4" zoomScale="80" zoomScaleNormal="100" workbookViewId="0">
      <selection activeCell="H6" sqref="H6"/>
    </sheetView>
  </sheetViews>
  <sheetFormatPr defaultColWidth="9" defaultRowHeight="14.4"/>
  <cols>
    <col min="3" max="3" width="34.44140625" style="11" customWidth="1"/>
    <col min="4" max="4" width="21.6640625" customWidth="1"/>
    <col min="5" max="5" width="10.5546875" customWidth="1"/>
    <col min="6" max="6" width="29.88671875" style="11" customWidth="1"/>
    <col min="8" max="8" width="41.5546875" style="11" customWidth="1"/>
    <col min="9" max="9" width="39.88671875" customWidth="1"/>
  </cols>
  <sheetData>
    <row r="2" spans="2:9" ht="27.6">
      <c r="B2" s="4" t="s">
        <v>0</v>
      </c>
      <c r="C2" s="5" t="s">
        <v>70</v>
      </c>
      <c r="D2" s="5" t="s">
        <v>1</v>
      </c>
      <c r="E2" s="5" t="s">
        <v>2</v>
      </c>
      <c r="F2" s="5" t="s">
        <v>3</v>
      </c>
      <c r="G2" s="5" t="s">
        <v>4</v>
      </c>
      <c r="H2" s="5" t="s">
        <v>5</v>
      </c>
      <c r="I2" s="8" t="s">
        <v>6</v>
      </c>
    </row>
    <row r="3" spans="2:9" ht="207.9" customHeight="1">
      <c r="B3" s="6" t="s">
        <v>7</v>
      </c>
      <c r="C3" s="7" t="s">
        <v>8</v>
      </c>
      <c r="D3" s="7" t="s">
        <v>9</v>
      </c>
      <c r="E3" s="7" t="s">
        <v>59</v>
      </c>
      <c r="F3" s="7" t="s">
        <v>57</v>
      </c>
      <c r="G3" s="7" t="s">
        <v>10</v>
      </c>
      <c r="H3" s="7" t="s">
        <v>11</v>
      </c>
      <c r="I3" s="9" t="s">
        <v>12</v>
      </c>
    </row>
    <row r="4" spans="2:9" s="19" customFormat="1" ht="55.2">
      <c r="B4" s="15" t="s">
        <v>72</v>
      </c>
      <c r="C4" s="16" t="s">
        <v>14</v>
      </c>
      <c r="D4" s="17" t="s">
        <v>80</v>
      </c>
      <c r="E4" s="18" t="s">
        <v>40</v>
      </c>
      <c r="F4" s="16" t="s">
        <v>78</v>
      </c>
      <c r="G4" s="18">
        <v>1</v>
      </c>
      <c r="H4" s="16" t="s">
        <v>28</v>
      </c>
      <c r="I4" s="14" t="s">
        <v>114</v>
      </c>
    </row>
    <row r="5" spans="2:9" s="19" customFormat="1" ht="55.2">
      <c r="B5" s="15" t="s">
        <v>72</v>
      </c>
      <c r="C5" s="16" t="s">
        <v>16</v>
      </c>
      <c r="D5" s="17" t="s">
        <v>76</v>
      </c>
      <c r="E5" s="18" t="s">
        <v>40</v>
      </c>
      <c r="F5" s="16" t="s">
        <v>78</v>
      </c>
      <c r="G5" s="18">
        <v>1</v>
      </c>
      <c r="H5" s="16" t="s">
        <v>27</v>
      </c>
      <c r="I5" s="14" t="s">
        <v>94</v>
      </c>
    </row>
    <row r="6" spans="2:9" s="19" customFormat="1" ht="55.2">
      <c r="B6" s="15" t="s">
        <v>72</v>
      </c>
      <c r="C6" s="16" t="s">
        <v>16</v>
      </c>
      <c r="D6" s="17" t="s">
        <v>92</v>
      </c>
      <c r="E6" s="18" t="s">
        <v>40</v>
      </c>
      <c r="F6" s="16" t="s">
        <v>78</v>
      </c>
      <c r="G6" s="18">
        <v>0.5</v>
      </c>
      <c r="H6" s="16" t="s">
        <v>36</v>
      </c>
      <c r="I6" s="14" t="s">
        <v>93</v>
      </c>
    </row>
    <row r="7" spans="2:9" s="19" customFormat="1" ht="55.2">
      <c r="B7" s="15" t="s">
        <v>72</v>
      </c>
      <c r="C7" s="16" t="s">
        <v>16</v>
      </c>
      <c r="D7" s="17" t="s">
        <v>86</v>
      </c>
      <c r="E7" s="18" t="s">
        <v>40</v>
      </c>
      <c r="F7" s="16" t="s">
        <v>82</v>
      </c>
      <c r="G7" s="18">
        <v>1.5</v>
      </c>
      <c r="H7" s="16" t="s">
        <v>36</v>
      </c>
      <c r="I7" s="14" t="s">
        <v>119</v>
      </c>
    </row>
    <row r="8" spans="2:9" s="19" customFormat="1" ht="41.4">
      <c r="B8" s="15" t="s">
        <v>72</v>
      </c>
      <c r="C8" s="16" t="s">
        <v>14</v>
      </c>
      <c r="D8" s="17" t="s">
        <v>73</v>
      </c>
      <c r="E8" s="18" t="s">
        <v>40</v>
      </c>
      <c r="F8" s="16" t="s">
        <v>74</v>
      </c>
      <c r="G8" s="18">
        <v>2.5</v>
      </c>
      <c r="H8" s="16" t="s">
        <v>28</v>
      </c>
      <c r="I8" s="14" t="s">
        <v>116</v>
      </c>
    </row>
    <row r="9" spans="2:9" s="19" customFormat="1" ht="55.2">
      <c r="B9" s="15" t="s">
        <v>72</v>
      </c>
      <c r="C9" s="16" t="s">
        <v>16</v>
      </c>
      <c r="D9" s="17" t="s">
        <v>76</v>
      </c>
      <c r="E9" s="18" t="s">
        <v>40</v>
      </c>
      <c r="F9" s="16" t="s">
        <v>78</v>
      </c>
      <c r="G9" s="18">
        <v>0.5</v>
      </c>
      <c r="H9" s="16" t="s">
        <v>36</v>
      </c>
      <c r="I9" s="14" t="s">
        <v>91</v>
      </c>
    </row>
    <row r="10" spans="2:9" s="19" customFormat="1" ht="41.4">
      <c r="B10" s="15" t="s">
        <v>72</v>
      </c>
      <c r="C10" s="16" t="s">
        <v>14</v>
      </c>
      <c r="D10" s="17" t="s">
        <v>73</v>
      </c>
      <c r="E10" s="18" t="s">
        <v>40</v>
      </c>
      <c r="F10" s="16" t="s">
        <v>74</v>
      </c>
      <c r="G10" s="18">
        <v>1.5</v>
      </c>
      <c r="H10" s="16" t="s">
        <v>20</v>
      </c>
      <c r="I10" s="14" t="s">
        <v>105</v>
      </c>
    </row>
    <row r="11" spans="2:9" s="19" customFormat="1" ht="41.4">
      <c r="B11" s="15" t="s">
        <v>72</v>
      </c>
      <c r="C11" s="16" t="s">
        <v>14</v>
      </c>
      <c r="D11" s="17" t="s">
        <v>73</v>
      </c>
      <c r="E11" s="18" t="s">
        <v>40</v>
      </c>
      <c r="F11" s="16" t="s">
        <v>74</v>
      </c>
      <c r="G11" s="18">
        <v>0.5</v>
      </c>
      <c r="H11" s="16" t="s">
        <v>36</v>
      </c>
      <c r="I11" s="14" t="s">
        <v>106</v>
      </c>
    </row>
    <row r="12" spans="2:9" s="19" customFormat="1" ht="41.4">
      <c r="B12" s="15" t="s">
        <v>72</v>
      </c>
      <c r="C12" s="16" t="s">
        <v>14</v>
      </c>
      <c r="D12" s="17" t="s">
        <v>73</v>
      </c>
      <c r="E12" s="18" t="s">
        <v>40</v>
      </c>
      <c r="F12" s="16" t="s">
        <v>74</v>
      </c>
      <c r="G12" s="18">
        <v>1</v>
      </c>
      <c r="H12" s="16" t="s">
        <v>20</v>
      </c>
      <c r="I12" s="14" t="s">
        <v>113</v>
      </c>
    </row>
    <row r="13" spans="2:9" s="19" customFormat="1" ht="41.4">
      <c r="B13" s="15" t="s">
        <v>72</v>
      </c>
      <c r="C13" s="16" t="s">
        <v>16</v>
      </c>
      <c r="D13" s="17" t="s">
        <v>76</v>
      </c>
      <c r="E13" s="18" t="s">
        <v>40</v>
      </c>
      <c r="F13" s="16" t="s">
        <v>74</v>
      </c>
      <c r="G13" s="17">
        <v>0.5</v>
      </c>
      <c r="H13" s="16" t="s">
        <v>36</v>
      </c>
      <c r="I13" s="14" t="s">
        <v>99</v>
      </c>
    </row>
    <row r="14" spans="2:9" s="19" customFormat="1" ht="41.4">
      <c r="B14" s="15" t="s">
        <v>72</v>
      </c>
      <c r="C14" s="16" t="s">
        <v>16</v>
      </c>
      <c r="D14" s="17" t="s">
        <v>83</v>
      </c>
      <c r="E14" s="18" t="s">
        <v>40</v>
      </c>
      <c r="F14" s="16" t="s">
        <v>74</v>
      </c>
      <c r="G14" s="17">
        <v>0.2</v>
      </c>
      <c r="H14" s="16" t="s">
        <v>20</v>
      </c>
      <c r="I14" s="14" t="s">
        <v>98</v>
      </c>
    </row>
    <row r="15" spans="2:9" s="19" customFormat="1" ht="41.4">
      <c r="B15" s="15" t="s">
        <v>72</v>
      </c>
      <c r="C15" s="16" t="s">
        <v>16</v>
      </c>
      <c r="D15" s="17" t="s">
        <v>76</v>
      </c>
      <c r="E15" s="18" t="s">
        <v>40</v>
      </c>
      <c r="F15" s="16" t="s">
        <v>74</v>
      </c>
      <c r="G15" s="17">
        <v>0.5</v>
      </c>
      <c r="H15" s="16" t="s">
        <v>36</v>
      </c>
      <c r="I15" s="14" t="s">
        <v>90</v>
      </c>
    </row>
    <row r="16" spans="2:9" s="19" customFormat="1" ht="41.4">
      <c r="B16" s="15" t="s">
        <v>72</v>
      </c>
      <c r="C16" s="16" t="s">
        <v>16</v>
      </c>
      <c r="D16" s="17" t="s">
        <v>83</v>
      </c>
      <c r="E16" s="18" t="s">
        <v>40</v>
      </c>
      <c r="F16" s="16" t="s">
        <v>74</v>
      </c>
      <c r="G16" s="17">
        <v>0.5</v>
      </c>
      <c r="H16" s="16" t="s">
        <v>20</v>
      </c>
      <c r="I16" s="14" t="s">
        <v>108</v>
      </c>
    </row>
    <row r="17" spans="2:9" s="19" customFormat="1" ht="41.4">
      <c r="B17" s="15" t="s">
        <v>72</v>
      </c>
      <c r="C17" s="16" t="s">
        <v>16</v>
      </c>
      <c r="D17" s="17" t="s">
        <v>96</v>
      </c>
      <c r="E17" s="18" t="s">
        <v>40</v>
      </c>
      <c r="F17" s="16" t="s">
        <v>74</v>
      </c>
      <c r="G17" s="17">
        <v>1</v>
      </c>
      <c r="H17" s="16" t="s">
        <v>20</v>
      </c>
      <c r="I17" s="14" t="s">
        <v>109</v>
      </c>
    </row>
    <row r="18" spans="2:9" s="19" customFormat="1" ht="41.4">
      <c r="B18" s="15" t="s">
        <v>72</v>
      </c>
      <c r="C18" s="16" t="s">
        <v>16</v>
      </c>
      <c r="D18" s="17" t="s">
        <v>96</v>
      </c>
      <c r="E18" s="18" t="s">
        <v>40</v>
      </c>
      <c r="F18" s="16" t="s">
        <v>74</v>
      </c>
      <c r="G18" s="17">
        <v>1</v>
      </c>
      <c r="H18" s="16" t="s">
        <v>20</v>
      </c>
      <c r="I18" s="14" t="s">
        <v>97</v>
      </c>
    </row>
    <row r="19" spans="2:9" s="19" customFormat="1" ht="41.4">
      <c r="B19" s="15" t="s">
        <v>72</v>
      </c>
      <c r="C19" s="16" t="s">
        <v>16</v>
      </c>
      <c r="D19" s="17" t="s">
        <v>89</v>
      </c>
      <c r="E19" s="18" t="s">
        <v>40</v>
      </c>
      <c r="F19" s="16" t="s">
        <v>74</v>
      </c>
      <c r="G19" s="17">
        <v>1</v>
      </c>
      <c r="H19" s="16" t="s">
        <v>28</v>
      </c>
      <c r="I19" s="14" t="s">
        <v>103</v>
      </c>
    </row>
    <row r="20" spans="2:9" s="19" customFormat="1" ht="41.4">
      <c r="B20" s="15" t="s">
        <v>72</v>
      </c>
      <c r="C20" s="16" t="s">
        <v>14</v>
      </c>
      <c r="D20" s="17" t="s">
        <v>73</v>
      </c>
      <c r="E20" s="18" t="s">
        <v>40</v>
      </c>
      <c r="F20" s="16" t="s">
        <v>74</v>
      </c>
      <c r="G20" s="17">
        <v>2.5</v>
      </c>
      <c r="H20" s="16" t="s">
        <v>20</v>
      </c>
      <c r="I20" s="14" t="s">
        <v>117</v>
      </c>
    </row>
    <row r="21" spans="2:9" s="19" customFormat="1" ht="41.4">
      <c r="B21" s="15" t="s">
        <v>72</v>
      </c>
      <c r="C21" s="16" t="s">
        <v>14</v>
      </c>
      <c r="D21" s="17" t="s">
        <v>73</v>
      </c>
      <c r="E21" s="18" t="s">
        <v>40</v>
      </c>
      <c r="F21" s="16" t="s">
        <v>74</v>
      </c>
      <c r="G21" s="18">
        <v>3</v>
      </c>
      <c r="H21" s="16" t="s">
        <v>20</v>
      </c>
      <c r="I21" s="14" t="s">
        <v>115</v>
      </c>
    </row>
    <row r="22" spans="2:9" s="19" customFormat="1" ht="41.4">
      <c r="B22" s="15" t="s">
        <v>72</v>
      </c>
      <c r="C22" s="16" t="s">
        <v>16</v>
      </c>
      <c r="D22" s="17" t="s">
        <v>85</v>
      </c>
      <c r="E22" s="18" t="s">
        <v>40</v>
      </c>
      <c r="F22" s="16" t="s">
        <v>74</v>
      </c>
      <c r="G22" s="18">
        <v>0.3</v>
      </c>
      <c r="H22" s="16" t="s">
        <v>20</v>
      </c>
      <c r="I22" s="14" t="s">
        <v>118</v>
      </c>
    </row>
    <row r="23" spans="2:9" s="19" customFormat="1" ht="41.4">
      <c r="B23" s="15" t="s">
        <v>72</v>
      </c>
      <c r="C23" s="16" t="s">
        <v>14</v>
      </c>
      <c r="D23" s="17" t="s">
        <v>73</v>
      </c>
      <c r="E23" s="18" t="s">
        <v>40</v>
      </c>
      <c r="F23" s="16" t="s">
        <v>74</v>
      </c>
      <c r="G23" s="18">
        <v>1</v>
      </c>
      <c r="H23" s="16" t="s">
        <v>20</v>
      </c>
      <c r="I23" s="14" t="s">
        <v>104</v>
      </c>
    </row>
    <row r="24" spans="2:9" s="19" customFormat="1" ht="41.4">
      <c r="B24" s="15" t="s">
        <v>72</v>
      </c>
      <c r="C24" s="16" t="s">
        <v>14</v>
      </c>
      <c r="D24" s="17" t="s">
        <v>73</v>
      </c>
      <c r="E24" s="18" t="s">
        <v>40</v>
      </c>
      <c r="F24" s="16" t="s">
        <v>74</v>
      </c>
      <c r="G24" s="18">
        <v>2</v>
      </c>
      <c r="H24" s="16" t="s">
        <v>20</v>
      </c>
      <c r="I24" s="14" t="s">
        <v>112</v>
      </c>
    </row>
    <row r="25" spans="2:9" s="19" customFormat="1" ht="41.4">
      <c r="B25" s="15" t="s">
        <v>72</v>
      </c>
      <c r="C25" s="16" t="s">
        <v>16</v>
      </c>
      <c r="D25" s="17" t="s">
        <v>110</v>
      </c>
      <c r="E25" s="18" t="s">
        <v>40</v>
      </c>
      <c r="F25" s="16" t="s">
        <v>74</v>
      </c>
      <c r="G25" s="18">
        <v>1</v>
      </c>
      <c r="H25" s="16" t="s">
        <v>20</v>
      </c>
      <c r="I25" s="14" t="s">
        <v>111</v>
      </c>
    </row>
    <row r="26" spans="2:9" s="19" customFormat="1" ht="41.4">
      <c r="B26" s="15" t="s">
        <v>72</v>
      </c>
      <c r="C26" s="16" t="s">
        <v>16</v>
      </c>
      <c r="D26" s="17" t="s">
        <v>81</v>
      </c>
      <c r="E26" s="18" t="s">
        <v>40</v>
      </c>
      <c r="F26" s="16" t="s">
        <v>74</v>
      </c>
      <c r="G26" s="18">
        <v>5</v>
      </c>
      <c r="H26" s="16" t="s">
        <v>20</v>
      </c>
      <c r="I26" s="14" t="s">
        <v>95</v>
      </c>
    </row>
    <row r="27" spans="2:9" s="19" customFormat="1">
      <c r="B27" s="15" t="s">
        <v>72</v>
      </c>
      <c r="C27" s="16" t="s">
        <v>18</v>
      </c>
      <c r="D27" s="17" t="s">
        <v>102</v>
      </c>
      <c r="E27" s="18" t="s">
        <v>27</v>
      </c>
      <c r="F27" s="16" t="s">
        <v>84</v>
      </c>
      <c r="G27" s="18">
        <v>1.5</v>
      </c>
      <c r="H27" s="16" t="s">
        <v>24</v>
      </c>
      <c r="I27" s="14" t="s">
        <v>102</v>
      </c>
    </row>
    <row r="28" spans="2:9" s="19" customFormat="1" ht="27.6">
      <c r="B28" s="15" t="s">
        <v>72</v>
      </c>
      <c r="C28" s="16" t="s">
        <v>87</v>
      </c>
      <c r="D28" s="17" t="s">
        <v>101</v>
      </c>
      <c r="E28" s="18" t="s">
        <v>27</v>
      </c>
      <c r="F28" s="16" t="s">
        <v>84</v>
      </c>
      <c r="G28" s="18">
        <v>2.5</v>
      </c>
      <c r="H28" s="16" t="s">
        <v>88</v>
      </c>
      <c r="I28" s="14" t="s">
        <v>100</v>
      </c>
    </row>
    <row r="29" spans="2:9" s="19" customFormat="1" ht="27.6">
      <c r="B29" s="15" t="s">
        <v>72</v>
      </c>
      <c r="C29" s="16" t="s">
        <v>18</v>
      </c>
      <c r="D29" s="17" t="s">
        <v>107</v>
      </c>
      <c r="E29" s="18" t="s">
        <v>27</v>
      </c>
      <c r="F29" s="16"/>
      <c r="G29" s="18">
        <v>1</v>
      </c>
      <c r="H29" s="16" t="s">
        <v>79</v>
      </c>
      <c r="I29" s="14" t="s">
        <v>107</v>
      </c>
    </row>
    <row r="30" spans="2:9" s="19" customFormat="1" ht="27.6">
      <c r="B30" s="15" t="s">
        <v>72</v>
      </c>
      <c r="C30" s="16" t="s">
        <v>18</v>
      </c>
      <c r="D30" s="17" t="s">
        <v>77</v>
      </c>
      <c r="E30" s="18" t="s">
        <v>27</v>
      </c>
      <c r="F30" s="16"/>
      <c r="G30" s="18">
        <v>2</v>
      </c>
      <c r="H30" s="16" t="s">
        <v>79</v>
      </c>
      <c r="I30" s="14" t="s">
        <v>75</v>
      </c>
    </row>
    <row r="31" spans="2:9" s="19" customFormat="1">
      <c r="B31" s="20"/>
      <c r="C31" s="21"/>
      <c r="D31" s="22"/>
      <c r="E31" s="22"/>
      <c r="F31" s="23" t="s">
        <v>67</v>
      </c>
      <c r="G31" s="31">
        <f>SUM(G3:G30)</f>
        <v>36.5</v>
      </c>
      <c r="H31" s="32"/>
      <c r="I31" s="33"/>
    </row>
    <row r="32" spans="2:9" s="19" customFormat="1" ht="15" thickBot="1">
      <c r="B32" s="24"/>
      <c r="C32" s="25"/>
      <c r="D32" s="26"/>
      <c r="E32" s="26"/>
      <c r="F32" s="27" t="s">
        <v>68</v>
      </c>
      <c r="G32" s="28">
        <v>5</v>
      </c>
      <c r="H32" s="29"/>
      <c r="I32" s="30"/>
    </row>
    <row r="33" ht="15" thickTop="1"/>
  </sheetData>
  <mergeCells count="2">
    <mergeCell ref="G32:I32"/>
    <mergeCell ref="G31:I31"/>
  </mergeCells>
  <phoneticPr fontId="7" type="noConversion"/>
  <dataValidations count="3">
    <dataValidation type="list" errorStyle="warning" allowBlank="1" sqref="D4:D30" xr:uid="{F3857C4E-9525-4F1F-819A-9E6BEBB79C0E}">
      <formula1>项目事项分类项目名称</formula1>
    </dataValidation>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12"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55.2">
      <c r="A12" s="1" t="s">
        <v>42</v>
      </c>
      <c r="B12" s="3" t="s">
        <v>43</v>
      </c>
    </row>
    <row r="13" spans="1:8" ht="41.4">
      <c r="B13" s="3" t="s">
        <v>55</v>
      </c>
      <c r="C13" s="10" t="s">
        <v>56</v>
      </c>
      <c r="D13" s="10" t="s">
        <v>56</v>
      </c>
    </row>
    <row r="14" spans="1:8" ht="41.4">
      <c r="B14" s="3" t="s">
        <v>44</v>
      </c>
      <c r="C14" s="10" t="s">
        <v>56</v>
      </c>
      <c r="D14" s="10" t="s">
        <v>56</v>
      </c>
    </row>
    <row r="15" spans="1:8" ht="55.2">
      <c r="B15" s="3" t="s">
        <v>45</v>
      </c>
      <c r="C15" s="10" t="s">
        <v>56</v>
      </c>
      <c r="D15" s="10" t="s">
        <v>56</v>
      </c>
    </row>
    <row r="16" spans="1:8" ht="55.2">
      <c r="B16" s="3" t="s">
        <v>46</v>
      </c>
      <c r="C16" s="10" t="s">
        <v>56</v>
      </c>
      <c r="D16" s="10" t="s">
        <v>56</v>
      </c>
    </row>
    <row r="17" spans="2:4" ht="55.2">
      <c r="B17" s="3" t="s">
        <v>47</v>
      </c>
      <c r="C17" s="10" t="s">
        <v>56</v>
      </c>
      <c r="D17" s="10" t="s">
        <v>56</v>
      </c>
    </row>
    <row r="18" spans="2:4" ht="69">
      <c r="B18" s="3" t="s">
        <v>48</v>
      </c>
      <c r="C18" s="10" t="s">
        <v>56</v>
      </c>
      <c r="D18" s="10" t="s">
        <v>56</v>
      </c>
    </row>
    <row r="19" spans="2:4" ht="55.2">
      <c r="B19" s="3" t="s">
        <v>49</v>
      </c>
      <c r="C19" s="10" t="s">
        <v>56</v>
      </c>
      <c r="D19" s="10" t="s">
        <v>56</v>
      </c>
    </row>
    <row r="20" spans="2:4" ht="41.4">
      <c r="B20" s="3" t="s">
        <v>63</v>
      </c>
      <c r="C20" s="10" t="s">
        <v>56</v>
      </c>
      <c r="D20" s="10" t="s">
        <v>56</v>
      </c>
    </row>
    <row r="21" spans="2:4" ht="41.4">
      <c r="B21" s="3" t="s">
        <v>50</v>
      </c>
      <c r="C21" s="10" t="s">
        <v>56</v>
      </c>
      <c r="D21" s="10" t="s">
        <v>56</v>
      </c>
    </row>
    <row r="22" spans="2:4" ht="41.4">
      <c r="B22" s="3" t="s">
        <v>64</v>
      </c>
      <c r="C22" s="10" t="s">
        <v>56</v>
      </c>
      <c r="D22" s="10" t="s">
        <v>56</v>
      </c>
    </row>
    <row r="23" spans="2:4" ht="41.4">
      <c r="B23" s="3" t="s">
        <v>65</v>
      </c>
      <c r="C23" s="10"/>
      <c r="D23" s="10"/>
    </row>
    <row r="24" spans="2:4" ht="96.6">
      <c r="B24" s="3" t="s">
        <v>54</v>
      </c>
      <c r="C24" s="10" t="s">
        <v>56</v>
      </c>
      <c r="D24" s="10" t="s">
        <v>56</v>
      </c>
    </row>
    <row r="25" spans="2:4" ht="41.4">
      <c r="B25" s="3" t="s">
        <v>51</v>
      </c>
      <c r="C25" s="10" t="s">
        <v>56</v>
      </c>
      <c r="D25" s="10" t="s">
        <v>56</v>
      </c>
    </row>
    <row r="26" spans="2:4" ht="41.4">
      <c r="B26" s="3" t="s">
        <v>52</v>
      </c>
      <c r="C26" s="10" t="s">
        <v>56</v>
      </c>
      <c r="D26" s="10" t="s">
        <v>56</v>
      </c>
    </row>
    <row r="27" spans="2:4" ht="27.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2025-03-17T13:45:35Z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