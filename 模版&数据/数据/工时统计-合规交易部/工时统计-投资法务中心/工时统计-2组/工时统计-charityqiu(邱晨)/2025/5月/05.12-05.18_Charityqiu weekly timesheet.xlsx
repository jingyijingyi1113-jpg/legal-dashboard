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F5D6DDD2-80DE-4458-91B4-5D68A16C341A}"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_xlnm._FilterDatabase" localSheetId="0" hidden="1">个人工时记录表!$D$2:$D$34</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<sst xmlns="http://schemas.openxmlformats.org/spreadsheetml/2006/main" count="307" uniqueCount="123">
  <si>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</si>
  <si>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</si>
  <si>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</si>
  <si>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</si>
  <si>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</si>
  <si>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</si>
  <si>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</si>
  <si>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</si>
  <si>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</si>
  <si>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</si>
  <si>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</si>
  <si>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</si>
  <si>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</si>
  <si>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</si>
  <si>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</si>
  <si>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</si>
  <si>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</si>
  <si>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</si>
  <si>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</si>
  <si>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</si>
  <si>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</si>
  <si>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</si>
  <si>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</si>
  <si>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</si>
  <si>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</si>
  <si>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</si>
  <si>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</si>
  <si>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</si>
  <si>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</si>
  <si>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</si>
  <si>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</si>
  <si>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</si>
  <si>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</si>
  <si>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</si>
  <si>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</si>
  <si>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</si>
  <si>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</si>
  <si>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</si>
  <si>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</si>
  <si>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</si>
  <si>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</si>
  <si>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</si>
  <si>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</si>
  <si>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</si>
  <si>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</si>
  <si>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</si>
  <si>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</si>
  <si>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</si>
  <si>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</si>
  <si>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</si>
  <si>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</si>
  <si>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</si>
  <si>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</si>
  <si>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</si>
  <si>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</si>
  <si>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</si>
  <si>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</si>
  <si>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</si>
  <si>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</si>
  <si>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</si>
  <si>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</si>
  <si>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</si>
  <si>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</si>
  <si>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</si>
  <si>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</si>
  <si>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</si>
  <si>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</si>
  <si>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</si>
  <si>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</si>
  <si>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</si>
  <si>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</si>
  <si>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</si>
  <si>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</si>
  <si>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</si>
  <si>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</si>
  <si>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</si>
  <si>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</si>
  <si>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资本市场、投融资活动创新突破 Innovative breakthroughs in investments and capital market transactions</t>
  </si>
  <si>
    <t>Recording/reviewing deals updates/weekly time reports/other team summaries</t>
  </si>
  <si>
    <t>资本市场证券交易全流程合规体系建设 Full-process compliance system  for securities trading in capital markets</t>
  </si>
  <si>
    <t>Huya</t>
  </si>
  <si>
    <t>Hotdesk</t>
  </si>
  <si>
    <t>Public - Infrastructure &amp; Guidance</t>
  </si>
  <si>
    <t>MNPI确认流程</t>
  </si>
  <si>
    <t>SD</t>
  </si>
  <si>
    <t>Riot</t>
  </si>
  <si>
    <t>上市子公司董事审批流程</t>
  </si>
  <si>
    <t>填表</t>
  </si>
  <si>
    <t>RP关联方确认</t>
  </si>
  <si>
    <t>Zeekr</t>
  </si>
  <si>
    <t>hotdesk填表</t>
  </si>
  <si>
    <t>Huya 13D draft email to Comsec/THL directors</t>
  </si>
  <si>
    <t>call with Erin/Flora, review update talking points</t>
  </si>
  <si>
    <t>insider trading policy director certification question from Zac</t>
  </si>
  <si>
    <t>Cango</t>
  </si>
  <si>
    <t>Attend to 13G filing</t>
  </si>
  <si>
    <t>CMA filing discussion and internal work allocation disussion</t>
  </si>
  <si>
    <t>meeting with RP to discuss. Call with MA to further discuss</t>
  </si>
  <si>
    <t>call on tender offer transaction</t>
  </si>
  <si>
    <t>CTD奖项申请</t>
  </si>
  <si>
    <t>Fulltruck</t>
  </si>
  <si>
    <t>Respond to Martin's question</t>
  </si>
  <si>
    <t>Callspread</t>
  </si>
  <si>
    <t>Review DPW comments on GS template and respond to the issue list</t>
  </si>
  <si>
    <t>Revise recusal mechanism, discuss with Cindy about recusal mechanism</t>
  </si>
  <si>
    <t>Status call and filing discussion among internal teams, update regulatory tracker, disucss with GPA update on CMA briefing</t>
  </si>
  <si>
    <t>13D draft email revision per Comsec comments, sending out emails to officers of 700, attend to filing of 13D</t>
  </si>
  <si>
    <t>金融牌照填表</t>
  </si>
  <si>
    <t>Covered call</t>
  </si>
  <si>
    <t>Nomura issue list</t>
  </si>
  <si>
    <t>revert to MA's questions about take private offer by Geely</t>
  </si>
  <si>
    <t>TME</t>
  </si>
  <si>
    <t>Umbra CMA filing discussion with GPA, summary of filing analysis and status for GPA</t>
  </si>
  <si>
    <t>Legend</t>
  </si>
  <si>
    <t>Radiance loan issue</t>
  </si>
  <si>
    <t>10C India</t>
  </si>
  <si>
    <t>review historical documents, 10c关停讨论</t>
  </si>
  <si>
    <t>Review IA revised draft</t>
  </si>
  <si>
    <t>disclosure of interest inquiry</t>
  </si>
  <si>
    <t>review updated excel. Check against docs, discuss with John about Bulkhead cut off date</t>
  </si>
  <si>
    <t>Discuss with Ella about secondary market transaction checklist</t>
  </si>
  <si>
    <t>Project Brisk disucssion and size test review</t>
  </si>
  <si>
    <t>Review of call spread deck prepared by Bofa, Call with DPW, GS template, Bofa template discussion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</si>
</sst>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lignment vertical="center"/>
    </xf>
    <xf numFmtId="0" fontId="9" fillId="2" borderId="4" xfId="0" applyFont="1" applyFill="1" applyBorder="1" applyAlignment="1">
      <alignmen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0" fillId="2" borderId="0" xfId="0" applyFill="1" applyAlignment="1">
      <alignment vertical="center" wrapText="1"/>
    </xf>
    <xf numFmtId="0" fontId="1" fillId="2" borderId="4" xfId="0" applyFont="1" applyFill="1" applyBorder="1" applyAlignment="1">
      <alignmen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2" borderId="11" xfId="0" applyFont="1" applyFill="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4"/>
  <sheetViews>
    <sheetView tabSelected="1" zoomScale="115" zoomScaleNormal="115" workbookViewId="0">
      <selection activeCell="A4" sqref="A4:XFD31"/>
    </sheetView>
  </sheetViews>
  <sheetFormatPr defaultColWidth="9" defaultRowHeight="14.4"/>
  <cols>
    <col min="1" max="2" width="9" style="7"/>
    <col min="3" max="3" width="34.44140625" style="27" customWidth="1"/>
    <col min="4" max="4" width="21.6640625" style="7" customWidth="1"/>
    <col min="5" max="5" width="10.5546875" style="7" customWidth="1"/>
    <col min="6" max="6" width="29.88671875" style="27" customWidth="1"/>
    <col min="7" max="7" width="9" style="7"/>
    <col min="8" max="8" width="41.5546875" style="27" customWidth="1"/>
    <col min="9" max="9" width="39.88671875" style="7" customWidth="1"/>
    <col min="10" max="16384" width="9" style="7"/>
  </cols>
  <sheetData>
    <row r="1" spans="2:9" ht="15" thickBot="1"/>
    <row r="2" spans="2:9" ht="28.2" thickTop="1">
      <c r="B2" s="21" t="s">
        <v>0</v>
      </c>
      <c r="C2" s="22" t="s">
        <v>70</v>
      </c>
      <c r="D2" s="22" t="s">
        <v>1</v>
      </c>
      <c r="E2" s="22" t="s">
        <v>2</v>
      </c>
      <c r="F2" s="22" t="s">
        <v>3</v>
      </c>
      <c r="G2" s="22" t="s">
        <v>4</v>
      </c>
      <c r="H2" s="22" t="s">
        <v>5</v>
      </c>
      <c r="I2" s="23" t="s">
        <v>6</v>
      </c>
    </row>
    <row r="3" spans="2:9" ht="207.9" customHeight="1">
      <c r="B3" s="24" t="s">
        <v>7</v>
      </c>
      <c r="C3" s="25" t="s">
        <v>8</v>
      </c>
      <c r="D3" s="25" t="s">
        <v>9</v>
      </c>
      <c r="E3" s="25" t="s">
        <v>59</v>
      </c>
      <c r="F3" s="25" t="s">
        <v>57</v>
      </c>
      <c r="G3" s="25" t="s">
        <v>10</v>
      </c>
      <c r="H3" s="25" t="s">
        <v>11</v>
      </c>
      <c r="I3" s="26" t="s">
        <v>12</v>
      </c>
    </row>
    <row r="4" spans="2:9" ht="55.2">
      <c r="B4" s="16" t="s">
        <v>72</v>
      </c>
      <c r="C4" s="17" t="s">
        <v>16</v>
      </c>
      <c r="D4" s="18" t="s">
        <v>89</v>
      </c>
      <c r="E4" s="19" t="s">
        <v>40</v>
      </c>
      <c r="F4" s="17" t="s">
        <v>77</v>
      </c>
      <c r="G4" s="19">
        <v>3</v>
      </c>
      <c r="H4" s="17" t="s">
        <v>36</v>
      </c>
      <c r="I4" s="20" t="s">
        <v>110</v>
      </c>
    </row>
    <row r="5" spans="2:9" ht="55.2">
      <c r="B5" s="16" t="s">
        <v>72</v>
      </c>
      <c r="C5" s="17" t="s">
        <v>16</v>
      </c>
      <c r="D5" s="18" t="s">
        <v>94</v>
      </c>
      <c r="E5" s="19" t="s">
        <v>40</v>
      </c>
      <c r="F5" s="17" t="s">
        <v>77</v>
      </c>
      <c r="G5" s="19">
        <v>0.5</v>
      </c>
      <c r="H5" s="17" t="s">
        <v>20</v>
      </c>
      <c r="I5" s="20" t="s">
        <v>95</v>
      </c>
    </row>
    <row r="6" spans="2:9" ht="55.2">
      <c r="B6" s="16" t="s">
        <v>72</v>
      </c>
      <c r="C6" s="17" t="s">
        <v>16</v>
      </c>
      <c r="D6" s="18" t="s">
        <v>113</v>
      </c>
      <c r="E6" s="19" t="s">
        <v>40</v>
      </c>
      <c r="F6" s="17" t="s">
        <v>77</v>
      </c>
      <c r="G6" s="19">
        <v>0.5</v>
      </c>
      <c r="H6" s="17" t="s">
        <v>20</v>
      </c>
      <c r="I6" s="20" t="s">
        <v>114</v>
      </c>
    </row>
    <row r="7" spans="2:9" ht="55.2">
      <c r="B7" s="16" t="s">
        <v>72</v>
      </c>
      <c r="C7" s="17" t="s">
        <v>82</v>
      </c>
      <c r="D7" s="18" t="s">
        <v>83</v>
      </c>
      <c r="E7" s="19" t="s">
        <v>40</v>
      </c>
      <c r="F7" s="17" t="s">
        <v>79</v>
      </c>
      <c r="G7" s="19">
        <v>1.5</v>
      </c>
      <c r="H7" s="17" t="s">
        <v>27</v>
      </c>
      <c r="I7" s="20" t="s">
        <v>104</v>
      </c>
    </row>
    <row r="8" spans="2:9" ht="55.2">
      <c r="B8" s="16" t="s">
        <v>72</v>
      </c>
      <c r="C8" s="17" t="s">
        <v>16</v>
      </c>
      <c r="D8" s="18" t="s">
        <v>81</v>
      </c>
      <c r="E8" s="19" t="s">
        <v>40</v>
      </c>
      <c r="F8" s="17" t="s">
        <v>77</v>
      </c>
      <c r="G8" s="19">
        <v>0.5</v>
      </c>
      <c r="H8" s="17" t="s">
        <v>36</v>
      </c>
      <c r="I8" s="20" t="s">
        <v>93</v>
      </c>
    </row>
    <row r="9" spans="2:9" ht="41.4">
      <c r="B9" s="16" t="s">
        <v>72</v>
      </c>
      <c r="C9" s="17" t="s">
        <v>16</v>
      </c>
      <c r="D9" s="18" t="s">
        <v>80</v>
      </c>
      <c r="E9" s="19" t="s">
        <v>40</v>
      </c>
      <c r="F9" s="17" t="s">
        <v>74</v>
      </c>
      <c r="G9" s="19">
        <v>2</v>
      </c>
      <c r="H9" s="17" t="s">
        <v>20</v>
      </c>
      <c r="I9" s="20" t="s">
        <v>106</v>
      </c>
    </row>
    <row r="10" spans="2:9" ht="41.4">
      <c r="B10" s="16" t="s">
        <v>72</v>
      </c>
      <c r="C10" s="17" t="s">
        <v>16</v>
      </c>
      <c r="D10" s="18" t="s">
        <v>85</v>
      </c>
      <c r="E10" s="19" t="s">
        <v>40</v>
      </c>
      <c r="F10" s="17" t="s">
        <v>74</v>
      </c>
      <c r="G10" s="19">
        <v>1</v>
      </c>
      <c r="H10" s="17" t="s">
        <v>20</v>
      </c>
      <c r="I10" s="20" t="s">
        <v>98</v>
      </c>
    </row>
    <row r="11" spans="2:9" ht="41.4">
      <c r="B11" s="16" t="s">
        <v>72</v>
      </c>
      <c r="C11" s="17" t="s">
        <v>16</v>
      </c>
      <c r="D11" s="18" t="s">
        <v>80</v>
      </c>
      <c r="E11" s="19" t="s">
        <v>40</v>
      </c>
      <c r="F11" s="17" t="s">
        <v>74</v>
      </c>
      <c r="G11" s="19">
        <v>0.5</v>
      </c>
      <c r="H11" s="17" t="s">
        <v>36</v>
      </c>
      <c r="I11" s="20" t="s">
        <v>88</v>
      </c>
    </row>
    <row r="12" spans="2:9" ht="41.4">
      <c r="B12" s="16" t="s">
        <v>72</v>
      </c>
      <c r="C12" s="17" t="s">
        <v>14</v>
      </c>
      <c r="D12" s="18" t="s">
        <v>111</v>
      </c>
      <c r="E12" s="19" t="s">
        <v>40</v>
      </c>
      <c r="F12" s="17" t="s">
        <v>74</v>
      </c>
      <c r="G12" s="19">
        <v>0.7</v>
      </c>
      <c r="H12" s="17" t="s">
        <v>20</v>
      </c>
      <c r="I12" s="20" t="s">
        <v>121</v>
      </c>
    </row>
    <row r="13" spans="2:9" ht="41.4">
      <c r="B13" s="16" t="s">
        <v>72</v>
      </c>
      <c r="C13" s="17" t="s">
        <v>14</v>
      </c>
      <c r="D13" s="18" t="s">
        <v>115</v>
      </c>
      <c r="E13" s="19" t="s">
        <v>40</v>
      </c>
      <c r="F13" s="17" t="s">
        <v>74</v>
      </c>
      <c r="G13" s="19">
        <v>2.5</v>
      </c>
      <c r="H13" s="17" t="s">
        <v>20</v>
      </c>
      <c r="I13" s="20" t="s">
        <v>116</v>
      </c>
    </row>
    <row r="14" spans="2:9" ht="41.4">
      <c r="B14" s="16" t="s">
        <v>72</v>
      </c>
      <c r="C14" s="17" t="s">
        <v>14</v>
      </c>
      <c r="D14" s="18" t="s">
        <v>73</v>
      </c>
      <c r="E14" s="19" t="s">
        <v>40</v>
      </c>
      <c r="F14" s="17" t="s">
        <v>74</v>
      </c>
      <c r="G14" s="19">
        <v>2.5</v>
      </c>
      <c r="H14" s="17" t="s">
        <v>20</v>
      </c>
      <c r="I14" s="20" t="s">
        <v>112</v>
      </c>
    </row>
    <row r="15" spans="2:9" ht="41.4">
      <c r="B15" s="16" t="s">
        <v>72</v>
      </c>
      <c r="C15" s="17" t="s">
        <v>14</v>
      </c>
      <c r="D15" s="18" t="s">
        <v>73</v>
      </c>
      <c r="E15" s="19" t="s">
        <v>40</v>
      </c>
      <c r="F15" s="17" t="s">
        <v>74</v>
      </c>
      <c r="G15" s="19">
        <v>3</v>
      </c>
      <c r="H15" s="17" t="s">
        <v>20</v>
      </c>
      <c r="I15" s="20" t="s">
        <v>105</v>
      </c>
    </row>
    <row r="16" spans="2:9" ht="41.4">
      <c r="B16" s="16" t="s">
        <v>72</v>
      </c>
      <c r="C16" s="17" t="s">
        <v>14</v>
      </c>
      <c r="D16" s="18" t="s">
        <v>73</v>
      </c>
      <c r="E16" s="19" t="s">
        <v>40</v>
      </c>
      <c r="F16" s="17" t="s">
        <v>74</v>
      </c>
      <c r="G16" s="19">
        <v>2.5</v>
      </c>
      <c r="H16" s="17" t="s">
        <v>20</v>
      </c>
      <c r="I16" s="20" t="s">
        <v>117</v>
      </c>
    </row>
    <row r="17" spans="2:9" ht="55.2">
      <c r="B17" s="16" t="s">
        <v>72</v>
      </c>
      <c r="C17" s="17" t="s">
        <v>16</v>
      </c>
      <c r="D17" s="18" t="s">
        <v>81</v>
      </c>
      <c r="E17" s="19" t="s">
        <v>40</v>
      </c>
      <c r="F17" s="17" t="s">
        <v>77</v>
      </c>
      <c r="G17" s="19">
        <v>0.5</v>
      </c>
      <c r="H17" s="17" t="s">
        <v>36</v>
      </c>
      <c r="I17" s="20" t="s">
        <v>118</v>
      </c>
    </row>
    <row r="18" spans="2:9" ht="55.2">
      <c r="B18" s="16" t="s">
        <v>72</v>
      </c>
      <c r="C18" s="17" t="s">
        <v>16</v>
      </c>
      <c r="D18" s="18" t="s">
        <v>81</v>
      </c>
      <c r="E18" s="19" t="s">
        <v>40</v>
      </c>
      <c r="F18" s="17" t="s">
        <v>77</v>
      </c>
      <c r="G18" s="19">
        <v>0.5</v>
      </c>
      <c r="H18" s="17" t="s">
        <v>36</v>
      </c>
      <c r="I18" s="20" t="s">
        <v>120</v>
      </c>
    </row>
    <row r="19" spans="2:9" ht="41.4">
      <c r="B19" s="16" t="s">
        <v>72</v>
      </c>
      <c r="C19" s="17" t="s">
        <v>14</v>
      </c>
      <c r="D19" s="18" t="s">
        <v>73</v>
      </c>
      <c r="E19" s="19" t="s">
        <v>40</v>
      </c>
      <c r="F19" s="17" t="s">
        <v>74</v>
      </c>
      <c r="G19" s="19">
        <v>0.5</v>
      </c>
      <c r="H19" s="17" t="s">
        <v>20</v>
      </c>
      <c r="I19" s="20" t="s">
        <v>96</v>
      </c>
    </row>
    <row r="20" spans="2:9" ht="41.4">
      <c r="B20" s="16" t="s">
        <v>72</v>
      </c>
      <c r="C20" s="17" t="s">
        <v>14</v>
      </c>
      <c r="D20" s="18" t="s">
        <v>73</v>
      </c>
      <c r="E20" s="19" t="s">
        <v>40</v>
      </c>
      <c r="F20" s="28" t="s">
        <v>74</v>
      </c>
      <c r="G20" s="19">
        <v>0.5</v>
      </c>
      <c r="H20" s="17" t="s">
        <v>20</v>
      </c>
      <c r="I20" s="20" t="s">
        <v>99</v>
      </c>
    </row>
    <row r="21" spans="2:9" ht="41.4">
      <c r="B21" s="16" t="s">
        <v>72</v>
      </c>
      <c r="C21" s="17" t="s">
        <v>82</v>
      </c>
      <c r="D21" s="18" t="s">
        <v>86</v>
      </c>
      <c r="E21" s="19" t="s">
        <v>40</v>
      </c>
      <c r="F21" s="17" t="s">
        <v>74</v>
      </c>
      <c r="G21" s="19">
        <v>1</v>
      </c>
      <c r="H21" s="17" t="s">
        <v>27</v>
      </c>
      <c r="I21" s="20" t="s">
        <v>92</v>
      </c>
    </row>
    <row r="22" spans="2:9" ht="41.4">
      <c r="B22" s="16" t="s">
        <v>72</v>
      </c>
      <c r="C22" s="17" t="s">
        <v>14</v>
      </c>
      <c r="D22" s="18" t="s">
        <v>80</v>
      </c>
      <c r="E22" s="19" t="s">
        <v>40</v>
      </c>
      <c r="F22" s="17" t="s">
        <v>74</v>
      </c>
      <c r="G22" s="19">
        <v>0.3</v>
      </c>
      <c r="H22" s="17" t="s">
        <v>20</v>
      </c>
      <c r="I22" s="20" t="s">
        <v>91</v>
      </c>
    </row>
    <row r="23" spans="2:9" ht="41.4">
      <c r="B23" s="16" t="s">
        <v>72</v>
      </c>
      <c r="C23" s="17" t="s">
        <v>82</v>
      </c>
      <c r="D23" s="18" t="s">
        <v>86</v>
      </c>
      <c r="E23" s="19" t="s">
        <v>40</v>
      </c>
      <c r="F23" s="17" t="s">
        <v>74</v>
      </c>
      <c r="G23" s="19">
        <v>1.5</v>
      </c>
      <c r="H23" s="17" t="s">
        <v>27</v>
      </c>
      <c r="I23" s="20" t="s">
        <v>97</v>
      </c>
    </row>
    <row r="24" spans="2:9" ht="41.4">
      <c r="B24" s="16" t="s">
        <v>72</v>
      </c>
      <c r="C24" s="17" t="s">
        <v>14</v>
      </c>
      <c r="D24" s="18" t="s">
        <v>100</v>
      </c>
      <c r="E24" s="19" t="s">
        <v>40</v>
      </c>
      <c r="F24" s="28" t="s">
        <v>74</v>
      </c>
      <c r="G24" s="19">
        <v>0.5</v>
      </c>
      <c r="H24" s="17" t="s">
        <v>20</v>
      </c>
      <c r="I24" s="20" t="s">
        <v>101</v>
      </c>
    </row>
    <row r="25" spans="2:9" ht="55.2">
      <c r="B25" s="16" t="s">
        <v>72</v>
      </c>
      <c r="C25" s="17" t="s">
        <v>14</v>
      </c>
      <c r="D25" s="18" t="s">
        <v>102</v>
      </c>
      <c r="E25" s="19" t="s">
        <v>40</v>
      </c>
      <c r="F25" s="28" t="s">
        <v>77</v>
      </c>
      <c r="G25" s="19">
        <v>1</v>
      </c>
      <c r="H25" s="17" t="s">
        <v>20</v>
      </c>
      <c r="I25" s="20" t="s">
        <v>103</v>
      </c>
    </row>
    <row r="26" spans="2:9" ht="55.2">
      <c r="B26" s="16" t="s">
        <v>72</v>
      </c>
      <c r="C26" s="17" t="s">
        <v>14</v>
      </c>
      <c r="D26" s="18" t="s">
        <v>102</v>
      </c>
      <c r="E26" s="19" t="s">
        <v>40</v>
      </c>
      <c r="F26" s="28" t="s">
        <v>77</v>
      </c>
      <c r="G26" s="19">
        <v>3</v>
      </c>
      <c r="H26" s="17" t="s">
        <v>20</v>
      </c>
      <c r="I26" s="20" t="s">
        <v>122</v>
      </c>
    </row>
    <row r="27" spans="2:9" ht="55.2">
      <c r="B27" s="16" t="s">
        <v>72</v>
      </c>
      <c r="C27" s="17" t="s">
        <v>14</v>
      </c>
      <c r="D27" s="18" t="s">
        <v>108</v>
      </c>
      <c r="E27" s="19" t="s">
        <v>40</v>
      </c>
      <c r="F27" s="28" t="s">
        <v>77</v>
      </c>
      <c r="G27" s="19">
        <v>1.5</v>
      </c>
      <c r="H27" s="17" t="s">
        <v>20</v>
      </c>
      <c r="I27" s="20" t="s">
        <v>109</v>
      </c>
    </row>
    <row r="28" spans="2:9" ht="41.4">
      <c r="B28" s="16" t="s">
        <v>72</v>
      </c>
      <c r="C28" s="17" t="s">
        <v>14</v>
      </c>
      <c r="D28" s="18" t="s">
        <v>84</v>
      </c>
      <c r="E28" s="19" t="s">
        <v>40</v>
      </c>
      <c r="F28" s="17" t="s">
        <v>74</v>
      </c>
      <c r="G28" s="19">
        <v>0.7</v>
      </c>
      <c r="H28" s="17" t="s">
        <v>20</v>
      </c>
      <c r="I28" s="20" t="s">
        <v>119</v>
      </c>
    </row>
    <row r="29" spans="2:9" ht="27.6">
      <c r="B29" s="16" t="s">
        <v>72</v>
      </c>
      <c r="C29" s="17" t="s">
        <v>18</v>
      </c>
      <c r="D29" s="18" t="s">
        <v>87</v>
      </c>
      <c r="E29" s="19" t="s">
        <v>27</v>
      </c>
      <c r="F29" s="17"/>
      <c r="G29" s="19">
        <v>0.7</v>
      </c>
      <c r="H29" s="17" t="s">
        <v>78</v>
      </c>
      <c r="I29" s="20" t="s">
        <v>90</v>
      </c>
    </row>
    <row r="30" spans="2:9" ht="27.6">
      <c r="B30" s="16" t="s">
        <v>72</v>
      </c>
      <c r="C30" s="17" t="s">
        <v>18</v>
      </c>
      <c r="D30" s="18" t="s">
        <v>87</v>
      </c>
      <c r="E30" s="19" t="s">
        <v>27</v>
      </c>
      <c r="F30" s="17"/>
      <c r="G30" s="19">
        <v>0.5</v>
      </c>
      <c r="H30" s="17" t="s">
        <v>78</v>
      </c>
      <c r="I30" s="20" t="s">
        <v>107</v>
      </c>
    </row>
    <row r="31" spans="2:9" ht="27.6">
      <c r="B31" s="16" t="s">
        <v>72</v>
      </c>
      <c r="C31" s="17" t="s">
        <v>18</v>
      </c>
      <c r="D31" s="18" t="s">
        <v>76</v>
      </c>
      <c r="E31" s="19" t="s">
        <v>27</v>
      </c>
      <c r="F31" s="17"/>
      <c r="G31" s="19">
        <v>2</v>
      </c>
      <c r="H31" s="17" t="s">
        <v>78</v>
      </c>
      <c r="I31" s="20" t="s">
        <v>75</v>
      </c>
    </row>
    <row r="32" spans="2:9">
      <c r="B32" s="8"/>
      <c r="C32" s="9"/>
      <c r="D32" s="10"/>
      <c r="E32" s="10"/>
      <c r="F32" s="11" t="s">
        <v>67</v>
      </c>
      <c r="G32" s="32">
        <f>SUM(G3:G31)</f>
        <v>35.400000000000006</v>
      </c>
      <c r="H32" s="33"/>
      <c r="I32" s="34"/>
    </row>
    <row r="33" spans="2:9" ht="15" thickBot="1">
      <c r="B33" s="12"/>
      <c r="C33" s="13"/>
      <c r="D33" s="14"/>
      <c r="E33" s="14"/>
      <c r="F33" s="15" t="s">
        <v>68</v>
      </c>
      <c r="G33" s="29">
        <v>5</v>
      </c>
      <c r="H33" s="30"/>
      <c r="I33" s="31"/>
    </row>
    <row r="34" spans="2:9" ht="15" thickTop="1"/>
  </sheetData>
  <autoFilter ref="D2:D34" xr:uid="{00000000-0001-0000-0000-000000000000}"/>
  <mergeCells count="2">
    <mergeCell ref="G33:I33"/>
    <mergeCell ref="G32:I32"/>
  </mergeCells>
  <phoneticPr fontId="7" type="noConversion"/>
  <dataValidations count="3">
    <dataValidation type="list" errorStyle="warning" allowBlank="1" sqref="D4:D31" xr:uid="{F3857C4E-9525-4F1F-819A-9E6BEBB79C0E}">
      <formula1>项目事项分类项目名称</formula1>
    </dataValidation>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pageSetup paperSize="9" orientation="portrait"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55.2">
      <c r="A12" s="1" t="s">
        <v>42</v>
      </c>
      <c r="B12" s="3" t="s">
        <v>43</v>
      </c>
    </row>
    <row r="13" spans="1:8" ht="41.4">
      <c r="B13" s="3" t="s">
        <v>55</v>
      </c>
      <c r="C13" s="4" t="s">
        <v>56</v>
      </c>
      <c r="D13" s="4" t="s">
        <v>56</v>
      </c>
    </row>
    <row r="14" spans="1:8" ht="41.4">
      <c r="B14" s="3" t="s">
        <v>44</v>
      </c>
      <c r="C14" s="4" t="s">
        <v>56</v>
      </c>
      <c r="D14" s="4" t="s">
        <v>56</v>
      </c>
    </row>
    <row r="15" spans="1:8" ht="55.2">
      <c r="B15" s="3" t="s">
        <v>45</v>
      </c>
      <c r="C15" s="4" t="s">
        <v>56</v>
      </c>
      <c r="D15" s="4" t="s">
        <v>56</v>
      </c>
    </row>
    <row r="16" spans="1:8" ht="55.2">
      <c r="B16" s="3" t="s">
        <v>46</v>
      </c>
      <c r="C16" s="4" t="s">
        <v>56</v>
      </c>
      <c r="D16" s="4" t="s">
        <v>56</v>
      </c>
    </row>
    <row r="17" spans="2:4" ht="55.2">
      <c r="B17" s="3" t="s">
        <v>47</v>
      </c>
      <c r="C17" s="4" t="s">
        <v>56</v>
      </c>
      <c r="D17" s="4" t="s">
        <v>56</v>
      </c>
    </row>
    <row r="18" spans="2:4" ht="69">
      <c r="B18" s="3" t="s">
        <v>48</v>
      </c>
      <c r="C18" s="4" t="s">
        <v>56</v>
      </c>
      <c r="D18" s="4" t="s">
        <v>56</v>
      </c>
    </row>
    <row r="19" spans="2:4" ht="55.2">
      <c r="B19" s="3" t="s">
        <v>49</v>
      </c>
      <c r="C19" s="4" t="s">
        <v>56</v>
      </c>
      <c r="D19" s="4" t="s">
        <v>56</v>
      </c>
    </row>
    <row r="20" spans="2:4" ht="41.4">
      <c r="B20" s="3" t="s">
        <v>63</v>
      </c>
      <c r="C20" s="4" t="s">
        <v>56</v>
      </c>
      <c r="D20" s="4" t="s">
        <v>56</v>
      </c>
    </row>
    <row r="21" spans="2:4" ht="41.4">
      <c r="B21" s="3" t="s">
        <v>50</v>
      </c>
      <c r="C21" s="4" t="s">
        <v>56</v>
      </c>
      <c r="D21" s="4" t="s">
        <v>56</v>
      </c>
    </row>
    <row r="22" spans="2:4" ht="41.4">
      <c r="B22" s="3" t="s">
        <v>64</v>
      </c>
      <c r="C22" s="4" t="s">
        <v>56</v>
      </c>
      <c r="D22" s="4" t="s">
        <v>56</v>
      </c>
    </row>
    <row r="23" spans="2:4" ht="41.4">
      <c r="B23" s="3" t="s">
        <v>65</v>
      </c>
      <c r="C23" s="4"/>
      <c r="D23" s="4"/>
    </row>
    <row r="24" spans="2:4" ht="96.6">
      <c r="B24" s="3" t="s">
        <v>54</v>
      </c>
      <c r="C24" s="4" t="s">
        <v>56</v>
      </c>
      <c r="D24" s="4" t="s">
        <v>56</v>
      </c>
    </row>
    <row r="25" spans="2:4" ht="41.4">
      <c r="B25" s="3" t="s">
        <v>51</v>
      </c>
      <c r="C25" s="4" t="s">
        <v>56</v>
      </c>
      <c r="D25" s="4" t="s">
        <v>56</v>
      </c>
    </row>
    <row r="26" spans="2:4" ht="41.4">
      <c r="B26" s="3" t="s">
        <v>52</v>
      </c>
      <c r="C26" s="4" t="s">
        <v>56</v>
      </c>
      <c r="D26" s="4" t="s">
        <v>56</v>
      </c>
    </row>
    <row r="27" spans="2:4" ht="27.6">
      <c r="B27" s="3" t="s">
        <v>53</v>
      </c>
      <c r="C27" s="4" t="s">
        <v>56</v>
      </c>
      <c r="D27" s="4"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2025-05-21T07:14:15Z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