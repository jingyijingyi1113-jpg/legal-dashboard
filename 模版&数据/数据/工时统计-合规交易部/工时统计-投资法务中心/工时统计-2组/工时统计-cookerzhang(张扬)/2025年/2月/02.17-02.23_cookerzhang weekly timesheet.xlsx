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47B61630-B056-46D5-9D0A-A096250864EB}"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<sst xmlns="http://schemas.openxmlformats.org/spreadsheetml/2006/main" count="160" uniqueCount="88">
  <si>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</si>
  <si>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</si>
  <si>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</si>
  <si>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</si>
  <si>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</si>
  <si>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</si>
  <si>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</si>
  <si>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</si>
  <si>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</si>
  <si>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</si>
  <si>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</si>
  <si>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</si>
  <si>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</si>
  <si>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</si>
  <si>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</si>
  <si>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</si>
  <si>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</si>
  <si>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</si>
  <si>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</si>
  <si>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</si>
  <si>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</si>
  <si>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</si>
  <si>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</si>
  <si>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</si>
  <si>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</si>
  <si>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</si>
  <si>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</si>
  <si>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</si>
  <si>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</si>
  <si>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</si>
  <si>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</si>
  <si>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</si>
  <si>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</si>
  <si>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</si>
  <si>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</si>
  <si>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</si>
  <si>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</si>
  <si>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</si>
  <si>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</si>
  <si>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</si>
  <si>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</si>
  <si>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</si>
  <si>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</si>
  <si>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</si>
  <si>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</si>
  <si>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</si>
  <si>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</si>
  <si>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</si>
  <si>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</si>
  <si>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</si>
  <si>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</si>
  <si>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</si>
  <si>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</si>
  <si>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</si>
  <si>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</si>
  <si>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</si>
  <si>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</si>
  <si>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</si>
  <si>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</si>
  <si>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</si>
  <si>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</si>
  <si>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</si>
  <si>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</si>
  <si>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</si>
  <si>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</si>
  <si>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</si>
  <si>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</si>
  <si>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</si>
  <si>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</si>
  <si>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</si>
  <si>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</si>
  <si>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</si>
  <si>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</si>
  <si>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</si>
  <si>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Recording/reviewing deals updates/weekly time reports/other team summaries</t>
  </si>
  <si>
    <t>执业管理平台体系完善 Perfection of the professional management platform</t>
  </si>
  <si>
    <t>T3</t>
    <phoneticPr fontId="7" type="noConversion"/>
  </si>
  <si>
    <t>云迹科技</t>
    <phoneticPr fontId="7" type="noConversion"/>
  </si>
  <si>
    <t>管理节点-整理一期信息反馈MA</t>
    <phoneticPr fontId="7" type="noConversion"/>
  </si>
  <si>
    <t>梧桐车联</t>
    <phoneticPr fontId="7" type="noConversion"/>
  </si>
  <si>
    <t>租赁合同、4主体迁址</t>
    <phoneticPr fontId="7" type="noConversion"/>
  </si>
  <si>
    <t>境内外主体/办公室合规管理 Compliance management for domestic and overseas entities/offices</t>
  </si>
  <si>
    <t>如祺</t>
    <phoneticPr fontId="7" type="noConversion"/>
  </si>
  <si>
    <t>F8项目-deepseek调试及沟通会</t>
    <phoneticPr fontId="7" type="noConversion"/>
  </si>
  <si>
    <t>北京腾新注销及清算涉及诉讼影响分析</t>
    <phoneticPr fontId="7" type="noConversion"/>
  </si>
  <si>
    <t>董事确认函事项review</t>
    <phoneticPr fontId="7" type="noConversion"/>
  </si>
  <si>
    <t>终止协议、第二次股东会、董事会文件电话沟通及review</t>
    <phoneticPr fontId="7" type="noConversion"/>
  </si>
  <si>
    <t>上市文件：股东会决议及董事会决议review</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</si>
</sst>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9" tint="0.79998168889431442"/>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3" borderId="4"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G14" sqref="G14"/>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35" customFormat="1" ht="25.2" x14ac:dyDescent="0.5">
      <c r="B4" s="30" t="s">
        <v>72</v>
      </c>
      <c r="C4" s="31" t="s">
        <v>18</v>
      </c>
      <c r="D4" s="32"/>
      <c r="E4" s="33" t="s">
        <v>40</v>
      </c>
      <c r="F4" s="31" t="s">
        <v>75</v>
      </c>
      <c r="G4" s="33">
        <v>5</v>
      </c>
      <c r="H4" s="36" t="s">
        <v>20</v>
      </c>
      <c r="I4" s="34" t="s">
        <v>83</v>
      </c>
    </row>
    <row r="5" spans="2:9" s="35" customFormat="1" ht="25.2" x14ac:dyDescent="0.5">
      <c r="B5" s="30" t="s">
        <v>72</v>
      </c>
      <c r="C5" s="31" t="s">
        <v>14</v>
      </c>
      <c r="D5" s="32" t="s">
        <v>77</v>
      </c>
      <c r="E5" s="33" t="s">
        <v>40</v>
      </c>
      <c r="F5" s="31" t="s">
        <v>73</v>
      </c>
      <c r="G5" s="33">
        <v>4</v>
      </c>
      <c r="H5" s="31" t="s">
        <v>28</v>
      </c>
      <c r="I5" s="34" t="s">
        <v>86</v>
      </c>
    </row>
    <row r="6" spans="2:9" s="35" customFormat="1" ht="25.2" x14ac:dyDescent="0.5">
      <c r="B6" s="30" t="s">
        <v>72</v>
      </c>
      <c r="C6" s="31" t="s">
        <v>14</v>
      </c>
      <c r="D6" s="32" t="s">
        <v>82</v>
      </c>
      <c r="E6" s="33" t="s">
        <v>40</v>
      </c>
      <c r="F6" s="31" t="s">
        <v>73</v>
      </c>
      <c r="G6" s="33">
        <v>3</v>
      </c>
      <c r="H6" s="31" t="s">
        <v>20</v>
      </c>
      <c r="I6" s="34" t="s">
        <v>85</v>
      </c>
    </row>
    <row r="7" spans="2:9" s="35" customFormat="1" ht="37.799999999999997" x14ac:dyDescent="0.5">
      <c r="B7" s="30" t="s">
        <v>72</v>
      </c>
      <c r="C7" s="31" t="s">
        <v>18</v>
      </c>
      <c r="D7" s="32"/>
      <c r="E7" s="33" t="s">
        <v>40</v>
      </c>
      <c r="F7" s="31" t="s">
        <v>75</v>
      </c>
      <c r="G7" s="33">
        <v>4</v>
      </c>
      <c r="H7" s="31" t="s">
        <v>74</v>
      </c>
      <c r="I7" s="34" t="s">
        <v>78</v>
      </c>
    </row>
    <row r="8" spans="2:9" s="35" customFormat="1" ht="25.2" x14ac:dyDescent="0.5">
      <c r="B8" s="30" t="s">
        <v>72</v>
      </c>
      <c r="C8" s="31" t="s">
        <v>14</v>
      </c>
      <c r="D8" s="32" t="s">
        <v>76</v>
      </c>
      <c r="E8" s="33" t="s">
        <v>40</v>
      </c>
      <c r="F8" s="31" t="s">
        <v>73</v>
      </c>
      <c r="G8" s="33">
        <v>4</v>
      </c>
      <c r="H8" s="31" t="s">
        <v>20</v>
      </c>
      <c r="I8" s="34" t="s">
        <v>87</v>
      </c>
    </row>
    <row r="9" spans="2:9" s="35" customFormat="1" ht="37.799999999999997" x14ac:dyDescent="0.5">
      <c r="B9" s="30" t="s">
        <v>72</v>
      </c>
      <c r="C9" s="31" t="s">
        <v>18</v>
      </c>
      <c r="D9" s="32"/>
      <c r="E9" s="33" t="s">
        <v>40</v>
      </c>
      <c r="F9" s="31" t="s">
        <v>81</v>
      </c>
      <c r="G9" s="33">
        <v>6</v>
      </c>
      <c r="H9" s="31" t="s">
        <v>31</v>
      </c>
      <c r="I9" s="34" t="s">
        <v>84</v>
      </c>
    </row>
    <row r="10" spans="2:9" s="35" customFormat="1" ht="25.2" x14ac:dyDescent="0.5">
      <c r="B10" s="30" t="s">
        <v>72</v>
      </c>
      <c r="C10" s="31" t="s">
        <v>14</v>
      </c>
      <c r="D10" s="32" t="s">
        <v>79</v>
      </c>
      <c r="E10" s="33" t="s">
        <v>40</v>
      </c>
      <c r="F10" s="31" t="s">
        <v>73</v>
      </c>
      <c r="G10" s="33">
        <v>2</v>
      </c>
      <c r="H10" s="31" t="s">
        <v>28</v>
      </c>
      <c r="I10" s="34" t="s">
        <v>80</v>
      </c>
    </row>
    <row r="11" spans="2:9" x14ac:dyDescent="0.5">
      <c r="B11" s="19"/>
      <c r="C11" s="20"/>
      <c r="D11" s="21"/>
      <c r="E11" s="21"/>
      <c r="F11" s="23" t="s">
        <v>67</v>
      </c>
      <c r="G11" s="27">
        <f>SUM(G3:G10)</f>
        <v>28</v>
      </c>
      <c r="H11" s="28"/>
      <c r="I11" s="29"/>
    </row>
    <row r="12" spans="2:9" ht="14.4" thickBot="1" x14ac:dyDescent="0.55000000000000004">
      <c r="B12" s="15"/>
      <c r="C12" s="16"/>
      <c r="D12" s="17"/>
      <c r="E12" s="17"/>
      <c r="F12" s="22" t="s">
        <v>68</v>
      </c>
      <c r="G12" s="24">
        <v>4</v>
      </c>
      <c r="H12" s="25"/>
      <c r="I12" s="26"/>
    </row>
    <row r="13" spans="2:9" ht="14.4" thickTop="1" x14ac:dyDescent="0.5"/>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2025-02-25T10:12:11Z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