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D962B409-07D7-4340-BCDE-DBD2C015D2E1}"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<sst xmlns="http://schemas.openxmlformats.org/spreadsheetml/2006/main" count="147" uniqueCount="86">
  <si>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</si>
  <si>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</si>
  <si>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</si>
  <si>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</si>
  <si>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</si>
  <si>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</si>
  <si>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</si>
  <si>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</si>
  <si>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</si>
  <si>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</si>
  <si>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</si>
  <si>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</si>
  <si>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</si>
  <si>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</si>
  <si>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</si>
  <si>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</si>
  <si>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</si>
  <si>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</si>
  <si>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</si>
  <si>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</si>
  <si>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</si>
  <si>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</si>
  <si>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</si>
  <si>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</si>
  <si>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</si>
  <si>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</si>
  <si>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</si>
  <si>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</si>
  <si>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</si>
  <si>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</si>
  <si>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</si>
  <si>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</si>
  <si>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</si>
  <si>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</si>
  <si>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</si>
  <si>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</si>
  <si>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</si>
  <si>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</si>
  <si>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</si>
  <si>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</si>
  <si>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</si>
  <si>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</si>
  <si>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</si>
  <si>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</si>
  <si>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</si>
  <si>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</si>
  <si>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</si>
  <si>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</si>
  <si>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</si>
  <si>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</si>
  <si>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</si>
  <si>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</si>
  <si>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</si>
  <si>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</si>
  <si>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</si>
  <si>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</si>
  <si>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</si>
  <si>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</si>
  <si>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</si>
  <si>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</si>
  <si>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</si>
  <si>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</si>
  <si>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</si>
  <si>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</si>
  <si>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</si>
  <si>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</si>
  <si>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</si>
  <si>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</si>
  <si>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</si>
  <si>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</si>
  <si>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</si>
  <si>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</si>
  <si>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</si>
  <si>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</si>
  <si>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</si>
  <si>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</si>
  <si>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bonus issue涉及的PN3申请</t>
    <phoneticPr fontId="7" type="noConversion"/>
  </si>
  <si>
    <t>Interacting with authorities/regulators</t>
    <phoneticPr fontId="7" type="noConversion"/>
  </si>
  <si>
    <t>Drafting/reviewing/negotiating legal documents</t>
    <phoneticPr fontId="7" type="noConversion"/>
  </si>
  <si>
    <t>Lydia</t>
    <phoneticPr fontId="7" type="noConversion"/>
  </si>
  <si>
    <t>处理公司banking license申请有关的信息需求</t>
    <phoneticPr fontId="7" type="noConversion"/>
  </si>
  <si>
    <t>重资产项目文件的起草和谈判</t>
    <phoneticPr fontId="7" type="noConversion"/>
  </si>
  <si>
    <t>摩尔线程</t>
    <phoneticPr fontId="7" type="noConversion"/>
  </si>
  <si>
    <t>处理被投公司A股上市涉及的股东穿透核查</t>
    <phoneticPr fontId="7" type="noConversion"/>
  </si>
  <si>
    <t>Public - Knowledge Accumulation &amp; Sharing</t>
  </si>
  <si>
    <t>参加周会</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</si>
</sst>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B1" zoomScale="70" zoomScaleNormal="70" workbookViewId="0">
      <selection activeCell="H14" sqref="H14"/>
    </sheetView>
  </sheetViews>
  <sheetFormatPr defaultColWidth="9" defaultRowHeight="14.1" x14ac:dyDescent="0.5"/>
  <cols>
    <col min="3" max="3" width="34.44921875" style="15" customWidth="1"/>
    <col min="4" max="4" width="15.09765625" customWidth="1"/>
    <col min="5" max="5" width="10.546875" customWidth="1"/>
    <col min="6" max="6" width="29.8984375" style="15" customWidth="1"/>
    <col min="8" max="8" width="41.546875" style="15" customWidth="1"/>
    <col min="9" max="9" width="39.898437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74</v>
      </c>
      <c r="E4" s="9" t="s">
        <v>40</v>
      </c>
      <c r="F4" s="14" t="s">
        <v>75</v>
      </c>
      <c r="G4" s="30">
        <v>42</v>
      </c>
      <c r="H4" s="32" t="s">
        <v>78</v>
      </c>
      <c r="I4" s="31" t="s">
        <v>81</v>
      </c>
    </row>
    <row r="5" spans="2:9" ht="25.2" x14ac:dyDescent="0.5">
      <c r="B5" s="16" t="s">
        <v>72</v>
      </c>
      <c r="C5" s="14" t="s">
        <v>14</v>
      </c>
      <c r="D5" s="29" t="s">
        <v>82</v>
      </c>
      <c r="E5" s="9" t="s">
        <v>40</v>
      </c>
      <c r="F5" s="14" t="s">
        <v>75</v>
      </c>
      <c r="G5" s="30">
        <v>8</v>
      </c>
      <c r="H5" s="14" t="s">
        <v>36</v>
      </c>
      <c r="I5" s="31" t="s">
        <v>83</v>
      </c>
    </row>
    <row r="6" spans="2:9" ht="25.2" x14ac:dyDescent="0.5">
      <c r="B6" s="16" t="s">
        <v>72</v>
      </c>
      <c r="C6" s="14" t="s">
        <v>14</v>
      </c>
      <c r="D6" s="29" t="s">
        <v>79</v>
      </c>
      <c r="E6" s="9" t="s">
        <v>40</v>
      </c>
      <c r="F6" s="14" t="s">
        <v>75</v>
      </c>
      <c r="G6" s="30">
        <v>3</v>
      </c>
      <c r="H6" s="32" t="s">
        <v>77</v>
      </c>
      <c r="I6" s="31" t="s">
        <v>80</v>
      </c>
    </row>
    <row r="7" spans="2:9" ht="25.2" x14ac:dyDescent="0.5">
      <c r="B7" s="16" t="s">
        <v>72</v>
      </c>
      <c r="C7" s="14" t="s">
        <v>14</v>
      </c>
      <c r="D7" s="29" t="s">
        <v>73</v>
      </c>
      <c r="E7" s="9" t="s">
        <v>40</v>
      </c>
      <c r="F7" s="14" t="s">
        <v>75</v>
      </c>
      <c r="G7" s="30">
        <v>3</v>
      </c>
      <c r="H7" s="32" t="s">
        <v>77</v>
      </c>
      <c r="I7" s="31" t="s">
        <v>76</v>
      </c>
    </row>
    <row r="8" spans="2:9" x14ac:dyDescent="0.5">
      <c r="B8" s="16" t="s">
        <v>72</v>
      </c>
      <c r="C8" s="14" t="s">
        <v>84</v>
      </c>
      <c r="D8" s="29"/>
      <c r="E8" s="9" t="s">
        <v>27</v>
      </c>
      <c r="F8" s="14"/>
      <c r="G8" s="30">
        <v>2</v>
      </c>
      <c r="H8" s="14" t="s">
        <v>27</v>
      </c>
      <c r="I8" s="31" t="s">
        <v>85</v>
      </c>
    </row>
    <row r="9" spans="2:9" x14ac:dyDescent="0.5">
      <c r="B9" s="8"/>
      <c r="C9" s="14"/>
      <c r="D9" s="9"/>
      <c r="E9" s="9"/>
      <c r="F9" s="14"/>
      <c r="G9" s="9"/>
      <c r="H9" s="14"/>
      <c r="I9" s="12"/>
    </row>
    <row r="10" spans="2:9" x14ac:dyDescent="0.5">
      <c r="B10" s="8"/>
      <c r="C10" s="14"/>
      <c r="D10" s="9"/>
      <c r="E10" s="9"/>
      <c r="F10" s="14"/>
      <c r="G10" s="9"/>
      <c r="H10" s="14"/>
      <c r="I10" s="12"/>
    </row>
    <row r="11" spans="2:9" x14ac:dyDescent="0.5">
      <c r="B11" s="8"/>
      <c r="C11" s="14"/>
      <c r="D11" s="9"/>
      <c r="E11" s="9"/>
      <c r="F11" s="14"/>
      <c r="G11" s="9"/>
      <c r="H11" s="14"/>
      <c r="I11" s="12"/>
    </row>
    <row r="12" spans="2:9" x14ac:dyDescent="0.5">
      <c r="B12" s="8"/>
      <c r="C12" s="14"/>
      <c r="D12" s="9"/>
      <c r="E12" s="9"/>
      <c r="F12" s="14"/>
      <c r="G12" s="30"/>
      <c r="H12" s="14"/>
      <c r="I12" s="12"/>
    </row>
    <row r="13" spans="2:9" x14ac:dyDescent="0.5">
      <c r="B13" s="8"/>
      <c r="C13" s="14"/>
      <c r="D13" s="9"/>
      <c r="E13" s="9"/>
      <c r="F13" s="14"/>
      <c r="G13" s="9"/>
      <c r="H13" s="14"/>
      <c r="I13" s="12"/>
    </row>
    <row r="14" spans="2:9" x14ac:dyDescent="0.5">
      <c r="B14" s="8"/>
      <c r="C14" s="14"/>
      <c r="D14" s="9"/>
      <c r="E14" s="9"/>
      <c r="F14" s="14"/>
      <c r="G14" s="9"/>
      <c r="H14" s="14"/>
      <c r="I14" s="12"/>
    </row>
    <row r="15" spans="2:9" x14ac:dyDescent="0.5">
      <c r="B15" s="8"/>
      <c r="C15" s="14"/>
      <c r="D15" s="9"/>
      <c r="E15" s="9"/>
      <c r="F15" s="14"/>
      <c r="G15" s="9"/>
      <c r="H15" s="14"/>
      <c r="I15" s="12"/>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24"/>
      <c r="C25" s="25"/>
      <c r="D25" s="26"/>
      <c r="E25" s="26"/>
      <c r="F25" s="28" t="s">
        <v>67</v>
      </c>
      <c r="G25" s="36">
        <f>SUM(G3:G24)</f>
        <v>58</v>
      </c>
      <c r="H25" s="37"/>
      <c r="I25" s="38"/>
    </row>
    <row r="26" spans="2:9" ht="14.4" thickBot="1" x14ac:dyDescent="0.55000000000000004">
      <c r="B26" s="20"/>
      <c r="C26" s="21"/>
      <c r="D26" s="22"/>
      <c r="E26" s="22"/>
      <c r="F26" s="27" t="s">
        <v>68</v>
      </c>
      <c r="G26" s="33">
        <v>5</v>
      </c>
      <c r="H26" s="34"/>
      <c r="I26" s="35"/>
    </row>
    <row r="27" spans="2:9" ht="14.4" thickTop="1" x14ac:dyDescent="0.5"/>
  </sheetData>
  <sortState xmlns:xlrd2="http://schemas.microsoft.com/office/spreadsheetml/2017/richdata2" ref="B3:I8">
    <sortCondition descending="1" ref="G4:G8"/>
  </sortState>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3" workbookViewId="0">
      <selection activeCell="H13" sqref="H13"/>
    </sheetView>
  </sheetViews>
  <sheetFormatPr defaultColWidth="8.8984375" defaultRowHeight="12.6" x14ac:dyDescent="0.5"/>
  <cols>
    <col min="1" max="1" width="8.8984375" style="1"/>
    <col min="2" max="2" width="26.8984375" style="1" customWidth="1"/>
    <col min="3" max="3" width="21.6484375" style="1" customWidth="1"/>
    <col min="4" max="7" width="28.546875" style="1" customWidth="1"/>
    <col min="8" max="8" width="27.34765625" style="1" customWidth="1"/>
    <col min="9" max="16384" width="8.89843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2025-03-04T08:14:48Z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