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E6F08CC-DAAA-453B-BACB-3AFA8B606EEC}"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<sst xmlns="http://schemas.openxmlformats.org/spreadsheetml/2006/main" count="172" uniqueCount="94">
  <si>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</si>
  <si>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</si>
  <si>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</si>
  <si>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</si>
  <si>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</si>
  <si>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</si>
  <si>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</si>
  <si>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</si>
  <si>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</si>
  <si>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</si>
  <si>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</si>
  <si>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</si>
  <si>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</si>
  <si>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</si>
  <si>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</si>
  <si>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</si>
  <si>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</si>
  <si>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</si>
  <si>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</si>
  <si>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</si>
  <si>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</si>
  <si>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</si>
  <si>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</si>
  <si>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</si>
  <si>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</si>
  <si>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</si>
  <si>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</si>
  <si>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</si>
  <si>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</si>
  <si>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</si>
  <si>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</si>
  <si>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</si>
  <si>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</si>
  <si>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</si>
  <si>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</si>
  <si>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</si>
  <si>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</si>
  <si>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</si>
  <si>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</si>
  <si>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</si>
  <si>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</si>
  <si>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</si>
  <si>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</si>
  <si>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</si>
  <si>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</si>
  <si>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</si>
  <si>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</si>
  <si>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</si>
  <si>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</si>
  <si>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</si>
  <si>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</si>
  <si>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</si>
  <si>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</si>
  <si>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</si>
  <si>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</si>
  <si>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</si>
  <si>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</si>
  <si>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</si>
  <si>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</si>
  <si>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</si>
  <si>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</si>
  <si>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</si>
  <si>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</si>
  <si>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</si>
  <si>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</si>
  <si>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</si>
  <si>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</si>
  <si>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</si>
  <si>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</si>
  <si>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</si>
  <si>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</si>
  <si>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</si>
  <si>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</si>
  <si>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</si>
  <si>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</si>
  <si>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</si>
  <si>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</si>
  <si>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</si>
  <si>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处理股票电子化相关事项</t>
    <phoneticPr fontId="7" type="noConversion"/>
  </si>
  <si>
    <t>Investment Related - M&amp;A Deal</t>
    <phoneticPr fontId="7" type="noConversion"/>
  </si>
  <si>
    <t>填写timesheet</t>
    <phoneticPr fontId="7" type="noConversion"/>
  </si>
  <si>
    <t>参与周会</t>
    <phoneticPr fontId="7" type="noConversion"/>
  </si>
  <si>
    <t>便利蜂</t>
    <phoneticPr fontId="7" type="noConversion"/>
  </si>
  <si>
    <t>诉讼情况沟通</t>
    <phoneticPr fontId="7" type="noConversion"/>
  </si>
  <si>
    <t>SPA、委管协议、并购贷协议多次谈判；审阅新投资人对LPA的意见；审阅更新后的基金备案文件；内外部沟通</t>
    <phoneticPr fontId="7" type="noConversion"/>
  </si>
  <si>
    <t>先为达</t>
    <phoneticPr fontId="7" type="noConversion"/>
  </si>
  <si>
    <t>审阅、修改股东核查文件</t>
    <phoneticPr fontId="7" type="noConversion"/>
  </si>
  <si>
    <t>Momemta</t>
    <phoneticPr fontId="7" type="noConversion"/>
  </si>
  <si>
    <t>审阅股东核查文件</t>
    <phoneticPr fontId="7" type="noConversion"/>
  </si>
  <si>
    <t>微医</t>
    <phoneticPr fontId="7" type="noConversion"/>
  </si>
  <si>
    <t>审阅公司更新A1涉及的董事核查文件</t>
    <phoneticPr fontId="7" type="noConversion"/>
  </si>
  <si>
    <t>医联</t>
    <phoneticPr fontId="7" type="noConversion"/>
  </si>
  <si>
    <t>审阅重组相关文件，内部沟通</t>
    <phoneticPr fontId="7" type="noConversion"/>
  </si>
  <si>
    <t>更新issues list，处理监管分析，内部沟通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</si>
</sst>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176" fontId="5" fillId="0" borderId="4" xfId="0" applyNumberFormat="1"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6" zoomScale="85" zoomScaleNormal="85" workbookViewId="0">
      <selection activeCell="G19" sqref="G19"/>
    </sheetView>
  </sheetViews>
  <sheetFormatPr defaultColWidth="9" defaultRowHeight="14.1" x14ac:dyDescent="0.5"/>
  <cols>
    <col min="3" max="3" width="34.44921875" style="15" customWidth="1"/>
    <col min="4" max="4" width="15.09765625" customWidth="1"/>
    <col min="5" max="5" width="12.8984375" customWidth="1"/>
    <col min="6" max="6" width="35.6484375" style="15" customWidth="1"/>
    <col min="8" max="8" width="41.546875" style="15" customWidth="1"/>
    <col min="9" max="9" width="46.6484375" customWidth="1"/>
  </cols>
  <sheetData>
    <row r="2" spans="2:9" x14ac:dyDescent="0.5">
      <c r="B2" s="4" t="s">
        <v>0</v>
      </c>
      <c r="C2" s="5" t="s">
        <v>69</v>
      </c>
      <c r="D2" s="5" t="s">
        <v>1</v>
      </c>
      <c r="E2" s="5" t="s">
        <v>2</v>
      </c>
      <c r="F2" s="5" t="s">
        <v>3</v>
      </c>
      <c r="G2" s="5" t="s">
        <v>4</v>
      </c>
      <c r="H2" s="5" t="s">
        <v>5</v>
      </c>
      <c r="I2" s="10" t="s">
        <v>6</v>
      </c>
    </row>
    <row r="3" spans="2:9" ht="207.9" customHeight="1" x14ac:dyDescent="0.5">
      <c r="B3" s="6" t="s">
        <v>7</v>
      </c>
      <c r="C3" s="7" t="s">
        <v>8</v>
      </c>
      <c r="D3" s="7" t="s">
        <v>9</v>
      </c>
      <c r="E3" s="7" t="s">
        <v>58</v>
      </c>
      <c r="F3" s="7" t="s">
        <v>56</v>
      </c>
      <c r="G3" s="7" t="s">
        <v>10</v>
      </c>
      <c r="H3" s="7" t="s">
        <v>11</v>
      </c>
      <c r="I3" s="11" t="s">
        <v>12</v>
      </c>
    </row>
    <row r="4" spans="2:9" ht="25.2" x14ac:dyDescent="0.5">
      <c r="B4" s="28" t="s">
        <v>71</v>
      </c>
      <c r="C4" s="29" t="s">
        <v>14</v>
      </c>
      <c r="D4" s="30" t="s">
        <v>73</v>
      </c>
      <c r="E4" s="31" t="s">
        <v>39</v>
      </c>
      <c r="F4" s="29" t="s">
        <v>74</v>
      </c>
      <c r="G4" s="32">
        <v>27</v>
      </c>
      <c r="H4" s="33" t="s">
        <v>75</v>
      </c>
      <c r="I4" s="35" t="s">
        <v>84</v>
      </c>
    </row>
    <row r="5" spans="2:9" ht="25.2" x14ac:dyDescent="0.5">
      <c r="B5" s="28"/>
      <c r="C5" s="29" t="s">
        <v>14</v>
      </c>
      <c r="D5" s="30" t="s">
        <v>85</v>
      </c>
      <c r="E5" s="31" t="s">
        <v>39</v>
      </c>
      <c r="F5" s="29" t="s">
        <v>74</v>
      </c>
      <c r="G5" s="32">
        <v>4</v>
      </c>
      <c r="H5" s="33" t="s">
        <v>20</v>
      </c>
      <c r="I5" s="35" t="s">
        <v>86</v>
      </c>
    </row>
    <row r="6" spans="2:9" ht="49.2" customHeight="1" x14ac:dyDescent="0.5">
      <c r="B6" s="28" t="s">
        <v>71</v>
      </c>
      <c r="C6" s="35" t="s">
        <v>79</v>
      </c>
      <c r="D6" s="30" t="s">
        <v>76</v>
      </c>
      <c r="E6" s="31" t="s">
        <v>39</v>
      </c>
      <c r="F6" s="35" t="s">
        <v>54</v>
      </c>
      <c r="G6" s="32">
        <v>4</v>
      </c>
      <c r="H6" s="33" t="s">
        <v>20</v>
      </c>
      <c r="I6" s="35" t="s">
        <v>93</v>
      </c>
    </row>
    <row r="7" spans="2:9" ht="24" customHeight="1" x14ac:dyDescent="0.5">
      <c r="B7" s="28"/>
      <c r="C7" s="29" t="s">
        <v>16</v>
      </c>
      <c r="D7" s="30" t="s">
        <v>91</v>
      </c>
      <c r="E7" s="31" t="s">
        <v>39</v>
      </c>
      <c r="F7" s="29" t="s">
        <v>74</v>
      </c>
      <c r="G7" s="32">
        <v>3</v>
      </c>
      <c r="H7" s="33" t="s">
        <v>20</v>
      </c>
      <c r="I7" s="34" t="s">
        <v>92</v>
      </c>
    </row>
    <row r="8" spans="2:9" ht="46.2" customHeight="1" x14ac:dyDescent="0.5">
      <c r="B8" s="8"/>
      <c r="C8" s="29" t="s">
        <v>18</v>
      </c>
      <c r="D8" s="31"/>
      <c r="E8" s="31" t="s">
        <v>26</v>
      </c>
      <c r="F8" s="29"/>
      <c r="G8" s="32">
        <v>2</v>
      </c>
      <c r="H8" s="29" t="s">
        <v>26</v>
      </c>
      <c r="I8" s="34" t="s">
        <v>81</v>
      </c>
    </row>
    <row r="9" spans="2:9" ht="46.2" customHeight="1" x14ac:dyDescent="0.5">
      <c r="B9" s="28"/>
      <c r="C9" s="29" t="s">
        <v>15</v>
      </c>
      <c r="D9" s="30" t="s">
        <v>87</v>
      </c>
      <c r="E9" s="31" t="s">
        <v>39</v>
      </c>
      <c r="F9" s="29" t="s">
        <v>74</v>
      </c>
      <c r="G9" s="32">
        <v>0.5</v>
      </c>
      <c r="H9" s="33" t="s">
        <v>20</v>
      </c>
      <c r="I9" s="35" t="s">
        <v>88</v>
      </c>
    </row>
    <row r="10" spans="2:9" ht="46.2" customHeight="1" x14ac:dyDescent="0.5">
      <c r="B10" s="28"/>
      <c r="C10" s="29" t="s">
        <v>15</v>
      </c>
      <c r="D10" s="30" t="s">
        <v>89</v>
      </c>
      <c r="E10" s="31" t="s">
        <v>39</v>
      </c>
      <c r="F10" s="29" t="s">
        <v>74</v>
      </c>
      <c r="G10" s="32">
        <v>0.5</v>
      </c>
      <c r="H10" s="33" t="s">
        <v>20</v>
      </c>
      <c r="I10" s="35" t="s">
        <v>90</v>
      </c>
    </row>
    <row r="11" spans="2:9" ht="44.4" customHeight="1" x14ac:dyDescent="0.5">
      <c r="B11" s="28"/>
      <c r="C11" s="29" t="s">
        <v>16</v>
      </c>
      <c r="D11" s="30" t="s">
        <v>82</v>
      </c>
      <c r="E11" s="31" t="s">
        <v>39</v>
      </c>
      <c r="F11" s="29" t="s">
        <v>74</v>
      </c>
      <c r="G11" s="32">
        <v>0.5</v>
      </c>
      <c r="H11" s="33" t="s">
        <v>20</v>
      </c>
      <c r="I11" s="35" t="s">
        <v>83</v>
      </c>
    </row>
    <row r="12" spans="2:9" ht="44.4" customHeight="1" x14ac:dyDescent="0.5">
      <c r="B12" s="28"/>
      <c r="C12" s="29" t="s">
        <v>16</v>
      </c>
      <c r="D12" s="30" t="s">
        <v>72</v>
      </c>
      <c r="E12" s="31" t="s">
        <v>39</v>
      </c>
      <c r="F12" s="29" t="s">
        <v>74</v>
      </c>
      <c r="G12" s="32">
        <v>0.5</v>
      </c>
      <c r="H12" s="33" t="s">
        <v>20</v>
      </c>
      <c r="I12" s="34" t="s">
        <v>78</v>
      </c>
    </row>
    <row r="13" spans="2:9" x14ac:dyDescent="0.5">
      <c r="B13" s="8"/>
      <c r="C13" s="29" t="s">
        <v>18</v>
      </c>
      <c r="D13" s="31"/>
      <c r="E13" s="31" t="s">
        <v>26</v>
      </c>
      <c r="F13" s="29"/>
      <c r="G13" s="32">
        <v>0.5</v>
      </c>
      <c r="H13" s="29" t="s">
        <v>26</v>
      </c>
      <c r="I13" s="34" t="s">
        <v>80</v>
      </c>
    </row>
    <row r="14" spans="2:9" x14ac:dyDescent="0.5">
      <c r="B14" s="8"/>
      <c r="C14" s="14"/>
      <c r="D14" s="9"/>
      <c r="E14" s="9"/>
      <c r="F14" s="14"/>
      <c r="G14" s="42"/>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23"/>
      <c r="C21" s="24"/>
      <c r="D21" s="25"/>
      <c r="E21" s="25"/>
      <c r="F21" s="27" t="s">
        <v>66</v>
      </c>
      <c r="G21" s="39">
        <f>SUM(G3:G20)</f>
        <v>42.5</v>
      </c>
      <c r="H21" s="40"/>
      <c r="I21" s="41"/>
    </row>
    <row r="22" spans="2:9" ht="14.4" thickBot="1" x14ac:dyDescent="0.55000000000000004">
      <c r="B22" s="19"/>
      <c r="C22" s="20"/>
      <c r="D22" s="21"/>
      <c r="E22" s="21"/>
      <c r="F22" s="26" t="s">
        <v>67</v>
      </c>
      <c r="G22" s="36">
        <v>4</v>
      </c>
      <c r="H22" s="37"/>
      <c r="I22" s="38"/>
    </row>
    <row r="23" spans="2:9" ht="14.4" thickTop="1" x14ac:dyDescent="0.5"/>
  </sheetData>
  <sortState xmlns:xlrd2="http://schemas.microsoft.com/office/spreadsheetml/2017/richdata2" ref="B3:I13">
    <sortCondition descending="1" ref="G4:G13"/>
  </sortState>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2025-07-21T11:50:30Z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