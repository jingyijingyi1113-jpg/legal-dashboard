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6B42E4DC-0319-4A3C-BAD7-509B1536DDC6}"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<sst xmlns="http://schemas.openxmlformats.org/spreadsheetml/2006/main" count="158" uniqueCount="88">
  <si>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</si>
  <si>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</si>
  <si>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</si>
  <si>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</si>
  <si>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</si>
  <si>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</si>
  <si>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</si>
  <si>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</si>
  <si>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</si>
  <si>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</si>
  <si>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</si>
  <si>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</si>
  <si>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</si>
  <si>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</si>
  <si>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</si>
  <si>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</si>
  <si>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</si>
  <si>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</si>
  <si>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</si>
  <si>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</si>
  <si>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</si>
  <si>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</si>
  <si>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</si>
  <si>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</si>
  <si>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</si>
  <si>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</si>
  <si>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</si>
  <si>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</si>
  <si>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</si>
  <si>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</si>
  <si>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</si>
  <si>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</si>
  <si>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</si>
  <si>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</si>
  <si>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</si>
  <si>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</si>
  <si>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</si>
  <si>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</si>
  <si>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</si>
  <si>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</si>
  <si>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</si>
  <si>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</si>
  <si>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</si>
  <si>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</si>
  <si>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</si>
  <si>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</si>
  <si>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</si>
  <si>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</si>
  <si>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</si>
  <si>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</si>
  <si>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</si>
  <si>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</si>
  <si>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</si>
  <si>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</si>
  <si>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</si>
  <si>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</si>
  <si>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</si>
  <si>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</si>
  <si>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</si>
  <si>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</si>
  <si>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</si>
  <si>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</si>
  <si>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</si>
  <si>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</si>
  <si>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</si>
  <si>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</si>
  <si>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</si>
  <si>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</si>
  <si>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</si>
  <si>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</si>
  <si>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</si>
  <si>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</si>
  <si>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</si>
  <si>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</si>
  <si>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</si>
  <si>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</si>
  <si>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</si>
  <si>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Telegram</t>
    <phoneticPr fontId="7" type="noConversion"/>
  </si>
  <si>
    <t>Participating regular team meetings</t>
    <phoneticPr fontId="7" type="noConversion"/>
  </si>
  <si>
    <t>就PN3申请，回复监管的两轮问题</t>
    <phoneticPr fontId="7" type="noConversion"/>
  </si>
  <si>
    <t>处理交割事项，内外部沟通</t>
    <phoneticPr fontId="7" type="noConversion"/>
  </si>
  <si>
    <t>Toylogic</t>
    <phoneticPr fontId="7" type="noConversion"/>
  </si>
  <si>
    <t>审阅、修改交易文件等</t>
    <phoneticPr fontId="7" type="noConversion"/>
  </si>
  <si>
    <t>四维纵横</t>
    <phoneticPr fontId="7" type="noConversion"/>
  </si>
  <si>
    <t>董事会构成调整相关的文件审阅和反垄断分析</t>
    <phoneticPr fontId="7" type="noConversion"/>
  </si>
  <si>
    <t>处理股票电子化相关事项</t>
    <phoneticPr fontId="7" type="noConversion"/>
  </si>
  <si>
    <t>处理DD事项</t>
    <phoneticPr fontId="7" type="noConversion"/>
  </si>
  <si>
    <t>审阅、修改交易文件、外转内文件等，参与并购贷银行电话会，其他内外部沟通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</si>
</sst>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tabSelected="1" topLeftCell="C3" zoomScale="85" zoomScaleNormal="85" workbookViewId="0">
      <selection activeCell="H14" sqref="H14"/>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69</v>
      </c>
      <c r="D2" s="5" t="s">
        <v>1</v>
      </c>
      <c r="E2" s="5" t="s">
        <v>2</v>
      </c>
      <c r="F2" s="5" t="s">
        <v>3</v>
      </c>
      <c r="G2" s="5" t="s">
        <v>4</v>
      </c>
      <c r="H2" s="5" t="s">
        <v>5</v>
      </c>
      <c r="I2" s="10" t="s">
        <v>6</v>
      </c>
    </row>
    <row r="3" spans="1:9" ht="207.9" customHeight="1" x14ac:dyDescent="0.5">
      <c r="B3" s="6" t="s">
        <v>7</v>
      </c>
      <c r="C3" s="7" t="s">
        <v>8</v>
      </c>
      <c r="D3" s="7" t="s">
        <v>9</v>
      </c>
      <c r="E3" s="7" t="s">
        <v>58</v>
      </c>
      <c r="F3" s="7" t="s">
        <v>56</v>
      </c>
      <c r="G3" s="7" t="s">
        <v>10</v>
      </c>
      <c r="H3" s="7" t="s">
        <v>11</v>
      </c>
      <c r="I3" s="11" t="s">
        <v>12</v>
      </c>
    </row>
    <row r="4" spans="1:9" ht="55.2" customHeight="1" x14ac:dyDescent="0.5">
      <c r="A4" s="28"/>
      <c r="B4" s="29"/>
      <c r="C4" s="30" t="s">
        <v>14</v>
      </c>
      <c r="D4" s="31" t="s">
        <v>81</v>
      </c>
      <c r="E4" s="32" t="s">
        <v>39</v>
      </c>
      <c r="F4" s="30" t="s">
        <v>74</v>
      </c>
      <c r="G4" s="33">
        <v>16</v>
      </c>
      <c r="H4" s="34" t="s">
        <v>20</v>
      </c>
      <c r="I4" s="36" t="s">
        <v>82</v>
      </c>
    </row>
    <row r="5" spans="1:9" ht="25.2" x14ac:dyDescent="0.5">
      <c r="A5" s="28"/>
      <c r="B5" s="29"/>
      <c r="C5" s="30" t="s">
        <v>16</v>
      </c>
      <c r="D5" s="31" t="s">
        <v>72</v>
      </c>
      <c r="E5" s="32" t="s">
        <v>39</v>
      </c>
      <c r="F5" s="30" t="s">
        <v>74</v>
      </c>
      <c r="G5" s="33">
        <v>12</v>
      </c>
      <c r="H5" s="34" t="s">
        <v>35</v>
      </c>
      <c r="I5" s="35" t="s">
        <v>79</v>
      </c>
    </row>
    <row r="6" spans="1:9" ht="25.2" x14ac:dyDescent="0.5">
      <c r="B6" s="29" t="s">
        <v>71</v>
      </c>
      <c r="C6" s="30" t="s">
        <v>14</v>
      </c>
      <c r="D6" s="31" t="s">
        <v>73</v>
      </c>
      <c r="E6" s="32" t="s">
        <v>39</v>
      </c>
      <c r="F6" s="30" t="s">
        <v>74</v>
      </c>
      <c r="G6" s="33">
        <v>8</v>
      </c>
      <c r="H6" s="34" t="s">
        <v>75</v>
      </c>
      <c r="I6" s="36" t="s">
        <v>87</v>
      </c>
    </row>
    <row r="7" spans="1:9" ht="25.2" x14ac:dyDescent="0.5">
      <c r="B7" s="29"/>
      <c r="C7" s="30" t="s">
        <v>16</v>
      </c>
      <c r="D7" s="31" t="s">
        <v>83</v>
      </c>
      <c r="E7" s="32" t="s">
        <v>39</v>
      </c>
      <c r="F7" s="30" t="s">
        <v>74</v>
      </c>
      <c r="G7" s="33">
        <v>5</v>
      </c>
      <c r="H7" s="34" t="s">
        <v>20</v>
      </c>
      <c r="I7" s="36" t="s">
        <v>84</v>
      </c>
    </row>
    <row r="8" spans="1:9" ht="25.2" x14ac:dyDescent="0.5">
      <c r="B8" s="29"/>
      <c r="C8" s="30" t="s">
        <v>14</v>
      </c>
      <c r="D8" s="31" t="s">
        <v>77</v>
      </c>
      <c r="E8" s="32" t="s">
        <v>39</v>
      </c>
      <c r="F8" s="30" t="s">
        <v>74</v>
      </c>
      <c r="G8" s="33">
        <v>3</v>
      </c>
      <c r="H8" s="34" t="s">
        <v>20</v>
      </c>
      <c r="I8" s="36" t="s">
        <v>80</v>
      </c>
    </row>
    <row r="9" spans="1:9" ht="25.2" x14ac:dyDescent="0.5">
      <c r="B9" s="29"/>
      <c r="C9" s="30" t="s">
        <v>16</v>
      </c>
      <c r="D9" s="31" t="s">
        <v>72</v>
      </c>
      <c r="E9" s="32" t="s">
        <v>39</v>
      </c>
      <c r="F9" s="30" t="s">
        <v>74</v>
      </c>
      <c r="G9" s="33">
        <v>2</v>
      </c>
      <c r="H9" s="34" t="s">
        <v>20</v>
      </c>
      <c r="I9" s="35" t="s">
        <v>85</v>
      </c>
    </row>
    <row r="10" spans="1:9" ht="22.8" customHeight="1" x14ac:dyDescent="0.5">
      <c r="B10" s="29" t="s">
        <v>71</v>
      </c>
      <c r="C10" s="30" t="s">
        <v>14</v>
      </c>
      <c r="D10" s="31" t="s">
        <v>76</v>
      </c>
      <c r="E10" s="32" t="s">
        <v>39</v>
      </c>
      <c r="F10" s="30" t="s">
        <v>74</v>
      </c>
      <c r="G10" s="33">
        <v>1</v>
      </c>
      <c r="H10" s="34" t="s">
        <v>20</v>
      </c>
      <c r="I10" s="36" t="s">
        <v>86</v>
      </c>
    </row>
    <row r="11" spans="1:9" x14ac:dyDescent="0.5">
      <c r="B11" s="8"/>
      <c r="C11" s="14"/>
      <c r="D11" s="9"/>
      <c r="E11" s="9"/>
      <c r="F11" s="14"/>
      <c r="G11" s="9"/>
      <c r="H11" s="14"/>
      <c r="I11" s="12"/>
    </row>
    <row r="12" spans="1:9" x14ac:dyDescent="0.5">
      <c r="B12" s="8"/>
      <c r="C12" s="14"/>
      <c r="D12" s="9"/>
      <c r="E12" s="9"/>
      <c r="F12" s="14"/>
      <c r="G12" s="9"/>
      <c r="H12" s="14"/>
      <c r="I12" s="12"/>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23"/>
      <c r="C22" s="24"/>
      <c r="D22" s="25"/>
      <c r="E22" s="25"/>
      <c r="F22" s="27" t="s">
        <v>66</v>
      </c>
      <c r="G22" s="40">
        <f>SUM(G3:G21)</f>
        <v>47</v>
      </c>
      <c r="H22" s="41"/>
      <c r="I22" s="42"/>
    </row>
    <row r="23" spans="2:9" ht="14.4" thickBot="1" x14ac:dyDescent="0.55000000000000004">
      <c r="B23" s="19"/>
      <c r="C23" s="20"/>
      <c r="D23" s="21"/>
      <c r="E23" s="21"/>
      <c r="F23" s="26" t="s">
        <v>67</v>
      </c>
      <c r="G23" s="37">
        <v>5</v>
      </c>
      <c r="H23" s="38"/>
      <c r="I23" s="39"/>
    </row>
    <row r="24" spans="2:9" ht="14.4" thickTop="1" x14ac:dyDescent="0.5"/>
  </sheetData>
  <sortState xmlns:xlrd2="http://schemas.microsoft.com/office/spreadsheetml/2017/richdata2" ref="B3:I10">
    <sortCondition descending="1" ref="G4:G10"/>
  </sortState>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78</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2025-06-16T11:17:18Z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