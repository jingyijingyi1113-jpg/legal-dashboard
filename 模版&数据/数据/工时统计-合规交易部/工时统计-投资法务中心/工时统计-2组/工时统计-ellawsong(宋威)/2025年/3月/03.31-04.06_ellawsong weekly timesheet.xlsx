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6C799495-8A33-4BA5-80EA-1BB87B6CCA90}"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<sst xmlns="http://schemas.openxmlformats.org/spreadsheetml/2006/main" count="188" uniqueCount="96">
  <si>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</si>
  <si>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</si>
  <si>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</si>
  <si>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</si>
  <si>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</si>
  <si>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</si>
  <si>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</si>
  <si>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</si>
  <si>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</si>
  <si>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</si>
  <si>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</si>
  <si>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</si>
  <si>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</si>
  <si>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</si>
  <si>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</si>
  <si>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</si>
  <si>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</si>
  <si>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</si>
  <si>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</si>
  <si>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</si>
  <si>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</si>
  <si>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</si>
  <si>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</si>
  <si>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</si>
  <si>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</si>
  <si>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</si>
  <si>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</si>
  <si>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</si>
  <si>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</si>
  <si>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</si>
  <si>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</si>
  <si>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</si>
  <si>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</si>
  <si>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</si>
  <si>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</si>
  <si>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</si>
  <si>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</si>
  <si>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</si>
  <si>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</si>
  <si>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</si>
  <si>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</si>
  <si>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</si>
  <si>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</si>
  <si>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</si>
  <si>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</si>
  <si>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</si>
  <si>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</si>
  <si>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</si>
  <si>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</si>
  <si>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</si>
  <si>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</si>
  <si>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</si>
  <si>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</si>
  <si>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</si>
  <si>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</si>
  <si>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</si>
  <si>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</si>
  <si>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</si>
  <si>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</si>
  <si>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</si>
  <si>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</si>
  <si>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</si>
  <si>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</si>
  <si>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</si>
  <si>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</si>
  <si>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</si>
  <si>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</si>
  <si>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</si>
  <si>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</si>
  <si>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</si>
  <si>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</si>
  <si>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</si>
  <si>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</si>
  <si>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</si>
  <si>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</si>
  <si>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</si>
  <si>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</si>
  <si>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晶合思动</t>
    <phoneticPr fontId="7" type="noConversion"/>
  </si>
  <si>
    <t>就是否发起仲裁以实现股转登记，查阅背景资料、内外部沟通</t>
    <phoneticPr fontId="7" type="noConversion"/>
  </si>
  <si>
    <t>Networld</t>
    <phoneticPr fontId="7" type="noConversion"/>
  </si>
  <si>
    <t>处理founder转股事项</t>
    <phoneticPr fontId="7" type="noConversion"/>
  </si>
  <si>
    <t>微医</t>
    <phoneticPr fontId="7" type="noConversion"/>
  </si>
  <si>
    <t>处理与被投公司上市申请相关的董事薪酬询证函的签署和回应有关问题</t>
    <phoneticPr fontId="7" type="noConversion"/>
  </si>
  <si>
    <t>皮皮鲁</t>
    <phoneticPr fontId="7" type="noConversion"/>
  </si>
  <si>
    <t>审阅公司重要IP协议相关修改</t>
    <phoneticPr fontId="7" type="noConversion"/>
  </si>
  <si>
    <t>Voyager</t>
    <phoneticPr fontId="7" type="noConversion"/>
  </si>
  <si>
    <t>审阅其他投资人提出的董事席位要求函，回应MA有关董事责任和风险的问题，协调律师进行法律研究</t>
    <phoneticPr fontId="7" type="noConversion"/>
  </si>
  <si>
    <t>纳米维景</t>
    <phoneticPr fontId="7" type="noConversion"/>
  </si>
  <si>
    <t>审阅公司新轮融资文件以及潜在的风险分析</t>
    <phoneticPr fontId="7" type="noConversion"/>
  </si>
  <si>
    <t>四维纵横</t>
    <phoneticPr fontId="7" type="noConversion"/>
  </si>
  <si>
    <t>审阅公司更新后的ESOP文件</t>
    <phoneticPr fontId="7" type="noConversion"/>
  </si>
  <si>
    <t>处理股东会有关事项</t>
    <phoneticPr fontId="7" type="noConversion"/>
  </si>
  <si>
    <t>处理账单和预算相关事宜</t>
    <phoneticPr fontId="7" type="noConversion"/>
  </si>
  <si>
    <t>Lydia</t>
    <phoneticPr fontId="7" type="noConversion"/>
  </si>
  <si>
    <t>处理公司banking license申请相关事宜</t>
    <phoneticPr fontId="7" type="noConversion"/>
  </si>
  <si>
    <t>审阅、修改外转内安排、大商管董事会决议、新增法律研究等，内外部沟通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</si>
</sst>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8"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2"/>
  <sheetViews>
    <sheetView tabSelected="1" topLeftCell="A3" zoomScale="85" zoomScaleNormal="85" workbookViewId="0">
      <selection activeCell="G13" sqref="G13"/>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70</v>
      </c>
      <c r="D2" s="5" t="s">
        <v>1</v>
      </c>
      <c r="E2" s="5" t="s">
        <v>2</v>
      </c>
      <c r="F2" s="5" t="s">
        <v>3</v>
      </c>
      <c r="G2" s="5" t="s">
        <v>4</v>
      </c>
      <c r="H2" s="5" t="s">
        <v>5</v>
      </c>
      <c r="I2" s="10" t="s">
        <v>6</v>
      </c>
    </row>
    <row r="3" spans="1:9" ht="207.9" customHeight="1" x14ac:dyDescent="0.5">
      <c r="B3" s="6" t="s">
        <v>7</v>
      </c>
      <c r="C3" s="7" t="s">
        <v>8</v>
      </c>
      <c r="D3" s="7" t="s">
        <v>9</v>
      </c>
      <c r="E3" s="7" t="s">
        <v>59</v>
      </c>
      <c r="F3" s="7" t="s">
        <v>57</v>
      </c>
      <c r="G3" s="7" t="s">
        <v>10</v>
      </c>
      <c r="H3" s="7" t="s">
        <v>11</v>
      </c>
      <c r="I3" s="11" t="s">
        <v>12</v>
      </c>
    </row>
    <row r="4" spans="1:9" ht="25.2" x14ac:dyDescent="0.5">
      <c r="A4" s="29"/>
      <c r="B4" s="30" t="s">
        <v>72</v>
      </c>
      <c r="C4" s="31" t="s">
        <v>14</v>
      </c>
      <c r="D4" s="32" t="s">
        <v>87</v>
      </c>
      <c r="E4" s="33" t="s">
        <v>40</v>
      </c>
      <c r="F4" s="31" t="s">
        <v>75</v>
      </c>
      <c r="G4" s="34">
        <v>9</v>
      </c>
      <c r="H4" s="35" t="s">
        <v>20</v>
      </c>
      <c r="I4" s="36" t="s">
        <v>88</v>
      </c>
    </row>
    <row r="5" spans="1:9" ht="25.2" x14ac:dyDescent="0.5">
      <c r="A5" s="29"/>
      <c r="B5" s="30" t="s">
        <v>72</v>
      </c>
      <c r="C5" s="31" t="s">
        <v>14</v>
      </c>
      <c r="D5" s="32" t="s">
        <v>74</v>
      </c>
      <c r="E5" s="33" t="s">
        <v>40</v>
      </c>
      <c r="F5" s="31" t="s">
        <v>75</v>
      </c>
      <c r="G5" s="34">
        <v>8</v>
      </c>
      <c r="H5" s="35" t="s">
        <v>76</v>
      </c>
      <c r="I5" s="36" t="s">
        <v>95</v>
      </c>
    </row>
    <row r="6" spans="1:9" ht="25.2" x14ac:dyDescent="0.5">
      <c r="A6" s="29"/>
      <c r="B6" s="30" t="s">
        <v>72</v>
      </c>
      <c r="C6" s="31" t="s">
        <v>14</v>
      </c>
      <c r="D6" s="32" t="s">
        <v>85</v>
      </c>
      <c r="E6" s="33" t="s">
        <v>40</v>
      </c>
      <c r="F6" s="31" t="s">
        <v>75</v>
      </c>
      <c r="G6" s="34">
        <v>8</v>
      </c>
      <c r="H6" s="35" t="s">
        <v>76</v>
      </c>
      <c r="I6" s="37" t="s">
        <v>86</v>
      </c>
    </row>
    <row r="7" spans="1:9" x14ac:dyDescent="0.5">
      <c r="A7" s="29"/>
      <c r="B7" s="30" t="s">
        <v>72</v>
      </c>
      <c r="C7" s="31" t="s">
        <v>14</v>
      </c>
      <c r="D7" s="32"/>
      <c r="E7" s="33" t="s">
        <v>27</v>
      </c>
      <c r="F7" s="31"/>
      <c r="G7" s="34">
        <v>5</v>
      </c>
      <c r="H7" s="31"/>
      <c r="I7" s="36" t="s">
        <v>92</v>
      </c>
    </row>
    <row r="8" spans="1:9" ht="25.2" x14ac:dyDescent="0.5">
      <c r="A8" s="29"/>
      <c r="B8" s="30" t="s">
        <v>72</v>
      </c>
      <c r="C8" s="31" t="s">
        <v>14</v>
      </c>
      <c r="D8" s="32" t="s">
        <v>77</v>
      </c>
      <c r="E8" s="33" t="s">
        <v>40</v>
      </c>
      <c r="F8" s="31" t="s">
        <v>75</v>
      </c>
      <c r="G8" s="34">
        <v>3</v>
      </c>
      <c r="H8" s="31" t="s">
        <v>36</v>
      </c>
      <c r="I8" s="37" t="s">
        <v>78</v>
      </c>
    </row>
    <row r="9" spans="1:9" ht="25.2" x14ac:dyDescent="0.5">
      <c r="A9" s="29"/>
      <c r="B9" s="30" t="s">
        <v>72</v>
      </c>
      <c r="C9" s="31" t="s">
        <v>14</v>
      </c>
      <c r="D9" s="32" t="s">
        <v>83</v>
      </c>
      <c r="E9" s="33" t="s">
        <v>40</v>
      </c>
      <c r="F9" s="31" t="s">
        <v>75</v>
      </c>
      <c r="G9" s="34">
        <v>3</v>
      </c>
      <c r="H9" s="31" t="s">
        <v>20</v>
      </c>
      <c r="I9" s="37" t="s">
        <v>84</v>
      </c>
    </row>
    <row r="10" spans="1:9" ht="25.2" x14ac:dyDescent="0.5">
      <c r="A10" s="29"/>
      <c r="B10" s="30" t="s">
        <v>72</v>
      </c>
      <c r="C10" s="31" t="s">
        <v>14</v>
      </c>
      <c r="D10" s="32" t="s">
        <v>79</v>
      </c>
      <c r="E10" s="33" t="s">
        <v>40</v>
      </c>
      <c r="F10" s="31" t="s">
        <v>75</v>
      </c>
      <c r="G10" s="34">
        <v>2</v>
      </c>
      <c r="H10" s="31" t="s">
        <v>36</v>
      </c>
      <c r="I10" s="37" t="s">
        <v>80</v>
      </c>
    </row>
    <row r="11" spans="1:9" ht="25.2" x14ac:dyDescent="0.5">
      <c r="A11" s="29"/>
      <c r="B11" s="30" t="s">
        <v>72</v>
      </c>
      <c r="C11" s="31" t="s">
        <v>14</v>
      </c>
      <c r="D11" s="32" t="s">
        <v>93</v>
      </c>
      <c r="E11" s="33" t="s">
        <v>40</v>
      </c>
      <c r="F11" s="31" t="s">
        <v>75</v>
      </c>
      <c r="G11" s="34">
        <v>2</v>
      </c>
      <c r="H11" s="31" t="s">
        <v>20</v>
      </c>
      <c r="I11" s="37" t="s">
        <v>94</v>
      </c>
    </row>
    <row r="12" spans="1:9" ht="25.2" x14ac:dyDescent="0.5">
      <c r="A12" s="29"/>
      <c r="B12" s="30" t="s">
        <v>72</v>
      </c>
      <c r="C12" s="31" t="s">
        <v>14</v>
      </c>
      <c r="D12" s="32" t="s">
        <v>73</v>
      </c>
      <c r="E12" s="33" t="s">
        <v>40</v>
      </c>
      <c r="F12" s="31" t="s">
        <v>75</v>
      </c>
      <c r="G12" s="34">
        <v>2</v>
      </c>
      <c r="H12" s="35" t="s">
        <v>20</v>
      </c>
      <c r="I12" s="36" t="s">
        <v>91</v>
      </c>
    </row>
    <row r="13" spans="1:9" ht="25.2" x14ac:dyDescent="0.5">
      <c r="A13" s="29"/>
      <c r="B13" s="30" t="s">
        <v>72</v>
      </c>
      <c r="C13" s="31" t="s">
        <v>14</v>
      </c>
      <c r="D13" s="32" t="s">
        <v>81</v>
      </c>
      <c r="E13" s="33" t="s">
        <v>40</v>
      </c>
      <c r="F13" s="31" t="s">
        <v>75</v>
      </c>
      <c r="G13" s="34">
        <v>1</v>
      </c>
      <c r="H13" s="35" t="s">
        <v>36</v>
      </c>
      <c r="I13" s="36" t="s">
        <v>82</v>
      </c>
    </row>
    <row r="14" spans="1:9" ht="25.2" x14ac:dyDescent="0.5">
      <c r="B14" s="30" t="s">
        <v>72</v>
      </c>
      <c r="C14" s="31" t="s">
        <v>14</v>
      </c>
      <c r="D14" s="32" t="s">
        <v>89</v>
      </c>
      <c r="E14" s="33" t="s">
        <v>40</v>
      </c>
      <c r="F14" s="31" t="s">
        <v>75</v>
      </c>
      <c r="G14" s="34">
        <v>1</v>
      </c>
      <c r="H14" s="35" t="s">
        <v>76</v>
      </c>
      <c r="I14" s="36" t="s">
        <v>90</v>
      </c>
    </row>
    <row r="15" spans="1:9" x14ac:dyDescent="0.5">
      <c r="B15" s="8"/>
      <c r="C15" s="31"/>
      <c r="D15" s="33"/>
      <c r="E15" s="33"/>
      <c r="F15" s="31"/>
      <c r="G15" s="33"/>
      <c r="H15" s="31"/>
      <c r="I15" s="44"/>
    </row>
    <row r="16" spans="1:9" x14ac:dyDescent="0.5">
      <c r="B16" s="8"/>
      <c r="C16" s="14"/>
      <c r="D16" s="9"/>
      <c r="E16" s="9"/>
      <c r="F16" s="14"/>
      <c r="G16" s="9"/>
      <c r="H16" s="14"/>
      <c r="I16" s="12"/>
    </row>
    <row r="17" spans="2:9" x14ac:dyDescent="0.5">
      <c r="B17" s="8"/>
      <c r="C17" s="14"/>
      <c r="D17" s="9"/>
      <c r="E17" s="9"/>
      <c r="F17" s="14"/>
      <c r="G17" s="28"/>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23"/>
      <c r="C30" s="24"/>
      <c r="D30" s="25"/>
      <c r="E30" s="25"/>
      <c r="F30" s="27" t="s">
        <v>67</v>
      </c>
      <c r="G30" s="41">
        <f>SUM(G3:G29)</f>
        <v>44</v>
      </c>
      <c r="H30" s="42"/>
      <c r="I30" s="43"/>
    </row>
    <row r="31" spans="2:9" ht="14.4" thickBot="1" x14ac:dyDescent="0.55000000000000004">
      <c r="B31" s="19"/>
      <c r="C31" s="20"/>
      <c r="D31" s="21"/>
      <c r="E31" s="21"/>
      <c r="F31" s="26" t="s">
        <v>68</v>
      </c>
      <c r="G31" s="38">
        <v>4</v>
      </c>
      <c r="H31" s="39"/>
      <c r="I31" s="40"/>
    </row>
    <row r="32" spans="2:9" ht="14.4" thickTop="1" x14ac:dyDescent="0.5"/>
  </sheetData>
  <sortState xmlns:xlrd2="http://schemas.microsoft.com/office/spreadsheetml/2017/richdata2" ref="B3:I14">
    <sortCondition descending="1" ref="G4:G14"/>
  </sortState>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D9" sqref="D9"/>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3" t="s">
        <v>56</v>
      </c>
      <c r="D13" s="13" t="s">
        <v>56</v>
      </c>
    </row>
    <row r="14" spans="1:8" ht="25.2" x14ac:dyDescent="0.5">
      <c r="B14" s="18" t="s">
        <v>44</v>
      </c>
      <c r="C14" s="13" t="s">
        <v>56</v>
      </c>
      <c r="D14" s="13" t="s">
        <v>56</v>
      </c>
    </row>
    <row r="15" spans="1:8" ht="50.4" x14ac:dyDescent="0.5">
      <c r="B15" s="18" t="s">
        <v>45</v>
      </c>
      <c r="C15" s="13" t="s">
        <v>56</v>
      </c>
      <c r="D15" s="13" t="s">
        <v>56</v>
      </c>
    </row>
    <row r="16" spans="1:8" ht="50.4" x14ac:dyDescent="0.5">
      <c r="B16" s="18" t="s">
        <v>46</v>
      </c>
      <c r="C16" s="13" t="s">
        <v>56</v>
      </c>
      <c r="D16" s="13" t="s">
        <v>56</v>
      </c>
    </row>
    <row r="17" spans="2:4" ht="37.799999999999997" x14ac:dyDescent="0.5">
      <c r="B17" s="18" t="s">
        <v>47</v>
      </c>
      <c r="C17" s="13" t="s">
        <v>56</v>
      </c>
      <c r="D17" s="13" t="s">
        <v>56</v>
      </c>
    </row>
    <row r="18" spans="2:4" ht="50.4" x14ac:dyDescent="0.5">
      <c r="B18" s="18" t="s">
        <v>48</v>
      </c>
      <c r="C18" s="13" t="s">
        <v>56</v>
      </c>
      <c r="D18" s="13" t="s">
        <v>56</v>
      </c>
    </row>
    <row r="19" spans="2:4" ht="50.4" x14ac:dyDescent="0.5">
      <c r="B19" s="18" t="s">
        <v>49</v>
      </c>
      <c r="C19" s="13" t="s">
        <v>56</v>
      </c>
      <c r="D19" s="13" t="s">
        <v>56</v>
      </c>
    </row>
    <row r="20" spans="2:4" ht="37.799999999999997" x14ac:dyDescent="0.5">
      <c r="B20" s="18" t="s">
        <v>63</v>
      </c>
      <c r="C20" s="13" t="s">
        <v>56</v>
      </c>
      <c r="D20" s="13" t="s">
        <v>56</v>
      </c>
    </row>
    <row r="21" spans="2:4" ht="25.2" x14ac:dyDescent="0.5">
      <c r="B21" s="18" t="s">
        <v>50</v>
      </c>
      <c r="C21" s="13" t="s">
        <v>56</v>
      </c>
      <c r="D21" s="13" t="s">
        <v>56</v>
      </c>
    </row>
    <row r="22" spans="2:4" ht="37.799999999999997" x14ac:dyDescent="0.5">
      <c r="B22" s="18" t="s">
        <v>64</v>
      </c>
      <c r="C22" s="13" t="s">
        <v>56</v>
      </c>
      <c r="D22" s="13" t="s">
        <v>56</v>
      </c>
    </row>
    <row r="23" spans="2:4" ht="37.799999999999997" x14ac:dyDescent="0.5">
      <c r="B23" s="18" t="s">
        <v>65</v>
      </c>
      <c r="C23" s="13"/>
      <c r="D23" s="13"/>
    </row>
    <row r="24" spans="2:4" ht="63" x14ac:dyDescent="0.5">
      <c r="B24" s="18" t="s">
        <v>54</v>
      </c>
      <c r="C24" s="13" t="s">
        <v>56</v>
      </c>
      <c r="D24" s="13" t="s">
        <v>56</v>
      </c>
    </row>
    <row r="25" spans="2:4" ht="37.799999999999997" x14ac:dyDescent="0.5">
      <c r="B25" s="18" t="s">
        <v>51</v>
      </c>
      <c r="C25" s="13" t="s">
        <v>56</v>
      </c>
      <c r="D25" s="13" t="s">
        <v>56</v>
      </c>
    </row>
    <row r="26" spans="2:4" ht="37.799999999999997" x14ac:dyDescent="0.5">
      <c r="B26" s="18" t="s">
        <v>52</v>
      </c>
      <c r="C26" s="13" t="s">
        <v>56</v>
      </c>
      <c r="D26" s="13" t="s">
        <v>56</v>
      </c>
    </row>
    <row r="27" spans="2:4" ht="25.2" x14ac:dyDescent="0.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2025-04-07T08:51:18Z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