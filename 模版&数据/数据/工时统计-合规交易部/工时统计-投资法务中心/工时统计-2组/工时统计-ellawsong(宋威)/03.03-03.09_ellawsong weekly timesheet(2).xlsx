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D97E27EA-3B87-48D1-A652-EFB9CF294EE7}"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<sst xmlns="http://schemas.openxmlformats.org/spreadsheetml/2006/main" count="154" uniqueCount="86">
  <si>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</si>
  <si>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</si>
  <si>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</si>
  <si>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</si>
  <si>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</si>
  <si>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</si>
  <si>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</si>
  <si>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</si>
  <si>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</si>
  <si>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</si>
  <si>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</si>
  <si>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</si>
  <si>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</si>
  <si>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</si>
  <si>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</si>
  <si>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</si>
  <si>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</si>
  <si>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</si>
  <si>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</si>
  <si>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</si>
  <si>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</si>
  <si>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</si>
  <si>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</si>
  <si>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</si>
  <si>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</si>
  <si>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</si>
  <si>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</si>
  <si>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</si>
  <si>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</si>
  <si>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</si>
  <si>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</si>
  <si>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</si>
  <si>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</si>
  <si>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</si>
  <si>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</si>
  <si>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</si>
  <si>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</si>
  <si>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</si>
  <si>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</si>
  <si>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</si>
  <si>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</si>
  <si>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</si>
  <si>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</si>
  <si>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</si>
  <si>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</si>
  <si>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</si>
  <si>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</si>
  <si>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</si>
  <si>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</si>
  <si>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</si>
  <si>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</si>
  <si>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</si>
  <si>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</si>
  <si>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</si>
  <si>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</si>
  <si>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</si>
  <si>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</si>
  <si>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</si>
  <si>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</si>
  <si>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</si>
  <si>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</si>
  <si>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</si>
  <si>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</si>
  <si>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</si>
  <si>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</si>
  <si>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</si>
  <si>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</si>
  <si>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</si>
  <si>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</si>
  <si>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</si>
  <si>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</si>
  <si>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</si>
  <si>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</si>
  <si>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</si>
  <si>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</si>
  <si>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</si>
  <si>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Interacting with authorities/regulators</t>
    <phoneticPr fontId="7" type="noConversion"/>
  </si>
  <si>
    <t>Drafting/reviewing/negotiating legal documents</t>
    <phoneticPr fontId="7" type="noConversion"/>
  </si>
  <si>
    <t>重资产项目文件的起草和谈判</t>
    <phoneticPr fontId="7" type="noConversion"/>
  </si>
  <si>
    <t>摩尔线程</t>
    <phoneticPr fontId="7" type="noConversion"/>
  </si>
  <si>
    <t>持股主体在印度开立demat account涉及的内外沟通</t>
    <phoneticPr fontId="7" type="noConversion"/>
  </si>
  <si>
    <t>PN3申请涉及的申请文件更新和审阅，以及申请文件的签署和公证认证</t>
    <phoneticPr fontId="7" type="noConversion"/>
  </si>
  <si>
    <t>处理被投公司A股上市涉及的股东穿透核查以及股东特殊权利终止协议的审阅和谈判</t>
    <phoneticPr fontId="7" type="noConversion"/>
  </si>
  <si>
    <t>四维纵横</t>
    <phoneticPr fontId="7" type="noConversion"/>
  </si>
  <si>
    <t>审阅公司ESOP文件和相关的董事会决议</t>
    <phoneticPr fontId="7" type="noConversion"/>
  </si>
  <si>
    <t>内部管理沟通电话会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</si>
</sst>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85" zoomScaleNormal="85" workbookViewId="0">
      <selection activeCell="H9" sqref="H9"/>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46.64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74</v>
      </c>
      <c r="E4" s="9" t="s">
        <v>40</v>
      </c>
      <c r="F4" s="14" t="s">
        <v>75</v>
      </c>
      <c r="G4" s="30">
        <v>24</v>
      </c>
      <c r="H4" s="32" t="s">
        <v>77</v>
      </c>
      <c r="I4" s="31" t="s">
        <v>78</v>
      </c>
    </row>
    <row r="5" spans="2:9" ht="25.2" x14ac:dyDescent="0.5">
      <c r="B5" s="16" t="s">
        <v>72</v>
      </c>
      <c r="C5" s="14" t="s">
        <v>14</v>
      </c>
      <c r="D5" s="29" t="s">
        <v>79</v>
      </c>
      <c r="E5" s="9" t="s">
        <v>40</v>
      </c>
      <c r="F5" s="14" t="s">
        <v>75</v>
      </c>
      <c r="G5" s="30">
        <v>9</v>
      </c>
      <c r="H5" s="14" t="s">
        <v>36</v>
      </c>
      <c r="I5" s="33" t="s">
        <v>82</v>
      </c>
    </row>
    <row r="6" spans="2:9" ht="25.2" x14ac:dyDescent="0.5">
      <c r="B6" s="16" t="s">
        <v>72</v>
      </c>
      <c r="C6" s="14" t="s">
        <v>14</v>
      </c>
      <c r="D6" s="29" t="s">
        <v>73</v>
      </c>
      <c r="E6" s="9" t="s">
        <v>40</v>
      </c>
      <c r="F6" s="14" t="s">
        <v>75</v>
      </c>
      <c r="G6" s="30">
        <v>8</v>
      </c>
      <c r="H6" s="32" t="s">
        <v>76</v>
      </c>
      <c r="I6" s="33" t="s">
        <v>81</v>
      </c>
    </row>
    <row r="7" spans="2:9" ht="25.2" x14ac:dyDescent="0.5">
      <c r="B7" s="16" t="s">
        <v>72</v>
      </c>
      <c r="C7" s="14" t="s">
        <v>14</v>
      </c>
      <c r="D7" s="29" t="s">
        <v>73</v>
      </c>
      <c r="E7" s="9" t="s">
        <v>40</v>
      </c>
      <c r="F7" s="14" t="s">
        <v>75</v>
      </c>
      <c r="G7" s="30">
        <v>2</v>
      </c>
      <c r="H7" s="32" t="s">
        <v>36</v>
      </c>
      <c r="I7" s="31" t="s">
        <v>80</v>
      </c>
    </row>
    <row r="8" spans="2:9" ht="25.2" x14ac:dyDescent="0.5">
      <c r="B8" s="16" t="s">
        <v>72</v>
      </c>
      <c r="C8" s="14" t="s">
        <v>14</v>
      </c>
      <c r="D8" s="29" t="s">
        <v>83</v>
      </c>
      <c r="E8" s="9" t="s">
        <v>40</v>
      </c>
      <c r="F8" s="14" t="s">
        <v>75</v>
      </c>
      <c r="G8" s="30">
        <v>5</v>
      </c>
      <c r="H8" s="32" t="s">
        <v>20</v>
      </c>
      <c r="I8" s="31" t="s">
        <v>84</v>
      </c>
    </row>
    <row r="9" spans="2:9" x14ac:dyDescent="0.5">
      <c r="B9" s="16" t="s">
        <v>72</v>
      </c>
      <c r="C9" s="14" t="s">
        <v>18</v>
      </c>
      <c r="D9" s="29"/>
      <c r="E9" s="9" t="s">
        <v>27</v>
      </c>
      <c r="F9" s="14"/>
      <c r="G9" s="30">
        <v>0.5</v>
      </c>
      <c r="H9" s="32" t="s">
        <v>27</v>
      </c>
      <c r="I9" s="31" t="s">
        <v>85</v>
      </c>
    </row>
    <row r="10" spans="2:9" x14ac:dyDescent="0.5">
      <c r="B10" s="8"/>
      <c r="C10" s="14"/>
      <c r="D10" s="9"/>
      <c r="E10" s="9"/>
      <c r="F10" s="14"/>
      <c r="G10" s="9"/>
      <c r="H10" s="14"/>
      <c r="I10" s="12"/>
    </row>
    <row r="11" spans="2:9" x14ac:dyDescent="0.5">
      <c r="B11" s="8"/>
      <c r="C11" s="14"/>
      <c r="D11" s="9"/>
      <c r="E11" s="9"/>
      <c r="F11" s="14"/>
      <c r="G11" s="9"/>
      <c r="H11" s="14"/>
      <c r="I11" s="12"/>
    </row>
    <row r="12" spans="2:9" x14ac:dyDescent="0.5">
      <c r="B12" s="8"/>
      <c r="C12" s="14"/>
      <c r="D12" s="9"/>
      <c r="E12" s="9"/>
      <c r="F12" s="14"/>
      <c r="G12" s="9"/>
      <c r="H12" s="14"/>
      <c r="I12" s="12"/>
    </row>
    <row r="13" spans="2:9" x14ac:dyDescent="0.5">
      <c r="B13" s="8"/>
      <c r="C13" s="14"/>
      <c r="D13" s="9"/>
      <c r="E13" s="9"/>
      <c r="F13" s="14"/>
      <c r="G13" s="30"/>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24"/>
      <c r="C26" s="25"/>
      <c r="D26" s="26"/>
      <c r="E26" s="26"/>
      <c r="F26" s="28" t="s">
        <v>67</v>
      </c>
      <c r="G26" s="37">
        <f>SUM(G3:G25)</f>
        <v>48.5</v>
      </c>
      <c r="H26" s="38"/>
      <c r="I26" s="39"/>
    </row>
    <row r="27" spans="2:9" ht="14.4" thickBot="1" x14ac:dyDescent="0.55000000000000004">
      <c r="B27" s="20"/>
      <c r="C27" s="21"/>
      <c r="D27" s="22"/>
      <c r="E27" s="22"/>
      <c r="F27" s="27" t="s">
        <v>68</v>
      </c>
      <c r="G27" s="34">
        <v>5</v>
      </c>
      <c r="H27" s="35"/>
      <c r="I27" s="36"/>
    </row>
    <row r="28" spans="2:9" ht="14.4" thickTop="1" x14ac:dyDescent="0.5"/>
  </sheetData>
  <sortState xmlns:xlrd2="http://schemas.microsoft.com/office/spreadsheetml/2017/richdata2" ref="B3:I9">
    <sortCondition descending="1" ref="G4:G9"/>
  </sortState>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3" workbookViewId="0">
      <selection activeCell="H13" sqref="H13"/>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2025-03-25T08:55:37Z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