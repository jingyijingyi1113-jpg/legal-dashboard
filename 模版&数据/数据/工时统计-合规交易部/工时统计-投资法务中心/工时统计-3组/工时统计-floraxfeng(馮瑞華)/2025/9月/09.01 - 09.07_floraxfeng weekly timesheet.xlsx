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08C74964-EAD2-4CA5-BD43-F958DD5DC15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<sst xmlns="http://schemas.openxmlformats.org/spreadsheetml/2006/main" count="182" uniqueCount="95">
  <si>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</si>
  <si>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</si>
  <si>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</si>
  <si>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</si>
  <si>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</si>
  <si>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</si>
  <si>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</si>
  <si>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</si>
  <si>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</si>
  <si>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</si>
  <si>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</si>
  <si>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</si>
  <si>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</si>
  <si>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</si>
  <si>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</si>
  <si>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</si>
  <si>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</si>
  <si>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</si>
  <si>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</si>
  <si>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</si>
  <si>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</si>
  <si>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</si>
  <si>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</si>
  <si>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</si>
  <si>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</si>
  <si>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</si>
  <si>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</si>
  <si>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</si>
  <si>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</si>
  <si>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</si>
  <si>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</si>
  <si>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</si>
  <si>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</si>
  <si>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</si>
  <si>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</si>
  <si>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</si>
  <si>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</si>
  <si>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</si>
  <si>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</si>
  <si>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</si>
  <si>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</si>
  <si>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</si>
  <si>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</si>
  <si>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</si>
  <si>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</si>
  <si>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</si>
  <si>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</si>
  <si>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</si>
  <si>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</si>
  <si>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</si>
  <si>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</si>
  <si>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</si>
  <si>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</si>
  <si>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</si>
  <si>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</si>
  <si>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</si>
  <si>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</si>
  <si>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</si>
  <si>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</si>
  <si>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</si>
  <si>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</si>
  <si>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</si>
  <si>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</si>
  <si>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</si>
  <si>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</si>
  <si>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</si>
  <si>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</si>
  <si>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</si>
  <si>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</si>
  <si>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</si>
  <si>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</si>
  <si>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</si>
  <si>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</si>
  <si>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</si>
  <si>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Public - Infrastructure &amp; Guidance</t>
  </si>
  <si>
    <t>阅文</t>
  </si>
  <si>
    <t>N26</t>
  </si>
  <si>
    <t>审阅阅文next day returns并计算DI calculation。讨论境内OpCo更换法人的需求等。
审阅境内子公司更换法人相关的信息需求邮件。</t>
  </si>
  <si>
    <t>审阅并修改NDA</t>
  </si>
  <si>
    <t>子公司管理</t>
  </si>
  <si>
    <t>Tymebank</t>
  </si>
  <si>
    <t>审阅关于公司和关联方就banking合作等事宜相关的股东同意文件，内部讨论</t>
  </si>
  <si>
    <t>NDA审阅</t>
  </si>
  <si>
    <t>审阅阅文被投公司申请牌照相关信息披露需求，与律师讨论，并反馈MA</t>
  </si>
  <si>
    <t>审阅updated SHA，多方讨论现状和进度，与律师讨论various issues</t>
  </si>
  <si>
    <t>Ziina</t>
  </si>
  <si>
    <t>Kickoff call并内部讨论，engage 律所并拿报价，内部讨论。审阅公司DD材料，准备CFIUS及bulk data问卷，内部讨论问卷颗粒度。</t>
  </si>
  <si>
    <t>更新子公司管理protoco并同步给公司事务组</t>
  </si>
  <si>
    <t>deals update</t>
  </si>
  <si>
    <t>更新deals update</t>
  </si>
  <si>
    <t>律所培训</t>
  </si>
  <si>
    <t>Public - Knowledge Accumulation &amp; Sharing</t>
  </si>
  <si>
    <t>参加White &amp; Case组织的half day CPD 培训</t>
  </si>
  <si>
    <t>Morespark股东变更事宜</t>
  </si>
  <si>
    <t>核查并填写Morespark股东变更是否涉及相关被投公司通知义务等信息汇总表格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</si>
</sst>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19"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8" zoomScaleNormal="100" workbookViewId="0">
      <selection activeCell="F18" sqref="F18"/>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16</v>
      </c>
      <c r="D4" s="33" t="s">
        <v>76</v>
      </c>
      <c r="E4" s="30" t="s">
        <v>40</v>
      </c>
      <c r="F4" s="28" t="s">
        <v>72</v>
      </c>
      <c r="G4" s="30">
        <v>6</v>
      </c>
      <c r="H4" s="28" t="s">
        <v>20</v>
      </c>
      <c r="I4" s="31" t="s">
        <v>84</v>
      </c>
    </row>
    <row r="5" spans="2:9" s="32" customFormat="1" ht="26">
      <c r="B5" s="27" t="s">
        <v>71</v>
      </c>
      <c r="C5" s="28" t="s">
        <v>16</v>
      </c>
      <c r="D5" s="33" t="s">
        <v>80</v>
      </c>
      <c r="E5" s="30" t="s">
        <v>40</v>
      </c>
      <c r="F5" s="28" t="s">
        <v>72</v>
      </c>
      <c r="G5" s="30">
        <v>2</v>
      </c>
      <c r="H5" s="28" t="s">
        <v>20</v>
      </c>
      <c r="I5" s="31" t="s">
        <v>81</v>
      </c>
    </row>
    <row r="6" spans="2:9" s="32" customFormat="1" ht="26">
      <c r="B6" s="27" t="s">
        <v>71</v>
      </c>
      <c r="C6" s="28" t="s">
        <v>16</v>
      </c>
      <c r="D6" s="33" t="s">
        <v>75</v>
      </c>
      <c r="E6" s="30" t="s">
        <v>40</v>
      </c>
      <c r="F6" s="28" t="s">
        <v>72</v>
      </c>
      <c r="G6" s="30">
        <v>1.5</v>
      </c>
      <c r="H6" s="28" t="s">
        <v>20</v>
      </c>
      <c r="I6" s="31" t="s">
        <v>83</v>
      </c>
    </row>
    <row r="7" spans="2:9" s="32" customFormat="1" ht="26">
      <c r="B7" s="27" t="s">
        <v>71</v>
      </c>
      <c r="C7" s="33" t="s">
        <v>14</v>
      </c>
      <c r="D7" s="33" t="s">
        <v>82</v>
      </c>
      <c r="E7" s="30" t="s">
        <v>40</v>
      </c>
      <c r="F7" s="28" t="s">
        <v>72</v>
      </c>
      <c r="G7" s="30">
        <v>1</v>
      </c>
      <c r="H7" s="28" t="s">
        <v>20</v>
      </c>
      <c r="I7" s="31" t="s">
        <v>78</v>
      </c>
    </row>
    <row r="8" spans="2:9" s="32" customFormat="1" ht="39">
      <c r="B8" s="27" t="s">
        <v>71</v>
      </c>
      <c r="C8" s="28" t="s">
        <v>16</v>
      </c>
      <c r="D8" s="29" t="s">
        <v>75</v>
      </c>
      <c r="E8" s="30" t="s">
        <v>40</v>
      </c>
      <c r="F8" s="28" t="s">
        <v>72</v>
      </c>
      <c r="G8" s="30">
        <v>1.5</v>
      </c>
      <c r="H8" s="28" t="s">
        <v>20</v>
      </c>
      <c r="I8" s="31" t="s">
        <v>77</v>
      </c>
    </row>
    <row r="9" spans="2:9" s="32" customFormat="1" ht="52">
      <c r="B9" s="27" t="s">
        <v>71</v>
      </c>
      <c r="C9" s="28" t="s">
        <v>14</v>
      </c>
      <c r="D9" s="29" t="s">
        <v>85</v>
      </c>
      <c r="E9" s="30" t="s">
        <v>40</v>
      </c>
      <c r="F9" s="28" t="s">
        <v>72</v>
      </c>
      <c r="G9" s="30">
        <v>5</v>
      </c>
      <c r="H9" s="28" t="s">
        <v>20</v>
      </c>
      <c r="I9" s="31" t="s">
        <v>86</v>
      </c>
    </row>
    <row r="10" spans="2:9" s="32" customFormat="1" ht="26">
      <c r="B10" s="27" t="s">
        <v>71</v>
      </c>
      <c r="C10" s="28" t="s">
        <v>74</v>
      </c>
      <c r="D10" s="29" t="s">
        <v>79</v>
      </c>
      <c r="E10" s="30" t="s">
        <v>40</v>
      </c>
      <c r="F10" s="28" t="s">
        <v>72</v>
      </c>
      <c r="G10" s="30">
        <v>1.5</v>
      </c>
      <c r="H10" s="28" t="s">
        <v>20</v>
      </c>
      <c r="I10" s="31" t="s">
        <v>87</v>
      </c>
    </row>
    <row r="11" spans="2:9" s="32" customFormat="1" ht="26">
      <c r="B11" s="27" t="s">
        <v>71</v>
      </c>
      <c r="C11" s="28" t="s">
        <v>91</v>
      </c>
      <c r="D11" s="29" t="s">
        <v>90</v>
      </c>
      <c r="E11" s="30" t="s">
        <v>40</v>
      </c>
      <c r="F11" s="28" t="s">
        <v>72</v>
      </c>
      <c r="G11" s="30">
        <v>6</v>
      </c>
      <c r="H11" s="28" t="s">
        <v>27</v>
      </c>
      <c r="I11" s="31" t="s">
        <v>92</v>
      </c>
    </row>
    <row r="12" spans="2:9">
      <c r="B12" s="13" t="s">
        <v>71</v>
      </c>
      <c r="C12" s="11" t="s">
        <v>18</v>
      </c>
      <c r="D12" s="24" t="s">
        <v>88</v>
      </c>
      <c r="E12" s="8" t="s">
        <v>40</v>
      </c>
      <c r="F12" s="11"/>
      <c r="G12" s="8">
        <v>1</v>
      </c>
      <c r="H12" s="11" t="s">
        <v>27</v>
      </c>
      <c r="I12" s="25" t="s">
        <v>89</v>
      </c>
    </row>
    <row r="13" spans="2:9" ht="26">
      <c r="B13" s="13" t="s">
        <v>71</v>
      </c>
      <c r="C13" s="11" t="s">
        <v>18</v>
      </c>
      <c r="D13" s="40" t="s">
        <v>93</v>
      </c>
      <c r="E13" s="8" t="s">
        <v>40</v>
      </c>
      <c r="F13" s="11"/>
      <c r="G13" s="8">
        <v>1</v>
      </c>
      <c r="H13" s="11" t="s">
        <v>27</v>
      </c>
      <c r="I13" s="25" t="s">
        <v>94</v>
      </c>
    </row>
    <row r="14" spans="2:9">
      <c r="B14" s="19"/>
      <c r="C14" s="20"/>
      <c r="D14" s="24"/>
      <c r="E14" s="21"/>
      <c r="F14" s="23" t="s">
        <v>66</v>
      </c>
      <c r="G14" s="37">
        <f>SUM(G3:G13)</f>
        <v>26.5</v>
      </c>
      <c r="H14" s="38"/>
      <c r="I14" s="39"/>
    </row>
    <row r="15" spans="2:9" ht="15" thickBot="1">
      <c r="B15" s="16"/>
      <c r="C15" s="17"/>
      <c r="D15" s="18"/>
      <c r="E15" s="18"/>
      <c r="F15" s="22" t="s">
        <v>67</v>
      </c>
      <c r="G15" s="34">
        <v>5</v>
      </c>
      <c r="H15" s="35"/>
      <c r="I15" s="36"/>
    </row>
    <row r="16" spans="2:9" ht="1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2025-09-08T11:53:57Z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