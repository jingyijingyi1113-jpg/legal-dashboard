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E48EEEDC-9827-49E7-B2A9-698E7092D189}"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<sst xmlns="http://schemas.openxmlformats.org/spreadsheetml/2006/main" count="169" uniqueCount="91">
  <si>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</si>
  <si>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</si>
  <si>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</si>
  <si>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</si>
  <si>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</si>
  <si>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</si>
  <si>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</si>
  <si>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</si>
  <si>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</si>
  <si>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</si>
  <si>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</si>
  <si>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</si>
  <si>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</si>
  <si>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</si>
  <si>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</si>
  <si>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</si>
  <si>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</si>
  <si>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</si>
  <si>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</si>
  <si>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</si>
  <si>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</si>
  <si>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</si>
  <si>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</si>
  <si>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</si>
  <si>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</si>
  <si>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</si>
  <si>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</si>
  <si>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</si>
  <si>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</si>
  <si>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</si>
  <si>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</si>
  <si>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</si>
  <si>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</si>
  <si>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</si>
  <si>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</si>
  <si>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</si>
  <si>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</si>
  <si>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</si>
  <si>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</si>
  <si>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</si>
  <si>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</si>
  <si>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</si>
  <si>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</si>
  <si>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</si>
  <si>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</si>
  <si>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</si>
  <si>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</si>
  <si>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</si>
  <si>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</si>
  <si>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</si>
  <si>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</si>
  <si>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</si>
  <si>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</si>
  <si>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</si>
  <si>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</si>
  <si>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</si>
  <si>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</si>
  <si>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</si>
  <si>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</si>
  <si>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</si>
  <si>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</si>
  <si>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</si>
  <si>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</si>
  <si>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</si>
  <si>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</si>
  <si>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</si>
  <si>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</si>
  <si>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</si>
  <si>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</si>
  <si>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</si>
  <si>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</si>
  <si>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</si>
  <si>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</si>
  <si>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</si>
  <si>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</si>
  <si>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</si>
  <si>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</si>
  <si>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Uala</t>
  </si>
  <si>
    <t>N26</t>
  </si>
  <si>
    <t>蝴蝶效应</t>
  </si>
  <si>
    <t>Pangea</t>
  </si>
  <si>
    <t>审阅数版交易文件修改稿和CP文件，内部讨论key issues，和公司律师讨论，finalise文件并signoff。</t>
  </si>
  <si>
    <t>Sunday</t>
  </si>
  <si>
    <t>审阅TopCo重组修改文件，与律师和内部团队讨论。与公司电话讨论，与其他投资人align。安排公证人witness签字。</t>
  </si>
  <si>
    <t>审阅POA签署版，安排支付公证费用。</t>
  </si>
  <si>
    <t>Pexeso</t>
  </si>
  <si>
    <t>审阅公司债权人与第三方置换并收购公司资产的文件并内部讨论。邮件询问follow up问题。</t>
  </si>
  <si>
    <t>审阅公司报备监管的信息需求，汇总内部信息。</t>
  </si>
  <si>
    <t>Oxbotica</t>
  </si>
  <si>
    <t>审阅D轮TS及现有交易文件，归纳key issues并内部讨论。</t>
  </si>
  <si>
    <t>审阅并修改ICM，发送给Richard和Yan并邮件summary。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</si>
</sst>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14" sqref="H14"/>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52">
      <c r="B4" s="27" t="s">
        <v>71</v>
      </c>
      <c r="C4" s="28" t="s">
        <v>14</v>
      </c>
      <c r="D4" s="33" t="s">
        <v>79</v>
      </c>
      <c r="E4" s="30" t="s">
        <v>40</v>
      </c>
      <c r="F4" s="28" t="s">
        <v>72</v>
      </c>
      <c r="G4" s="30">
        <v>22</v>
      </c>
      <c r="H4" s="28" t="s">
        <v>20</v>
      </c>
      <c r="I4" s="31" t="s">
        <v>81</v>
      </c>
    </row>
    <row r="5" spans="2:9" ht="26">
      <c r="B5" s="13" t="s">
        <v>71</v>
      </c>
      <c r="C5" s="11" t="s">
        <v>14</v>
      </c>
      <c r="D5" s="24" t="s">
        <v>85</v>
      </c>
      <c r="E5" s="8" t="s">
        <v>40</v>
      </c>
      <c r="F5" s="11" t="s">
        <v>72</v>
      </c>
      <c r="G5" s="8">
        <v>3</v>
      </c>
      <c r="H5" s="11" t="s">
        <v>20</v>
      </c>
      <c r="I5" s="25" t="s">
        <v>86</v>
      </c>
    </row>
    <row r="6" spans="2:9" s="32" customFormat="1" ht="26">
      <c r="B6" s="27" t="s">
        <v>71</v>
      </c>
      <c r="C6" s="28" t="s">
        <v>14</v>
      </c>
      <c r="D6" s="29" t="s">
        <v>78</v>
      </c>
      <c r="E6" s="30" t="s">
        <v>40</v>
      </c>
      <c r="F6" s="28" t="s">
        <v>72</v>
      </c>
      <c r="G6" s="30">
        <v>1.5</v>
      </c>
      <c r="H6" s="28" t="s">
        <v>20</v>
      </c>
      <c r="I6" s="31" t="s">
        <v>84</v>
      </c>
    </row>
    <row r="7" spans="2:9" s="32" customFormat="1" ht="26">
      <c r="B7" s="27" t="s">
        <v>71</v>
      </c>
      <c r="C7" s="28" t="s">
        <v>16</v>
      </c>
      <c r="D7" s="29" t="s">
        <v>77</v>
      </c>
      <c r="E7" s="30" t="s">
        <v>40</v>
      </c>
      <c r="F7" s="28" t="s">
        <v>72</v>
      </c>
      <c r="G7" s="30">
        <v>2</v>
      </c>
      <c r="H7" s="28" t="s">
        <v>20</v>
      </c>
      <c r="I7" s="31" t="s">
        <v>87</v>
      </c>
    </row>
    <row r="8" spans="2:9" ht="39">
      <c r="B8" s="13" t="s">
        <v>71</v>
      </c>
      <c r="C8" s="11" t="s">
        <v>14</v>
      </c>
      <c r="D8" s="24" t="s">
        <v>82</v>
      </c>
      <c r="E8" s="8" t="s">
        <v>40</v>
      </c>
      <c r="F8" s="11" t="s">
        <v>72</v>
      </c>
      <c r="G8" s="8">
        <v>5.5</v>
      </c>
      <c r="H8" s="11" t="s">
        <v>20</v>
      </c>
      <c r="I8" s="25" t="s">
        <v>83</v>
      </c>
    </row>
    <row r="9" spans="2:9" ht="26">
      <c r="B9" s="13" t="s">
        <v>71</v>
      </c>
      <c r="C9" s="11" t="s">
        <v>14</v>
      </c>
      <c r="D9" s="24" t="s">
        <v>80</v>
      </c>
      <c r="E9" s="8" t="s">
        <v>40</v>
      </c>
      <c r="F9" s="11" t="s">
        <v>72</v>
      </c>
      <c r="G9" s="8">
        <v>1.5</v>
      </c>
      <c r="H9" s="11" t="s">
        <v>20</v>
      </c>
      <c r="I9" s="25" t="s">
        <v>90</v>
      </c>
    </row>
    <row r="10" spans="2:9" ht="26">
      <c r="B10" s="13" t="s">
        <v>71</v>
      </c>
      <c r="C10" s="11" t="s">
        <v>14</v>
      </c>
      <c r="D10" s="24" t="s">
        <v>88</v>
      </c>
      <c r="E10" s="8" t="s">
        <v>40</v>
      </c>
      <c r="F10" s="11" t="s">
        <v>72</v>
      </c>
      <c r="G10" s="8">
        <v>3</v>
      </c>
      <c r="H10" s="11" t="s">
        <v>20</v>
      </c>
      <c r="I10" s="25" t="s">
        <v>89</v>
      </c>
    </row>
    <row r="11" spans="2:9" ht="26">
      <c r="B11" s="13" t="s">
        <v>71</v>
      </c>
      <c r="C11" s="11" t="s">
        <v>18</v>
      </c>
      <c r="D11" s="24" t="s">
        <v>76</v>
      </c>
      <c r="E11" s="8" t="s">
        <v>40</v>
      </c>
      <c r="F11" s="11"/>
      <c r="G11" s="8">
        <v>1</v>
      </c>
      <c r="H11" s="11" t="s">
        <v>74</v>
      </c>
      <c r="I11" s="25" t="s">
        <v>75</v>
      </c>
    </row>
    <row r="12" spans="2:9">
      <c r="B12" s="19"/>
      <c r="C12" s="20"/>
      <c r="D12" s="21"/>
      <c r="E12" s="21"/>
      <c r="F12" s="23" t="s">
        <v>66</v>
      </c>
      <c r="G12" s="37">
        <f>SUM(G3:G11)</f>
        <v>39.5</v>
      </c>
      <c r="H12" s="38"/>
      <c r="I12" s="39"/>
    </row>
    <row r="13" spans="2:9" ht="15" thickBot="1">
      <c r="B13" s="16"/>
      <c r="C13" s="17"/>
      <c r="D13" s="18"/>
      <c r="E13" s="18"/>
      <c r="F13" s="22" t="s">
        <v>67</v>
      </c>
      <c r="G13" s="34">
        <v>4</v>
      </c>
      <c r="H13" s="35"/>
      <c r="I13" s="36"/>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2025-04-24T09:29:46Z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