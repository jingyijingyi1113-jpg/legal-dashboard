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A08F9131-2AD5-4CD7-9160-C98C4AC06C4C}"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<sst xmlns="http://schemas.openxmlformats.org/spreadsheetml/2006/main" count="181" uniqueCount="95">
  <si>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</si>
  <si>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</si>
  <si>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</si>
  <si>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</si>
  <si>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</si>
  <si>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</si>
  <si>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</si>
  <si>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</si>
  <si>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</si>
  <si>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</si>
  <si>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</si>
  <si>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</si>
  <si>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</si>
  <si>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</si>
  <si>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</si>
  <si>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</si>
  <si>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</si>
  <si>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</si>
  <si>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</si>
  <si>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</si>
  <si>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</si>
  <si>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</si>
  <si>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</si>
  <si>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</si>
  <si>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</si>
  <si>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</si>
  <si>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</si>
  <si>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</si>
  <si>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</si>
  <si>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</si>
  <si>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</si>
  <si>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</si>
  <si>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</si>
  <si>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</si>
  <si>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</si>
  <si>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</si>
  <si>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</si>
  <si>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</si>
  <si>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</si>
  <si>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</si>
  <si>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</si>
  <si>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</si>
  <si>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</si>
  <si>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</si>
  <si>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</si>
  <si>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</si>
  <si>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</si>
  <si>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</si>
  <si>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</si>
  <si>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</si>
  <si>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</si>
  <si>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</si>
  <si>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</si>
  <si>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</si>
  <si>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</si>
  <si>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</si>
  <si>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</si>
  <si>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</si>
  <si>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</si>
  <si>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</si>
  <si>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</si>
  <si>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</si>
  <si>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</si>
  <si>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</si>
  <si>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</si>
  <si>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</si>
  <si>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</si>
  <si>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</si>
  <si>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</si>
  <si>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</si>
  <si>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</si>
  <si>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</si>
  <si>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</si>
  <si>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阅文集团</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</si>
  <si>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</si>
  <si>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</si>
  <si>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</si>
  <si>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Public - Knowledge Accumulation &amp; Sharing</t>
  </si>
  <si>
    <t>原力动画</t>
  </si>
  <si>
    <t>Timesheet</t>
  </si>
  <si>
    <t>Exit case study</t>
  </si>
  <si>
    <t>Tymebank</t>
  </si>
  <si>
    <t>One Zero Ditigal Bank</t>
  </si>
  <si>
    <t>内部讨论2025年SAFE轮投资情况，和律师沟通及邮件</t>
  </si>
  <si>
    <t>律师账单</t>
  </si>
  <si>
    <t>Nubank</t>
  </si>
  <si>
    <t>内部汇报和讨论关于说明函确认问题。邮件deal team，TIM审批。和公司沟通</t>
  </si>
  <si>
    <t>IQM</t>
  </si>
  <si>
    <t>Sunday Ins</t>
  </si>
  <si>
    <t>审阅律师对TopCo flip-up文件的修改并讨论。</t>
  </si>
  <si>
    <t>内部讨论collar trade的抵押股数问题</t>
  </si>
  <si>
    <t>审阅及修改TS，和律师和内部团队讨论。</t>
  </si>
  <si>
    <t>网出证问题讨论，准备summary材料.
青龙项目审阅final version文件。</t>
  </si>
  <si>
    <t>审阅修改意见，汇总修改意见</t>
  </si>
  <si>
    <t>和Covington讨论账单修改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</si>
</sst>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F11" sqref="F11"/>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74</v>
      </c>
      <c r="G3" s="7" t="s">
        <v>10</v>
      </c>
      <c r="H3" s="7" t="s">
        <v>11</v>
      </c>
      <c r="I3" s="9" t="s">
        <v>12</v>
      </c>
    </row>
    <row r="4" spans="2:9" ht="39">
      <c r="B4" s="13" t="s">
        <v>71</v>
      </c>
      <c r="C4" s="11" t="s">
        <v>14</v>
      </c>
      <c r="D4" s="24" t="s">
        <v>73</v>
      </c>
      <c r="E4" s="8" t="s">
        <v>40</v>
      </c>
      <c r="F4" s="11" t="s">
        <v>72</v>
      </c>
      <c r="G4" s="8">
        <v>4</v>
      </c>
      <c r="H4" s="11" t="s">
        <v>20</v>
      </c>
      <c r="I4" s="25" t="s">
        <v>92</v>
      </c>
    </row>
    <row r="5" spans="2:9" ht="26">
      <c r="B5" s="13" t="s">
        <v>71</v>
      </c>
      <c r="C5" s="11" t="s">
        <v>14</v>
      </c>
      <c r="D5" s="33" t="s">
        <v>82</v>
      </c>
      <c r="E5" s="8" t="s">
        <v>40</v>
      </c>
      <c r="F5" s="11" t="s">
        <v>72</v>
      </c>
      <c r="G5" s="8">
        <v>3.5</v>
      </c>
      <c r="H5" s="11" t="s">
        <v>20</v>
      </c>
      <c r="I5" s="25" t="s">
        <v>83</v>
      </c>
    </row>
    <row r="6" spans="2:9" ht="26">
      <c r="B6" s="13" t="s">
        <v>71</v>
      </c>
      <c r="C6" s="11" t="s">
        <v>14</v>
      </c>
      <c r="D6" s="24" t="s">
        <v>87</v>
      </c>
      <c r="E6" s="8" t="s">
        <v>40</v>
      </c>
      <c r="F6" s="11" t="s">
        <v>72</v>
      </c>
      <c r="G6" s="8">
        <v>7</v>
      </c>
      <c r="H6" s="11" t="s">
        <v>20</v>
      </c>
      <c r="I6" s="25" t="s">
        <v>91</v>
      </c>
    </row>
    <row r="7" spans="2:9" ht="26">
      <c r="B7" s="13" t="s">
        <v>71</v>
      </c>
      <c r="C7" s="11" t="s">
        <v>14</v>
      </c>
      <c r="D7" s="24" t="s">
        <v>88</v>
      </c>
      <c r="E7" s="8" t="s">
        <v>40</v>
      </c>
      <c r="F7" s="11" t="s">
        <v>72</v>
      </c>
      <c r="G7" s="8">
        <v>3</v>
      </c>
      <c r="H7" s="11" t="s">
        <v>20</v>
      </c>
      <c r="I7" s="25" t="s">
        <v>89</v>
      </c>
    </row>
    <row r="8" spans="2:9" s="32" customFormat="1" ht="26">
      <c r="B8" s="27" t="s">
        <v>71</v>
      </c>
      <c r="C8" s="28" t="s">
        <v>16</v>
      </c>
      <c r="D8" s="29" t="s">
        <v>81</v>
      </c>
      <c r="E8" s="30" t="s">
        <v>40</v>
      </c>
      <c r="F8" s="28" t="s">
        <v>72</v>
      </c>
      <c r="G8" s="30">
        <v>2.5</v>
      </c>
      <c r="H8" s="28" t="s">
        <v>20</v>
      </c>
      <c r="I8" s="31" t="s">
        <v>89</v>
      </c>
    </row>
    <row r="9" spans="2:9" ht="26">
      <c r="B9" s="13" t="s">
        <v>71</v>
      </c>
      <c r="C9" s="11" t="s">
        <v>15</v>
      </c>
      <c r="D9" s="24" t="s">
        <v>78</v>
      </c>
      <c r="E9" s="8" t="s">
        <v>40</v>
      </c>
      <c r="F9" s="11" t="s">
        <v>72</v>
      </c>
      <c r="G9" s="8">
        <v>5.5</v>
      </c>
      <c r="H9" s="11" t="s">
        <v>20</v>
      </c>
      <c r="I9" s="25" t="s">
        <v>86</v>
      </c>
    </row>
    <row r="10" spans="2:9" s="32" customFormat="1" ht="26">
      <c r="B10" s="27" t="s">
        <v>71</v>
      </c>
      <c r="C10" s="28" t="s">
        <v>14</v>
      </c>
      <c r="D10" s="29" t="s">
        <v>85</v>
      </c>
      <c r="E10" s="30" t="s">
        <v>40</v>
      </c>
      <c r="F10" s="28" t="s">
        <v>72</v>
      </c>
      <c r="G10" s="30">
        <v>1</v>
      </c>
      <c r="H10" s="28" t="s">
        <v>20</v>
      </c>
      <c r="I10" s="31" t="s">
        <v>90</v>
      </c>
    </row>
    <row r="11" spans="2:9" ht="26">
      <c r="B11" s="13" t="s">
        <v>71</v>
      </c>
      <c r="C11" s="11" t="s">
        <v>18</v>
      </c>
      <c r="D11" s="24" t="s">
        <v>79</v>
      </c>
      <c r="E11" s="8" t="s">
        <v>40</v>
      </c>
      <c r="F11" s="11"/>
      <c r="G11" s="8">
        <v>1</v>
      </c>
      <c r="H11" s="11" t="s">
        <v>75</v>
      </c>
      <c r="I11" s="25" t="s">
        <v>76</v>
      </c>
    </row>
    <row r="12" spans="2:9" s="32" customFormat="1">
      <c r="B12" s="27" t="s">
        <v>71</v>
      </c>
      <c r="C12" s="28" t="s">
        <v>77</v>
      </c>
      <c r="D12" s="29" t="s">
        <v>80</v>
      </c>
      <c r="E12" s="30" t="s">
        <v>40</v>
      </c>
      <c r="F12" s="28"/>
      <c r="G12" s="30">
        <v>2</v>
      </c>
      <c r="H12" s="28" t="s">
        <v>27</v>
      </c>
      <c r="I12" s="31" t="s">
        <v>93</v>
      </c>
    </row>
    <row r="13" spans="2:9" s="32" customFormat="1" ht="26">
      <c r="B13" s="27" t="s">
        <v>71</v>
      </c>
      <c r="C13" s="28" t="s">
        <v>18</v>
      </c>
      <c r="D13" s="29" t="s">
        <v>84</v>
      </c>
      <c r="E13" s="30" t="s">
        <v>27</v>
      </c>
      <c r="F13" s="28"/>
      <c r="G13" s="30">
        <v>0.8</v>
      </c>
      <c r="H13" s="28" t="s">
        <v>38</v>
      </c>
      <c r="I13" s="31" t="s">
        <v>94</v>
      </c>
    </row>
    <row r="14" spans="2:9">
      <c r="B14" s="19"/>
      <c r="C14" s="20"/>
      <c r="D14" s="21"/>
      <c r="E14" s="21"/>
      <c r="F14" s="23" t="s">
        <v>66</v>
      </c>
      <c r="G14" s="37">
        <f>SUM(G3:G13)</f>
        <v>30.3</v>
      </c>
      <c r="H14" s="38"/>
      <c r="I14" s="39"/>
    </row>
    <row r="15" spans="2:9" ht="15" thickBot="1">
      <c r="B15" s="16"/>
      <c r="C15" s="17"/>
      <c r="D15" s="18"/>
      <c r="E15" s="18"/>
      <c r="F15" s="22" t="s">
        <v>67</v>
      </c>
      <c r="G15" s="34">
        <v>5</v>
      </c>
      <c r="H15" s="35"/>
      <c r="I15" s="36"/>
    </row>
    <row r="16" spans="2:9" ht="15"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2025-03-04T07:58:14Z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