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770C6DAB-BE8B-4D52-AD9F-D25CB6CC5DA2}"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<sst xmlns="http://schemas.openxmlformats.org/spreadsheetml/2006/main" count="204" uniqueCount="104">
  <si>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</si>
  <si>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</si>
  <si>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</si>
  <si>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</si>
  <si>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</si>
  <si>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</si>
  <si>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</si>
  <si>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</si>
  <si>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</si>
  <si>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</si>
  <si>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</si>
  <si>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</si>
  <si>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</si>
  <si>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</si>
  <si>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</si>
  <si>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</si>
  <si>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</si>
  <si>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</si>
  <si>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</si>
  <si>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</si>
  <si>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</si>
  <si>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</si>
  <si>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</si>
  <si>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</si>
  <si>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</si>
  <si>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</si>
  <si>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</si>
  <si>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</si>
  <si>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</si>
  <si>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</si>
  <si>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</si>
  <si>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</si>
  <si>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</si>
  <si>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</si>
  <si>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</si>
  <si>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</si>
  <si>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</si>
  <si>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</si>
  <si>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</si>
  <si>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</si>
  <si>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</si>
  <si>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</si>
  <si>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</si>
  <si>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</si>
  <si>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</si>
  <si>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</si>
  <si>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</si>
  <si>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</si>
  <si>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</si>
  <si>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</si>
  <si>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</si>
  <si>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</si>
  <si>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</si>
  <si>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</si>
  <si>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</si>
  <si>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</si>
  <si>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</si>
  <si>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</si>
  <si>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</si>
  <si>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</si>
  <si>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</si>
  <si>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</si>
  <si>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</si>
  <si>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</si>
  <si>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</si>
  <si>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</si>
  <si>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</si>
  <si>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</si>
  <si>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</si>
  <si>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</si>
  <si>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</si>
  <si>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</si>
  <si>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</si>
  <si>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阅文集团</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</si>
  <si>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</si>
  <si>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</si>
  <si>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</si>
  <si>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HTK</t>
  </si>
  <si>
    <t>Public - Knowledge Accumulation &amp; Sharing</t>
  </si>
  <si>
    <t>填写deal updates</t>
  </si>
  <si>
    <t>原力动画</t>
  </si>
  <si>
    <t>Timesheet</t>
  </si>
  <si>
    <t>Exit case study</t>
  </si>
  <si>
    <t>Deal update</t>
  </si>
  <si>
    <t>项目交接</t>
  </si>
  <si>
    <t>Tymebank</t>
  </si>
  <si>
    <t>网出证问题讨论</t>
  </si>
  <si>
    <t>Oxa (Oxbotica)</t>
  </si>
  <si>
    <t>审阅investor consent on share transfer及核对章程规定。回复SD邮件。</t>
  </si>
  <si>
    <t>和陈倩交接,更新个人项目清单，内部讨论</t>
  </si>
  <si>
    <t>内部讨论，修改executive summary，收集part A条款，发送给各位legal owner</t>
  </si>
  <si>
    <t>One Zero Ditigal Bank</t>
  </si>
  <si>
    <t>内部讨论2025年SAFE轮投资情况，和律师沟通及邮件</t>
  </si>
  <si>
    <t>律师账单</t>
  </si>
  <si>
    <t>Nubank</t>
  </si>
  <si>
    <t>Uala</t>
  </si>
  <si>
    <t>审阅董事会决议</t>
  </si>
  <si>
    <t>和公司电话讨论关联关系说明函背景和披露。和内部讨论披露先例和口径，与律师讨论。
审阅律师汇总招股书和公开文件披露，与律师电话讨论说明函确认事宜。</t>
  </si>
  <si>
    <t>内部讨论费用计算时点。</t>
  </si>
  <si>
    <t>美团&amp;京东</t>
  </si>
  <si>
    <t>讨论关于IC approval matrix问题，审阅ICM，内部邮件及讨论关于size test计算。</t>
  </si>
  <si>
    <t>内部确认Uala账单，并提起支付。讨论N26账单。</t>
  </si>
  <si>
    <t>审阅collar trade deal summary cheat sheet，内部讨论并提出share return的问题。内部讨论关于pledge情况确认。</t>
  </si>
  <si>
    <t>审阅Tymebank与Nubank关于AWS云服务的特殊权利的side letter。与公司讨论KYC要求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</si>
</sst>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Normal="100" workbookViewId="0">
      <selection activeCell="H9" sqref="H9"/>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
      <c r="B2" s="4" t="s">
        <v>0</v>
      </c>
      <c r="C2" s="5" t="s">
        <v>69</v>
      </c>
      <c r="D2" s="5" t="s">
        <v>1</v>
      </c>
      <c r="E2" s="5" t="s">
        <v>2</v>
      </c>
      <c r="F2" s="5" t="s">
        <v>3</v>
      </c>
      <c r="G2" s="5" t="s">
        <v>4</v>
      </c>
      <c r="H2" s="5" t="s">
        <v>5</v>
      </c>
      <c r="I2" s="26" t="s">
        <v>6</v>
      </c>
    </row>
    <row r="3" spans="2:9" ht="207.9" customHeight="1">
      <c r="B3" s="6" t="s">
        <v>7</v>
      </c>
      <c r="C3" s="7" t="s">
        <v>8</v>
      </c>
      <c r="D3" s="7" t="s">
        <v>9</v>
      </c>
      <c r="E3" s="7" t="s">
        <v>58</v>
      </c>
      <c r="F3" s="7" t="s">
        <v>74</v>
      </c>
      <c r="G3" s="7" t="s">
        <v>10</v>
      </c>
      <c r="H3" s="7" t="s">
        <v>11</v>
      </c>
      <c r="I3" s="9" t="s">
        <v>12</v>
      </c>
    </row>
    <row r="4" spans="2:9" ht="26">
      <c r="B4" s="13" t="s">
        <v>71</v>
      </c>
      <c r="C4" s="11" t="s">
        <v>14</v>
      </c>
      <c r="D4" s="24" t="s">
        <v>73</v>
      </c>
      <c r="E4" s="8" t="s">
        <v>40</v>
      </c>
      <c r="F4" s="11" t="s">
        <v>72</v>
      </c>
      <c r="G4" s="8">
        <v>1.5</v>
      </c>
      <c r="H4" s="11" t="s">
        <v>20</v>
      </c>
      <c r="I4" s="25" t="s">
        <v>86</v>
      </c>
    </row>
    <row r="5" spans="2:9" ht="39">
      <c r="B5" s="13" t="s">
        <v>71</v>
      </c>
      <c r="C5" s="11" t="s">
        <v>14</v>
      </c>
      <c r="D5" s="39" t="s">
        <v>99</v>
      </c>
      <c r="E5" s="8" t="s">
        <v>40</v>
      </c>
      <c r="F5" s="11" t="s">
        <v>72</v>
      </c>
      <c r="G5" s="8">
        <v>6.5</v>
      </c>
      <c r="H5" s="11" t="s">
        <v>20</v>
      </c>
      <c r="I5" s="25" t="s">
        <v>100</v>
      </c>
    </row>
    <row r="6" spans="2:9" ht="26">
      <c r="B6" s="13" t="s">
        <v>71</v>
      </c>
      <c r="C6" s="11" t="s">
        <v>14</v>
      </c>
      <c r="D6" s="39" t="s">
        <v>91</v>
      </c>
      <c r="E6" s="8" t="s">
        <v>40</v>
      </c>
      <c r="F6" s="11" t="s">
        <v>72</v>
      </c>
      <c r="G6" s="8">
        <v>3.5</v>
      </c>
      <c r="H6" s="11" t="s">
        <v>20</v>
      </c>
      <c r="I6" s="25" t="s">
        <v>92</v>
      </c>
    </row>
    <row r="7" spans="2:9" ht="26">
      <c r="B7" s="13"/>
      <c r="C7" s="11"/>
      <c r="D7" s="24" t="s">
        <v>87</v>
      </c>
      <c r="E7" s="8" t="s">
        <v>40</v>
      </c>
      <c r="F7" s="11" t="s">
        <v>72</v>
      </c>
      <c r="G7" s="8">
        <v>0.8</v>
      </c>
      <c r="H7" s="11" t="s">
        <v>20</v>
      </c>
      <c r="I7" s="25" t="s">
        <v>88</v>
      </c>
    </row>
    <row r="8" spans="2:9" ht="26">
      <c r="B8" s="13" t="s">
        <v>71</v>
      </c>
      <c r="C8" s="11" t="s">
        <v>16</v>
      </c>
      <c r="D8" s="24" t="s">
        <v>85</v>
      </c>
      <c r="E8" s="8" t="s">
        <v>40</v>
      </c>
      <c r="F8" s="11" t="s">
        <v>72</v>
      </c>
      <c r="G8" s="8">
        <v>2.5</v>
      </c>
      <c r="H8" s="11" t="s">
        <v>20</v>
      </c>
      <c r="I8" s="25" t="s">
        <v>103</v>
      </c>
    </row>
    <row r="9" spans="2:9" ht="65">
      <c r="B9" s="13" t="s">
        <v>71</v>
      </c>
      <c r="C9" s="11" t="s">
        <v>15</v>
      </c>
      <c r="D9" s="24" t="s">
        <v>80</v>
      </c>
      <c r="E9" s="8" t="s">
        <v>40</v>
      </c>
      <c r="F9" s="11" t="s">
        <v>72</v>
      </c>
      <c r="G9" s="8">
        <v>7</v>
      </c>
      <c r="H9" s="11" t="s">
        <v>20</v>
      </c>
      <c r="I9" s="25" t="s">
        <v>97</v>
      </c>
    </row>
    <row r="10" spans="2:9" ht="26">
      <c r="B10" s="13" t="s">
        <v>71</v>
      </c>
      <c r="C10" s="11" t="s">
        <v>14</v>
      </c>
      <c r="D10" s="24" t="s">
        <v>77</v>
      </c>
      <c r="E10" s="8" t="s">
        <v>40</v>
      </c>
      <c r="F10" s="11" t="s">
        <v>72</v>
      </c>
      <c r="G10" s="8">
        <v>1</v>
      </c>
      <c r="H10" s="11" t="s">
        <v>20</v>
      </c>
      <c r="I10" s="25" t="s">
        <v>98</v>
      </c>
    </row>
    <row r="11" spans="2:9" s="32" customFormat="1" ht="26">
      <c r="B11" s="27" t="s">
        <v>71</v>
      </c>
      <c r="C11" s="28" t="s">
        <v>14</v>
      </c>
      <c r="D11" s="29" t="s">
        <v>94</v>
      </c>
      <c r="E11" s="30" t="s">
        <v>40</v>
      </c>
      <c r="F11" s="28" t="s">
        <v>72</v>
      </c>
      <c r="G11" s="30">
        <v>1</v>
      </c>
      <c r="H11" s="28" t="s">
        <v>20</v>
      </c>
      <c r="I11" s="31" t="s">
        <v>96</v>
      </c>
    </row>
    <row r="12" spans="2:9" s="32" customFormat="1" ht="39">
      <c r="B12" s="27" t="s">
        <v>71</v>
      </c>
      <c r="C12" s="28" t="s">
        <v>14</v>
      </c>
      <c r="D12" s="29" t="s">
        <v>95</v>
      </c>
      <c r="E12" s="30" t="s">
        <v>40</v>
      </c>
      <c r="F12" s="28" t="s">
        <v>72</v>
      </c>
      <c r="G12" s="30">
        <v>2.5</v>
      </c>
      <c r="H12" s="28" t="s">
        <v>20</v>
      </c>
      <c r="I12" s="31" t="s">
        <v>102</v>
      </c>
    </row>
    <row r="13" spans="2:9" ht="26">
      <c r="B13" s="13" t="s">
        <v>71</v>
      </c>
      <c r="C13" s="11" t="s">
        <v>18</v>
      </c>
      <c r="D13" s="24" t="s">
        <v>81</v>
      </c>
      <c r="E13" s="8" t="s">
        <v>40</v>
      </c>
      <c r="F13" s="11"/>
      <c r="G13" s="8">
        <v>1</v>
      </c>
      <c r="H13" s="11" t="s">
        <v>75</v>
      </c>
      <c r="I13" s="25" t="s">
        <v>76</v>
      </c>
    </row>
    <row r="14" spans="2:9" s="32" customFormat="1" ht="26">
      <c r="B14" s="27" t="s">
        <v>71</v>
      </c>
      <c r="C14" s="28" t="s">
        <v>78</v>
      </c>
      <c r="D14" s="29" t="s">
        <v>82</v>
      </c>
      <c r="E14" s="30" t="s">
        <v>40</v>
      </c>
      <c r="F14" s="28"/>
      <c r="G14" s="30">
        <v>3</v>
      </c>
      <c r="H14" s="28" t="s">
        <v>27</v>
      </c>
      <c r="I14" s="31" t="s">
        <v>90</v>
      </c>
    </row>
    <row r="15" spans="2:9" s="32" customFormat="1" ht="26">
      <c r="B15" s="27" t="s">
        <v>71</v>
      </c>
      <c r="C15" s="28" t="s">
        <v>18</v>
      </c>
      <c r="D15" s="29" t="s">
        <v>93</v>
      </c>
      <c r="E15" s="30" t="s">
        <v>27</v>
      </c>
      <c r="F15" s="28"/>
      <c r="G15" s="30">
        <v>0.8</v>
      </c>
      <c r="H15" s="28" t="s">
        <v>38</v>
      </c>
      <c r="I15" s="31" t="s">
        <v>101</v>
      </c>
    </row>
    <row r="16" spans="2:9" ht="26">
      <c r="B16" s="13" t="s">
        <v>71</v>
      </c>
      <c r="C16" s="11" t="s">
        <v>18</v>
      </c>
      <c r="D16" s="24" t="s">
        <v>83</v>
      </c>
      <c r="E16" s="8" t="s">
        <v>27</v>
      </c>
      <c r="F16" s="11"/>
      <c r="G16" s="8">
        <v>0.8</v>
      </c>
      <c r="H16" s="11" t="s">
        <v>75</v>
      </c>
      <c r="I16" s="25" t="s">
        <v>79</v>
      </c>
    </row>
    <row r="17" spans="2:9">
      <c r="B17" s="13" t="s">
        <v>71</v>
      </c>
      <c r="C17" s="11" t="s">
        <v>18</v>
      </c>
      <c r="D17" s="24" t="s">
        <v>84</v>
      </c>
      <c r="E17" s="8" t="s">
        <v>27</v>
      </c>
      <c r="F17" s="11"/>
      <c r="G17" s="8">
        <v>2</v>
      </c>
      <c r="H17" s="11"/>
      <c r="I17" s="25" t="s">
        <v>89</v>
      </c>
    </row>
    <row r="18" spans="2:9">
      <c r="B18" s="19"/>
      <c r="C18" s="20"/>
      <c r="D18" s="21"/>
      <c r="E18" s="21"/>
      <c r="F18" s="23" t="s">
        <v>66</v>
      </c>
      <c r="G18" s="36">
        <f>SUM(G3:G17)</f>
        <v>33.900000000000006</v>
      </c>
      <c r="H18" s="37"/>
      <c r="I18" s="38"/>
    </row>
    <row r="19" spans="2:9" ht="15" thickBot="1">
      <c r="B19" s="16"/>
      <c r="C19" s="17"/>
      <c r="D19" s="18"/>
      <c r="E19" s="18"/>
      <c r="F19" s="22" t="s">
        <v>67</v>
      </c>
      <c r="G19" s="33">
        <v>5</v>
      </c>
      <c r="H19" s="34"/>
      <c r="I19" s="35"/>
    </row>
    <row r="20" spans="2:9" ht="15"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2025-02-26T03:37:14Z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