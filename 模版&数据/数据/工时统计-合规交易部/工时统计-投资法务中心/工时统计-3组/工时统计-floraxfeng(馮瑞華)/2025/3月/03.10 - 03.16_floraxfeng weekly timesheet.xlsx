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8_{CA559476-A402-4AC9-84AF-110D12DFD248}"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<sst xmlns="http://schemas.openxmlformats.org/spreadsheetml/2006/main" count="188" uniqueCount="98">
  <si>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</si>
  <si>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</si>
  <si>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</si>
  <si>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</si>
  <si>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</si>
  <si>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</si>
  <si>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</si>
  <si>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</si>
  <si>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</si>
  <si>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</si>
  <si>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</si>
  <si>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</si>
  <si>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</si>
  <si>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</si>
  <si>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</si>
  <si>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</si>
  <si>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</si>
  <si>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</si>
  <si>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</si>
  <si>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</si>
  <si>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</si>
  <si>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</si>
  <si>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</si>
  <si>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</si>
  <si>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</si>
  <si>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</si>
  <si>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</si>
  <si>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</si>
  <si>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</si>
  <si>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</si>
  <si>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</si>
  <si>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</si>
  <si>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</si>
  <si>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</si>
  <si>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</si>
  <si>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</si>
  <si>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</si>
  <si>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</si>
  <si>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</si>
  <si>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</si>
  <si>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</si>
  <si>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</si>
  <si>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</si>
  <si>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</si>
  <si>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</si>
  <si>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</si>
  <si>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</si>
  <si>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</si>
  <si>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</si>
  <si>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</si>
  <si>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</si>
  <si>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</si>
  <si>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</si>
  <si>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</si>
  <si>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</si>
  <si>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</si>
  <si>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</si>
  <si>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</si>
  <si>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</si>
  <si>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</si>
  <si>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</si>
  <si>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</si>
  <si>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</si>
  <si>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</si>
  <si>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</si>
  <si>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</si>
  <si>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</si>
  <si>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</si>
  <si>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</si>
  <si>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</si>
  <si>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</si>
  <si>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</si>
  <si>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</si>
  <si>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阅文集团</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</si>
  <si>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</si>
  <si>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</si>
  <si>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</si>
  <si>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Public - Knowledge Accumulation &amp; Sharing</t>
  </si>
  <si>
    <t>原力动画</t>
  </si>
  <si>
    <t>Timesheet</t>
  </si>
  <si>
    <t>Exit case study</t>
  </si>
  <si>
    <t>律师账单</t>
  </si>
  <si>
    <t>IQM</t>
  </si>
  <si>
    <t>Uala</t>
  </si>
  <si>
    <t>Congenica</t>
  </si>
  <si>
    <t>审阅关于release contingent funds的董事会决议和noteholder consent，内部讨论。</t>
  </si>
  <si>
    <t>N26</t>
  </si>
  <si>
    <t>Sunday</t>
  </si>
  <si>
    <t>审阅公司发来的E轮 2nd close cap table及相关董决。</t>
  </si>
  <si>
    <t>审阅MD Picture账单。</t>
  </si>
  <si>
    <t>N/A</t>
  </si>
  <si>
    <t>内部讨论token相关的regulatory framework，和律师团队讨论。</t>
  </si>
  <si>
    <t>审阅final version并发送给团队</t>
  </si>
  <si>
    <t>内部讨论并汇报间接股东变更的相关确认和披露口径。</t>
  </si>
  <si>
    <t>All parties' call关于公司的CB和warrant novation方式，内部讨论。</t>
  </si>
  <si>
    <t>审阅series B全套文件，与内部及律师讨论。</t>
  </si>
  <si>
    <t xml:space="preserve">审阅年报相关文件。
</t>
  </si>
  <si>
    <t>审阅EGM决议及相关pledge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</si>
</sst>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4" zoomScaleNormal="100" workbookViewId="0">
      <selection activeCell="H9" sqref="H9"/>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
      <c r="B2" s="4" t="s">
        <v>0</v>
      </c>
      <c r="C2" s="5" t="s">
        <v>69</v>
      </c>
      <c r="D2" s="5" t="s">
        <v>1</v>
      </c>
      <c r="E2" s="5" t="s">
        <v>2</v>
      </c>
      <c r="F2" s="5" t="s">
        <v>3</v>
      </c>
      <c r="G2" s="5" t="s">
        <v>4</v>
      </c>
      <c r="H2" s="5" t="s">
        <v>5</v>
      </c>
      <c r="I2" s="26" t="s">
        <v>6</v>
      </c>
    </row>
    <row r="3" spans="2:9" ht="207.9" customHeight="1">
      <c r="B3" s="6" t="s">
        <v>7</v>
      </c>
      <c r="C3" s="7" t="s">
        <v>8</v>
      </c>
      <c r="D3" s="7" t="s">
        <v>9</v>
      </c>
      <c r="E3" s="7" t="s">
        <v>58</v>
      </c>
      <c r="F3" s="7" t="s">
        <v>74</v>
      </c>
      <c r="G3" s="7" t="s">
        <v>10</v>
      </c>
      <c r="H3" s="7" t="s">
        <v>11</v>
      </c>
      <c r="I3" s="9" t="s">
        <v>12</v>
      </c>
    </row>
    <row r="4" spans="2:9" ht="39">
      <c r="B4" s="13" t="s">
        <v>71</v>
      </c>
      <c r="C4" s="11" t="s">
        <v>14</v>
      </c>
      <c r="D4" s="24" t="s">
        <v>73</v>
      </c>
      <c r="E4" s="8" t="s">
        <v>40</v>
      </c>
      <c r="F4" s="11" t="s">
        <v>72</v>
      </c>
      <c r="G4" s="8">
        <v>0.5</v>
      </c>
      <c r="H4" s="11" t="s">
        <v>20</v>
      </c>
      <c r="I4" s="25" t="s">
        <v>96</v>
      </c>
    </row>
    <row r="5" spans="2:9" s="32" customFormat="1" ht="39">
      <c r="B5" s="27" t="s">
        <v>71</v>
      </c>
      <c r="C5" s="28" t="s">
        <v>14</v>
      </c>
      <c r="D5" s="33" t="s">
        <v>84</v>
      </c>
      <c r="E5" s="30" t="s">
        <v>40</v>
      </c>
      <c r="F5" s="28" t="s">
        <v>72</v>
      </c>
      <c r="G5" s="30">
        <v>1.5</v>
      </c>
      <c r="H5" s="28" t="s">
        <v>20</v>
      </c>
      <c r="I5" s="31" t="s">
        <v>85</v>
      </c>
    </row>
    <row r="6" spans="2:9" ht="26">
      <c r="B6" s="13" t="s">
        <v>71</v>
      </c>
      <c r="C6" s="11" t="s">
        <v>14</v>
      </c>
      <c r="D6" s="24" t="s">
        <v>82</v>
      </c>
      <c r="E6" s="8" t="s">
        <v>40</v>
      </c>
      <c r="F6" s="11" t="s">
        <v>72</v>
      </c>
      <c r="G6" s="8">
        <v>5.6</v>
      </c>
      <c r="H6" s="11" t="s">
        <v>20</v>
      </c>
      <c r="I6" s="25" t="s">
        <v>95</v>
      </c>
    </row>
    <row r="7" spans="2:9" ht="26">
      <c r="B7" s="13" t="s">
        <v>71</v>
      </c>
      <c r="C7" s="11" t="s">
        <v>14</v>
      </c>
      <c r="D7" s="24" t="s">
        <v>87</v>
      </c>
      <c r="E7" s="8" t="s">
        <v>40</v>
      </c>
      <c r="F7" s="11" t="s">
        <v>72</v>
      </c>
      <c r="G7" s="8">
        <v>2.5</v>
      </c>
      <c r="H7" s="11" t="s">
        <v>20</v>
      </c>
      <c r="I7" s="25" t="s">
        <v>94</v>
      </c>
    </row>
    <row r="8" spans="2:9" s="32" customFormat="1" ht="26">
      <c r="B8" s="27" t="s">
        <v>71</v>
      </c>
      <c r="C8" s="28" t="s">
        <v>14</v>
      </c>
      <c r="D8" s="29" t="s">
        <v>86</v>
      </c>
      <c r="E8" s="30" t="s">
        <v>40</v>
      </c>
      <c r="F8" s="28" t="s">
        <v>72</v>
      </c>
      <c r="G8" s="30">
        <v>2.5</v>
      </c>
      <c r="H8" s="28" t="s">
        <v>20</v>
      </c>
      <c r="I8" s="31" t="s">
        <v>97</v>
      </c>
    </row>
    <row r="9" spans="2:9" s="32" customFormat="1" ht="26">
      <c r="B9" s="27" t="s">
        <v>71</v>
      </c>
      <c r="C9" s="28" t="s">
        <v>16</v>
      </c>
      <c r="D9" s="29" t="s">
        <v>83</v>
      </c>
      <c r="E9" s="30" t="s">
        <v>40</v>
      </c>
      <c r="F9" s="28" t="s">
        <v>72</v>
      </c>
      <c r="G9" s="30">
        <v>1.5</v>
      </c>
      <c r="H9" s="28" t="s">
        <v>20</v>
      </c>
      <c r="I9" s="31" t="s">
        <v>88</v>
      </c>
    </row>
    <row r="10" spans="2:9" ht="26">
      <c r="B10" s="13" t="s">
        <v>71</v>
      </c>
      <c r="C10" s="11" t="s">
        <v>15</v>
      </c>
      <c r="D10" s="24" t="s">
        <v>78</v>
      </c>
      <c r="E10" s="8" t="s">
        <v>40</v>
      </c>
      <c r="F10" s="11" t="s">
        <v>72</v>
      </c>
      <c r="G10" s="8">
        <v>2</v>
      </c>
      <c r="H10" s="11" t="s">
        <v>20</v>
      </c>
      <c r="I10" s="25" t="s">
        <v>93</v>
      </c>
    </row>
    <row r="11" spans="2:9" ht="26">
      <c r="B11" s="13" t="s">
        <v>71</v>
      </c>
      <c r="C11" s="11" t="s">
        <v>14</v>
      </c>
      <c r="D11" s="24" t="s">
        <v>90</v>
      </c>
      <c r="E11" s="8" t="s">
        <v>40</v>
      </c>
      <c r="F11" s="11" t="s">
        <v>72</v>
      </c>
      <c r="G11" s="8">
        <v>1.5</v>
      </c>
      <c r="H11" s="11" t="s">
        <v>28</v>
      </c>
      <c r="I11" s="25" t="s">
        <v>91</v>
      </c>
    </row>
    <row r="12" spans="2:9" ht="26">
      <c r="B12" s="13" t="s">
        <v>71</v>
      </c>
      <c r="C12" s="11" t="s">
        <v>18</v>
      </c>
      <c r="D12" s="24" t="s">
        <v>79</v>
      </c>
      <c r="E12" s="8" t="s">
        <v>40</v>
      </c>
      <c r="F12" s="11"/>
      <c r="G12" s="8">
        <v>1</v>
      </c>
      <c r="H12" s="11" t="s">
        <v>75</v>
      </c>
      <c r="I12" s="25" t="s">
        <v>76</v>
      </c>
    </row>
    <row r="13" spans="2:9" s="32" customFormat="1">
      <c r="B13" s="27" t="s">
        <v>71</v>
      </c>
      <c r="C13" s="28" t="s">
        <v>77</v>
      </c>
      <c r="D13" s="29" t="s">
        <v>80</v>
      </c>
      <c r="E13" s="30" t="s">
        <v>40</v>
      </c>
      <c r="F13" s="28"/>
      <c r="G13" s="30">
        <v>0.6</v>
      </c>
      <c r="H13" s="28" t="s">
        <v>27</v>
      </c>
      <c r="I13" s="31" t="s">
        <v>92</v>
      </c>
    </row>
    <row r="14" spans="2:9" s="32" customFormat="1" ht="26">
      <c r="B14" s="27" t="s">
        <v>71</v>
      </c>
      <c r="C14" s="28" t="s">
        <v>18</v>
      </c>
      <c r="D14" s="29" t="s">
        <v>81</v>
      </c>
      <c r="E14" s="30" t="s">
        <v>27</v>
      </c>
      <c r="F14" s="28"/>
      <c r="G14" s="30">
        <v>0.8</v>
      </c>
      <c r="H14" s="28" t="s">
        <v>38</v>
      </c>
      <c r="I14" s="31" t="s">
        <v>89</v>
      </c>
    </row>
    <row r="15" spans="2:9">
      <c r="B15" s="19"/>
      <c r="C15" s="20"/>
      <c r="D15" s="21"/>
      <c r="E15" s="21"/>
      <c r="F15" s="23" t="s">
        <v>66</v>
      </c>
      <c r="G15" s="37">
        <f>SUM(G3:G14)</f>
        <v>20.000000000000004</v>
      </c>
      <c r="H15" s="38"/>
      <c r="I15" s="39"/>
    </row>
    <row r="16" spans="2:9" ht="15" thickBot="1">
      <c r="B16" s="16"/>
      <c r="C16" s="17"/>
      <c r="D16" s="18"/>
      <c r="E16" s="18"/>
      <c r="F16" s="22" t="s">
        <v>67</v>
      </c>
      <c r="G16" s="34">
        <v>3</v>
      </c>
      <c r="H16" s="35"/>
      <c r="I16" s="36"/>
    </row>
    <row r="17" ht="15"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2025-03-14T06:50:22Z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