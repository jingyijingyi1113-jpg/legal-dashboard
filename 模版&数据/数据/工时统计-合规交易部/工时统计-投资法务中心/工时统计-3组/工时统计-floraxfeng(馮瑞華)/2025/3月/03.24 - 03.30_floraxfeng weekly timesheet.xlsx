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8_{6810CD99-42F5-4163-B576-5428579F827F}"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<sst xmlns="http://schemas.openxmlformats.org/spreadsheetml/2006/main" count="167" uniqueCount="92">
  <si>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</si>
  <si>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</si>
  <si>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</si>
  <si>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</si>
  <si>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</si>
  <si>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</si>
  <si>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</si>
  <si>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</si>
  <si>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</si>
  <si>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</si>
  <si>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</si>
  <si>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</si>
  <si>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</si>
  <si>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</si>
  <si>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</si>
  <si>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</si>
  <si>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</si>
  <si>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</si>
  <si>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</si>
  <si>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</si>
  <si>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</si>
  <si>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</si>
  <si>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</si>
  <si>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</si>
  <si>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</si>
  <si>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</si>
  <si>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</si>
  <si>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</si>
  <si>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</si>
  <si>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</si>
  <si>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</si>
  <si>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</si>
  <si>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</si>
  <si>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</si>
  <si>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</si>
  <si>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</si>
  <si>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</si>
  <si>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</si>
  <si>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</si>
  <si>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</si>
  <si>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</si>
  <si>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</si>
  <si>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</si>
  <si>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</si>
  <si>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</si>
  <si>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</si>
  <si>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</si>
  <si>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</si>
  <si>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</si>
  <si>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</si>
  <si>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</si>
  <si>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</si>
  <si>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</si>
  <si>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</si>
  <si>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</si>
  <si>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</si>
  <si>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</si>
  <si>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</si>
  <si>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</si>
  <si>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</si>
  <si>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</si>
  <si>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</si>
  <si>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</si>
  <si>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</si>
  <si>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</si>
  <si>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</si>
  <si>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</si>
  <si>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</si>
  <si>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</si>
  <si>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</si>
  <si>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</si>
  <si>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</si>
  <si>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</si>
  <si>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</si>
  <si>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</si>
  <si>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</si>
  <si>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原力动画</t>
  </si>
  <si>
    <t>Timesheet</t>
  </si>
  <si>
    <t>IQM</t>
  </si>
  <si>
    <t>Uala</t>
  </si>
  <si>
    <t>N26</t>
  </si>
  <si>
    <t>阅文集团</t>
  </si>
  <si>
    <t>审阅share transfer agreement，发送issue list给deal team。Consolidate意见并反馈给律师。</t>
  </si>
  <si>
    <t>审阅办理相关资质所需股东信息</t>
  </si>
  <si>
    <t>审阅律师POA并发送团队预签署</t>
  </si>
  <si>
    <t>审阅并finalise股东确认函，发送deal team提请预签署</t>
  </si>
  <si>
    <t>确认regulatory notes转股股数及确认是否行使warrant</t>
  </si>
  <si>
    <t>与James见面会</t>
  </si>
  <si>
    <t>深圳出差一日，参加与James见面会及聚餐</t>
  </si>
  <si>
    <t>周会</t>
  </si>
  <si>
    <t>参加周会并进行exit study分享</t>
  </si>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</sst>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A6" sqref="A6:XFD6"/>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81</v>
      </c>
      <c r="E4" s="30" t="s">
        <v>40</v>
      </c>
      <c r="F4" s="28" t="s">
        <v>72</v>
      </c>
      <c r="G4" s="30">
        <v>0.5</v>
      </c>
      <c r="H4" s="28" t="s">
        <v>20</v>
      </c>
      <c r="I4" s="31" t="s">
        <v>83</v>
      </c>
    </row>
    <row r="5" spans="2:9" ht="39">
      <c r="B5" s="13" t="s">
        <v>71</v>
      </c>
      <c r="C5" s="11" t="s">
        <v>14</v>
      </c>
      <c r="D5" s="24" t="s">
        <v>78</v>
      </c>
      <c r="E5" s="8" t="s">
        <v>40</v>
      </c>
      <c r="F5" s="11" t="s">
        <v>72</v>
      </c>
      <c r="G5" s="8">
        <v>8.5</v>
      </c>
      <c r="H5" s="11" t="s">
        <v>20</v>
      </c>
      <c r="I5" s="25" t="s">
        <v>82</v>
      </c>
    </row>
    <row r="6" spans="2:9" s="32" customFormat="1" ht="26">
      <c r="B6" s="27" t="s">
        <v>71</v>
      </c>
      <c r="C6" s="28" t="s">
        <v>14</v>
      </c>
      <c r="D6" s="29" t="s">
        <v>80</v>
      </c>
      <c r="E6" s="30" t="s">
        <v>40</v>
      </c>
      <c r="F6" s="28" t="s">
        <v>72</v>
      </c>
      <c r="G6" s="30">
        <v>0.8</v>
      </c>
      <c r="H6" s="28" t="s">
        <v>20</v>
      </c>
      <c r="I6" s="31" t="s">
        <v>84</v>
      </c>
    </row>
    <row r="7" spans="2:9" s="32" customFormat="1" ht="26">
      <c r="B7" s="27" t="s">
        <v>71</v>
      </c>
      <c r="C7" s="28" t="s">
        <v>16</v>
      </c>
      <c r="D7" s="29" t="s">
        <v>79</v>
      </c>
      <c r="E7" s="30" t="s">
        <v>40</v>
      </c>
      <c r="F7" s="28" t="s">
        <v>72</v>
      </c>
      <c r="G7" s="30">
        <v>2</v>
      </c>
      <c r="H7" s="28" t="s">
        <v>20</v>
      </c>
      <c r="I7" s="31" t="s">
        <v>86</v>
      </c>
    </row>
    <row r="8" spans="2:9" ht="26">
      <c r="B8" s="13" t="s">
        <v>71</v>
      </c>
      <c r="C8" s="11" t="s">
        <v>15</v>
      </c>
      <c r="D8" s="24" t="s">
        <v>76</v>
      </c>
      <c r="E8" s="8" t="s">
        <v>40</v>
      </c>
      <c r="F8" s="11" t="s">
        <v>72</v>
      </c>
      <c r="G8" s="8">
        <v>3.5</v>
      </c>
      <c r="H8" s="11" t="s">
        <v>20</v>
      </c>
      <c r="I8" s="25" t="s">
        <v>85</v>
      </c>
    </row>
    <row r="9" spans="2:9">
      <c r="B9" s="13" t="s">
        <v>71</v>
      </c>
      <c r="C9" s="11" t="s">
        <v>91</v>
      </c>
      <c r="D9" s="24" t="s">
        <v>89</v>
      </c>
      <c r="E9" s="8" t="s">
        <v>27</v>
      </c>
      <c r="F9" s="11"/>
      <c r="G9" s="8">
        <v>2.5</v>
      </c>
      <c r="H9" s="11" t="s">
        <v>27</v>
      </c>
      <c r="I9" s="25" t="s">
        <v>90</v>
      </c>
    </row>
    <row r="10" spans="2:9" ht="26">
      <c r="B10" s="13" t="s">
        <v>71</v>
      </c>
      <c r="C10" s="11" t="s">
        <v>18</v>
      </c>
      <c r="D10" s="24" t="s">
        <v>77</v>
      </c>
      <c r="E10" s="8" t="s">
        <v>40</v>
      </c>
      <c r="F10" s="11"/>
      <c r="G10" s="8">
        <v>1</v>
      </c>
      <c r="H10" s="11" t="s">
        <v>74</v>
      </c>
      <c r="I10" s="25" t="s">
        <v>75</v>
      </c>
    </row>
    <row r="11" spans="2:9" s="32" customFormat="1">
      <c r="B11" s="27" t="s">
        <v>71</v>
      </c>
      <c r="C11" s="28" t="s">
        <v>18</v>
      </c>
      <c r="D11" s="29" t="s">
        <v>87</v>
      </c>
      <c r="E11" s="30" t="s">
        <v>27</v>
      </c>
      <c r="F11" s="28"/>
      <c r="G11" s="30">
        <v>7</v>
      </c>
      <c r="H11" s="28" t="s">
        <v>27</v>
      </c>
      <c r="I11" s="31" t="s">
        <v>88</v>
      </c>
    </row>
    <row r="12" spans="2:9">
      <c r="B12" s="19"/>
      <c r="C12" s="20"/>
      <c r="D12" s="21"/>
      <c r="E12" s="21"/>
      <c r="F12" s="23" t="s">
        <v>66</v>
      </c>
      <c r="G12" s="37">
        <f>SUM(G3:G11)</f>
        <v>25.8</v>
      </c>
      <c r="H12" s="38"/>
      <c r="I12" s="39"/>
    </row>
    <row r="13" spans="2:9" ht="15" thickBot="1">
      <c r="B13" s="16"/>
      <c r="C13" s="17"/>
      <c r="D13" s="18"/>
      <c r="E13" s="18"/>
      <c r="F13" s="22" t="s">
        <v>67</v>
      </c>
      <c r="G13" s="34">
        <v>5</v>
      </c>
      <c r="H13" s="35"/>
      <c r="I13" s="36"/>
    </row>
    <row r="14" spans="2:9" ht="1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2025-04-07T12:02:17Z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