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B650C025-EC24-4752-B572-B0972B8CA8B4}"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<sst xmlns="http://schemas.openxmlformats.org/spreadsheetml/2006/main" count="196" uniqueCount="100">
  <si>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</si>
  <si>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</si>
  <si>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</si>
  <si>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</si>
  <si>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</si>
  <si>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</si>
  <si>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</si>
  <si>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</si>
  <si>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</si>
  <si>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</si>
  <si>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</si>
  <si>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</si>
  <si>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</si>
  <si>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</si>
  <si>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</si>
  <si>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</si>
  <si>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</si>
  <si>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</si>
  <si>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</si>
  <si>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</si>
  <si>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</si>
  <si>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</si>
  <si>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</si>
  <si>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</si>
  <si>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</si>
  <si>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</si>
  <si>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</si>
  <si>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</si>
  <si>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</si>
  <si>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</si>
  <si>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</si>
  <si>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</si>
  <si>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</si>
  <si>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</si>
  <si>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</si>
  <si>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</si>
  <si>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</si>
  <si>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</si>
  <si>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</si>
  <si>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</si>
  <si>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</si>
  <si>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</si>
  <si>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</si>
  <si>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</si>
  <si>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</si>
  <si>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</si>
  <si>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</si>
  <si>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</si>
  <si>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</si>
  <si>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</si>
  <si>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</si>
  <si>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</si>
  <si>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</si>
  <si>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</si>
  <si>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</si>
  <si>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</si>
  <si>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</si>
  <si>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</si>
  <si>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</si>
  <si>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</si>
  <si>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</si>
  <si>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</si>
  <si>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</si>
  <si>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</si>
  <si>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</si>
  <si>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</si>
  <si>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</si>
  <si>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</si>
  <si>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</si>
  <si>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</si>
  <si>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</si>
  <si>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</si>
  <si>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</si>
  <si>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</si>
  <si>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</si>
  <si>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</si>
  <si>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</si>
  <si>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Sunday</t>
  </si>
  <si>
    <t>阅文</t>
  </si>
  <si>
    <t>蝴蝶效应</t>
  </si>
  <si>
    <t>Clark</t>
  </si>
  <si>
    <t>中文在线</t>
  </si>
  <si>
    <t>律所账单</t>
  </si>
  <si>
    <t>Congenica</t>
  </si>
  <si>
    <t>整理若干律所账单并发起支付</t>
  </si>
  <si>
    <t>审阅极光项目相关公告，内部讨论，和阅文及其律师多次讨论公告披露口径。</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</si>
  <si>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</si>
  <si>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</si>
  <si>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</si>
  <si>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N26</t>
  </si>
  <si>
    <t>审阅AGM文件并归纳要点给deal team。</t>
  </si>
  <si>
    <t>Keep</t>
  </si>
  <si>
    <t>审阅AGM审批事项</t>
  </si>
  <si>
    <t>审阅公司发来的交割文件，审阅并修改SPA。内部沟通，协助签字。与公司律师就交割deliverables邮件来回。</t>
  </si>
  <si>
    <t>A股市场培训</t>
  </si>
  <si>
    <t>参加PA组织的关于A股市场培训</t>
  </si>
  <si>
    <t>审阅EGM审批事项</t>
  </si>
  <si>
    <t>Reddit</t>
  </si>
  <si>
    <t>资本市场、投融资活动创新突破 Innovative breakthroughs in investments and capital market transactions</t>
  </si>
  <si>
    <t>与DPW讨论covered call交易下pledged shares的投票权事项，beneficial ownership是否改变等。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</si>
</sst>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C1" zoomScaleNormal="100" workbookViewId="0">
      <selection activeCell="H7" sqref="H7"/>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78</v>
      </c>
      <c r="E4" s="30" t="s">
        <v>40</v>
      </c>
      <c r="F4" s="28" t="s">
        <v>72</v>
      </c>
      <c r="G4" s="30">
        <v>10.8</v>
      </c>
      <c r="H4" s="28" t="s">
        <v>20</v>
      </c>
      <c r="I4" s="31" t="s">
        <v>85</v>
      </c>
    </row>
    <row r="5" spans="2:9" s="32" customFormat="1" ht="52">
      <c r="B5" s="27" t="s">
        <v>71</v>
      </c>
      <c r="C5" s="28" t="s">
        <v>14</v>
      </c>
      <c r="D5" s="33" t="s">
        <v>97</v>
      </c>
      <c r="E5" s="30" t="s">
        <v>40</v>
      </c>
      <c r="F5" s="28" t="s">
        <v>98</v>
      </c>
      <c r="G5" s="30">
        <v>1</v>
      </c>
      <c r="H5" s="28" t="s">
        <v>20</v>
      </c>
      <c r="I5" s="31" t="s">
        <v>99</v>
      </c>
    </row>
    <row r="6" spans="2:9" s="32" customFormat="1" ht="26">
      <c r="B6" s="27" t="s">
        <v>71</v>
      </c>
      <c r="C6" s="28" t="s">
        <v>14</v>
      </c>
      <c r="D6" s="33" t="s">
        <v>81</v>
      </c>
      <c r="E6" s="30" t="s">
        <v>40</v>
      </c>
      <c r="F6" s="28" t="s">
        <v>72</v>
      </c>
      <c r="G6" s="30">
        <v>0.5</v>
      </c>
      <c r="H6" s="28" t="s">
        <v>20</v>
      </c>
      <c r="I6" s="31" t="s">
        <v>96</v>
      </c>
    </row>
    <row r="7" spans="2:9" s="32" customFormat="1" ht="26">
      <c r="B7" s="27" t="s">
        <v>71</v>
      </c>
      <c r="C7" s="28" t="s">
        <v>14</v>
      </c>
      <c r="D7" s="33" t="s">
        <v>91</v>
      </c>
      <c r="E7" s="30" t="s">
        <v>40</v>
      </c>
      <c r="F7" s="28" t="s">
        <v>72</v>
      </c>
      <c r="G7" s="30">
        <v>0.5</v>
      </c>
      <c r="H7" s="28" t="s">
        <v>20</v>
      </c>
      <c r="I7" s="31" t="s">
        <v>92</v>
      </c>
    </row>
    <row r="8" spans="2:9" s="32" customFormat="1" ht="39">
      <c r="B8" s="27" t="s">
        <v>71</v>
      </c>
      <c r="C8" s="28" t="s">
        <v>14</v>
      </c>
      <c r="D8" s="33" t="s">
        <v>79</v>
      </c>
      <c r="E8" s="30" t="s">
        <v>40</v>
      </c>
      <c r="F8" s="28" t="s">
        <v>72</v>
      </c>
      <c r="G8" s="30">
        <v>3.5</v>
      </c>
      <c r="H8" s="28" t="s">
        <v>20</v>
      </c>
      <c r="I8" s="31" t="s">
        <v>93</v>
      </c>
    </row>
    <row r="9" spans="2:9" s="32" customFormat="1" ht="39">
      <c r="B9" s="27" t="s">
        <v>71</v>
      </c>
      <c r="C9" s="28" t="s">
        <v>16</v>
      </c>
      <c r="D9" s="29" t="s">
        <v>80</v>
      </c>
      <c r="E9" s="30" t="s">
        <v>40</v>
      </c>
      <c r="F9" s="28" t="s">
        <v>72</v>
      </c>
      <c r="G9" s="30">
        <v>5</v>
      </c>
      <c r="H9" s="28" t="s">
        <v>20</v>
      </c>
      <c r="I9" s="31" t="s">
        <v>86</v>
      </c>
    </row>
    <row r="10" spans="2:9" ht="26">
      <c r="B10" s="13" t="s">
        <v>71</v>
      </c>
      <c r="C10" s="11" t="s">
        <v>14</v>
      </c>
      <c r="D10" s="24" t="s">
        <v>77</v>
      </c>
      <c r="E10" s="8" t="s">
        <v>40</v>
      </c>
      <c r="F10" s="11" t="s">
        <v>72</v>
      </c>
      <c r="G10" s="8">
        <v>4</v>
      </c>
      <c r="H10" s="11" t="s">
        <v>20</v>
      </c>
      <c r="I10" s="25" t="s">
        <v>87</v>
      </c>
    </row>
    <row r="11" spans="2:9" ht="39">
      <c r="B11" s="13" t="s">
        <v>71</v>
      </c>
      <c r="C11" s="11" t="s">
        <v>14</v>
      </c>
      <c r="D11" s="24" t="s">
        <v>83</v>
      </c>
      <c r="E11" s="8" t="s">
        <v>40</v>
      </c>
      <c r="F11" s="11" t="s">
        <v>72</v>
      </c>
      <c r="G11" s="8">
        <v>4.5</v>
      </c>
      <c r="H11" s="11" t="s">
        <v>20</v>
      </c>
      <c r="I11" s="25" t="s">
        <v>88</v>
      </c>
    </row>
    <row r="12" spans="2:9" ht="26">
      <c r="B12" s="13" t="s">
        <v>71</v>
      </c>
      <c r="C12" s="11" t="s">
        <v>14</v>
      </c>
      <c r="D12" s="24" t="s">
        <v>89</v>
      </c>
      <c r="E12" s="8" t="s">
        <v>40</v>
      </c>
      <c r="F12" s="11" t="s">
        <v>72</v>
      </c>
      <c r="G12" s="8">
        <v>1.5</v>
      </c>
      <c r="H12" s="11" t="s">
        <v>20</v>
      </c>
      <c r="I12" s="25" t="s">
        <v>90</v>
      </c>
    </row>
    <row r="13" spans="2:9" ht="26">
      <c r="B13" s="13" t="s">
        <v>71</v>
      </c>
      <c r="C13" s="11" t="s">
        <v>18</v>
      </c>
      <c r="D13" s="24" t="s">
        <v>94</v>
      </c>
      <c r="E13" s="8" t="s">
        <v>40</v>
      </c>
      <c r="F13" s="11" t="s">
        <v>72</v>
      </c>
      <c r="G13" s="8">
        <v>0.8</v>
      </c>
      <c r="H13" s="11" t="s">
        <v>22</v>
      </c>
      <c r="I13" s="25" t="s">
        <v>95</v>
      </c>
    </row>
    <row r="14" spans="2:9" ht="26">
      <c r="B14" s="13" t="s">
        <v>71</v>
      </c>
      <c r="C14" s="11" t="s">
        <v>18</v>
      </c>
      <c r="D14" s="34" t="s">
        <v>82</v>
      </c>
      <c r="E14" s="8" t="s">
        <v>40</v>
      </c>
      <c r="F14" s="11"/>
      <c r="G14" s="8">
        <v>1</v>
      </c>
      <c r="H14" s="11" t="s">
        <v>38</v>
      </c>
      <c r="I14" s="25" t="s">
        <v>84</v>
      </c>
    </row>
    <row r="15" spans="2:9" ht="26">
      <c r="B15" s="13" t="s">
        <v>71</v>
      </c>
      <c r="C15" s="11" t="s">
        <v>18</v>
      </c>
      <c r="D15" s="24" t="s">
        <v>76</v>
      </c>
      <c r="E15" s="8" t="s">
        <v>40</v>
      </c>
      <c r="F15" s="11"/>
      <c r="G15" s="8">
        <v>1</v>
      </c>
      <c r="H15" s="11" t="s">
        <v>74</v>
      </c>
      <c r="I15" s="25" t="s">
        <v>75</v>
      </c>
    </row>
    <row r="16" spans="2:9">
      <c r="B16" s="19"/>
      <c r="C16" s="20"/>
      <c r="D16" s="21"/>
      <c r="E16" s="21"/>
      <c r="F16" s="23" t="s">
        <v>66</v>
      </c>
      <c r="G16" s="38">
        <f>SUM(G3:G15)</f>
        <v>34.1</v>
      </c>
      <c r="H16" s="39"/>
      <c r="I16" s="40"/>
    </row>
    <row r="17" spans="2:9" ht="15" thickBot="1">
      <c r="B17" s="16"/>
      <c r="C17" s="17"/>
      <c r="D17" s="18"/>
      <c r="E17" s="18"/>
      <c r="F17" s="22" t="s">
        <v>67</v>
      </c>
      <c r="G17" s="35">
        <v>5</v>
      </c>
      <c r="H17" s="36"/>
      <c r="I17" s="37"/>
    </row>
    <row r="18" spans="2:9" ht="15"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2025-05-30T10:53:58Z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