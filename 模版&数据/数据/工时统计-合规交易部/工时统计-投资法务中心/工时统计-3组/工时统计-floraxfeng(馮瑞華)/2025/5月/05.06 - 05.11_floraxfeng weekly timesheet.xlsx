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8_{9A330E8B-6631-43EC-BEA0-0DEB975A0160}"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<sst xmlns="http://schemas.openxmlformats.org/spreadsheetml/2006/main" count="202" uniqueCount="102">
  <si>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</si>
  <si>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</si>
  <si>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</si>
  <si>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</si>
  <si>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</si>
  <si>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</si>
  <si>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</si>
  <si>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</si>
  <si>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</si>
  <si>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</si>
  <si>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</si>
  <si>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</si>
  <si>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</si>
  <si>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</si>
  <si>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</si>
  <si>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</si>
  <si>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</si>
  <si>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</si>
  <si>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</si>
  <si>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</si>
  <si>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</si>
  <si>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</si>
  <si>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</si>
  <si>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</si>
  <si>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</si>
  <si>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</si>
  <si>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</si>
  <si>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</si>
  <si>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</si>
  <si>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</si>
  <si>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</si>
  <si>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</si>
  <si>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</si>
  <si>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</si>
  <si>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</si>
  <si>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</si>
  <si>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</si>
  <si>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</si>
  <si>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</si>
  <si>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</si>
  <si>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</si>
  <si>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</si>
  <si>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</si>
  <si>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</si>
  <si>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</si>
  <si>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</si>
  <si>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</si>
  <si>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</si>
  <si>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</si>
  <si>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</si>
  <si>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</si>
  <si>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</si>
  <si>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</si>
  <si>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</si>
  <si>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</si>
  <si>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</si>
  <si>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</si>
  <si>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</si>
  <si>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</si>
  <si>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</si>
  <si>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</si>
  <si>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</si>
  <si>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</si>
  <si>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</si>
  <si>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</si>
  <si>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</si>
  <si>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</si>
  <si>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</si>
  <si>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</si>
  <si>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</si>
  <si>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</si>
  <si>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</si>
  <si>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</si>
  <si>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</si>
  <si>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</si>
  <si>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</si>
  <si>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</si>
  <si>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Pangea</t>
  </si>
  <si>
    <t>Sunday</t>
  </si>
  <si>
    <t>Oxbotica</t>
  </si>
  <si>
    <t>阅文</t>
  </si>
  <si>
    <t>IQM</t>
  </si>
  <si>
    <t>Project Cheetah</t>
  </si>
  <si>
    <t>蝴蝶效应</t>
  </si>
  <si>
    <t>发送finalised交易文件，协助文件签署工作。</t>
  </si>
  <si>
    <t>Clark</t>
  </si>
  <si>
    <t>审阅并汇总TS issue list给deal team。</t>
  </si>
  <si>
    <t>协助审批及下单流程。</t>
  </si>
  <si>
    <t>审阅TopCo重组修改文件，与律师讨论修改语言。</t>
  </si>
  <si>
    <t>针对集团税务要求，翻查历史股权交易文件和交易结构，并与税务讨论。
审阅AGM proxy和agenda内容。</t>
  </si>
  <si>
    <t>中文在线</t>
  </si>
  <si>
    <t>审阅公司AGM议案内容</t>
  </si>
  <si>
    <t>与TPP legal讨论转股细节及文件，讨论监管分析。邮件律师re监管分析。</t>
  </si>
  <si>
    <t xml:space="preserve">审阅并讨论律师对SPA的修改，内部讨论。
</t>
  </si>
  <si>
    <t>审阅Eldridge equity-to-debt swap安排细节，与律师邮件讨论并内部讨论。
内部讨论公司irregular tax returns事宜及董事责任。与律师讨论。</t>
  </si>
  <si>
    <t>周会</t>
  </si>
  <si>
    <t>参加3组周会</t>
  </si>
  <si>
    <t>律所账单</t>
  </si>
  <si>
    <t>审阅账单并提起支付</t>
  </si>
  <si>
    <t>Reddit</t>
  </si>
  <si>
    <t>资本市场、投融资活动创新突破 Innovative breakthroughs in investments and capital market transactions</t>
  </si>
  <si>
    <t>内部讨论关于call spread衍生品产品。发送template给律师。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</si>
</sst>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B8" zoomScaleNormal="100" workbookViewId="0">
      <selection activeCell="H20" sqref="H20"/>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52">
      <c r="B4" s="27" t="s">
        <v>71</v>
      </c>
      <c r="C4" s="28" t="s">
        <v>14</v>
      </c>
      <c r="D4" s="33" t="s">
        <v>80</v>
      </c>
      <c r="E4" s="30" t="s">
        <v>40</v>
      </c>
      <c r="F4" s="28" t="s">
        <v>72</v>
      </c>
      <c r="G4" s="30">
        <v>4</v>
      </c>
      <c r="H4" s="28" t="s">
        <v>28</v>
      </c>
      <c r="I4" s="31" t="s">
        <v>89</v>
      </c>
    </row>
    <row r="5" spans="2:9" s="32" customFormat="1" ht="26">
      <c r="B5" s="27" t="s">
        <v>71</v>
      </c>
      <c r="C5" s="28" t="s">
        <v>14</v>
      </c>
      <c r="D5" s="33" t="s">
        <v>82</v>
      </c>
      <c r="E5" s="30" t="s">
        <v>40</v>
      </c>
      <c r="F5" s="28" t="s">
        <v>72</v>
      </c>
      <c r="G5" s="30">
        <v>0.5</v>
      </c>
      <c r="H5" s="28" t="s">
        <v>25</v>
      </c>
      <c r="I5" s="31" t="s">
        <v>87</v>
      </c>
    </row>
    <row r="6" spans="2:9" s="32" customFormat="1" ht="26">
      <c r="B6" s="27" t="s">
        <v>71</v>
      </c>
      <c r="C6" s="28" t="s">
        <v>14</v>
      </c>
      <c r="D6" s="33" t="s">
        <v>81</v>
      </c>
      <c r="E6" s="30" t="s">
        <v>40</v>
      </c>
      <c r="F6" s="28" t="s">
        <v>72</v>
      </c>
      <c r="G6" s="30">
        <v>2</v>
      </c>
      <c r="H6" s="28" t="s">
        <v>20</v>
      </c>
      <c r="I6" s="31" t="s">
        <v>93</v>
      </c>
    </row>
    <row r="7" spans="2:9" s="32" customFormat="1" ht="39">
      <c r="B7" s="27" t="s">
        <v>71</v>
      </c>
      <c r="C7" s="28" t="s">
        <v>14</v>
      </c>
      <c r="D7" s="33" t="s">
        <v>83</v>
      </c>
      <c r="E7" s="30" t="s">
        <v>40</v>
      </c>
      <c r="F7" s="28" t="s">
        <v>72</v>
      </c>
      <c r="G7" s="30">
        <v>3</v>
      </c>
      <c r="H7" s="28" t="s">
        <v>20</v>
      </c>
      <c r="I7" s="31" t="s">
        <v>92</v>
      </c>
    </row>
    <row r="8" spans="2:9" s="32" customFormat="1" ht="65">
      <c r="B8" s="27" t="s">
        <v>71</v>
      </c>
      <c r="C8" s="28" t="s">
        <v>16</v>
      </c>
      <c r="D8" s="29" t="s">
        <v>85</v>
      </c>
      <c r="E8" s="30" t="s">
        <v>40</v>
      </c>
      <c r="F8" s="28" t="s">
        <v>72</v>
      </c>
      <c r="G8" s="30">
        <v>5.5</v>
      </c>
      <c r="H8" s="28" t="s">
        <v>20</v>
      </c>
      <c r="I8" s="31" t="s">
        <v>94</v>
      </c>
    </row>
    <row r="9" spans="2:9" ht="26">
      <c r="B9" s="13" t="s">
        <v>71</v>
      </c>
      <c r="C9" s="11" t="s">
        <v>14</v>
      </c>
      <c r="D9" s="24" t="s">
        <v>78</v>
      </c>
      <c r="E9" s="8" t="s">
        <v>40</v>
      </c>
      <c r="F9" s="11" t="s">
        <v>72</v>
      </c>
      <c r="G9" s="8">
        <v>4</v>
      </c>
      <c r="H9" s="11" t="s">
        <v>20</v>
      </c>
      <c r="I9" s="25" t="s">
        <v>88</v>
      </c>
    </row>
    <row r="10" spans="2:9" ht="26">
      <c r="B10" s="13" t="s">
        <v>71</v>
      </c>
      <c r="C10" s="11" t="s">
        <v>14</v>
      </c>
      <c r="D10" s="24" t="s">
        <v>77</v>
      </c>
      <c r="E10" s="8" t="s">
        <v>40</v>
      </c>
      <c r="F10" s="11" t="s">
        <v>72</v>
      </c>
      <c r="G10" s="8">
        <v>1</v>
      </c>
      <c r="H10" s="11" t="s">
        <v>20</v>
      </c>
      <c r="I10" s="25" t="s">
        <v>84</v>
      </c>
    </row>
    <row r="11" spans="2:9" ht="26">
      <c r="B11" s="13" t="s">
        <v>71</v>
      </c>
      <c r="C11" s="11" t="s">
        <v>14</v>
      </c>
      <c r="D11" s="24" t="s">
        <v>79</v>
      </c>
      <c r="E11" s="8" t="s">
        <v>40</v>
      </c>
      <c r="F11" s="11" t="s">
        <v>72</v>
      </c>
      <c r="G11" s="8">
        <v>1.5</v>
      </c>
      <c r="H11" s="11" t="s">
        <v>20</v>
      </c>
      <c r="I11" s="25" t="s">
        <v>86</v>
      </c>
    </row>
    <row r="12" spans="2:9" ht="26">
      <c r="B12" s="13" t="s">
        <v>71</v>
      </c>
      <c r="C12" s="11" t="s">
        <v>14</v>
      </c>
      <c r="D12" s="24" t="s">
        <v>90</v>
      </c>
      <c r="E12" s="8" t="s">
        <v>40</v>
      </c>
      <c r="F12" s="11" t="s">
        <v>72</v>
      </c>
      <c r="G12" s="8">
        <v>1</v>
      </c>
      <c r="H12" s="11" t="s">
        <v>20</v>
      </c>
      <c r="I12" s="25" t="s">
        <v>91</v>
      </c>
    </row>
    <row r="13" spans="2:9" ht="52">
      <c r="B13" s="13" t="s">
        <v>71</v>
      </c>
      <c r="C13" s="11" t="s">
        <v>14</v>
      </c>
      <c r="D13" s="24" t="s">
        <v>99</v>
      </c>
      <c r="E13" s="8" t="s">
        <v>40</v>
      </c>
      <c r="F13" s="11" t="s">
        <v>100</v>
      </c>
      <c r="G13" s="8">
        <v>2</v>
      </c>
      <c r="H13" s="11" t="s">
        <v>28</v>
      </c>
      <c r="I13" s="25" t="s">
        <v>101</v>
      </c>
    </row>
    <row r="14" spans="2:9" ht="26">
      <c r="B14" s="13" t="s">
        <v>71</v>
      </c>
      <c r="C14" s="11" t="s">
        <v>18</v>
      </c>
      <c r="D14" s="24" t="s">
        <v>97</v>
      </c>
      <c r="E14" s="8" t="s">
        <v>27</v>
      </c>
      <c r="F14" s="11"/>
      <c r="G14" s="8">
        <v>1</v>
      </c>
      <c r="H14" s="11" t="s">
        <v>38</v>
      </c>
      <c r="I14" s="25" t="s">
        <v>98</v>
      </c>
    </row>
    <row r="15" spans="2:9">
      <c r="B15" s="13" t="s">
        <v>71</v>
      </c>
      <c r="C15" s="11" t="s">
        <v>18</v>
      </c>
      <c r="D15" s="24" t="s">
        <v>95</v>
      </c>
      <c r="E15" s="8" t="s">
        <v>27</v>
      </c>
      <c r="F15" s="11"/>
      <c r="G15" s="8">
        <v>1.5</v>
      </c>
      <c r="H15" s="11" t="s">
        <v>27</v>
      </c>
      <c r="I15" s="25" t="s">
        <v>96</v>
      </c>
    </row>
    <row r="16" spans="2:9" ht="26">
      <c r="B16" s="13" t="s">
        <v>71</v>
      </c>
      <c r="C16" s="11" t="s">
        <v>18</v>
      </c>
      <c r="D16" s="24" t="s">
        <v>76</v>
      </c>
      <c r="E16" s="8" t="s">
        <v>40</v>
      </c>
      <c r="F16" s="11"/>
      <c r="G16" s="8">
        <v>1</v>
      </c>
      <c r="H16" s="11" t="s">
        <v>74</v>
      </c>
      <c r="I16" s="25" t="s">
        <v>75</v>
      </c>
    </row>
    <row r="17" spans="2:9">
      <c r="B17" s="19"/>
      <c r="C17" s="20"/>
      <c r="D17" s="21"/>
      <c r="E17" s="21"/>
      <c r="F17" s="23" t="s">
        <v>66</v>
      </c>
      <c r="G17" s="37">
        <f>SUM(G3:G16)</f>
        <v>28</v>
      </c>
      <c r="H17" s="38"/>
      <c r="I17" s="39"/>
    </row>
    <row r="18" spans="2:9" ht="15" thickBot="1">
      <c r="B18" s="16"/>
      <c r="C18" s="17"/>
      <c r="D18" s="18"/>
      <c r="E18" s="18"/>
      <c r="F18" s="22" t="s">
        <v>67</v>
      </c>
      <c r="G18" s="34">
        <v>4</v>
      </c>
      <c r="H18" s="35"/>
      <c r="I18" s="36"/>
    </row>
    <row r="19" spans="2:9" ht="15"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2025-05-16T07:55:54Z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