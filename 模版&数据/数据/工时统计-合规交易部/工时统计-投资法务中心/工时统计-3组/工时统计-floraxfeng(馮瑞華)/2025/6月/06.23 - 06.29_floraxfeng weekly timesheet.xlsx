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D3EF4037-7B4B-47B0-B24C-0D7647A65759}"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<sst xmlns="http://schemas.openxmlformats.org/spreadsheetml/2006/main" count="218" uniqueCount="106">
  <si>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</si>
  <si>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</si>
  <si>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</si>
  <si>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</si>
  <si>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</si>
  <si>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</si>
  <si>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</si>
  <si>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</si>
  <si>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</si>
  <si>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</si>
  <si>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</si>
  <si>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</si>
  <si>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</si>
  <si>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</si>
  <si>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</si>
  <si>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</si>
  <si>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</si>
  <si>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</si>
  <si>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</si>
  <si>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</si>
  <si>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</si>
  <si>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</si>
  <si>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</si>
  <si>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</si>
  <si>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</si>
  <si>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</si>
  <si>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</si>
  <si>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</si>
  <si>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</si>
  <si>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</si>
  <si>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</si>
  <si>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</si>
  <si>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</si>
  <si>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</si>
  <si>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</si>
  <si>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</si>
  <si>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</si>
  <si>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</si>
  <si>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</si>
  <si>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</si>
  <si>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</si>
  <si>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</si>
  <si>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</si>
  <si>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</si>
  <si>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</si>
  <si>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</si>
  <si>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</si>
  <si>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</si>
  <si>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</si>
  <si>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</si>
  <si>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</si>
  <si>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</si>
  <si>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</si>
  <si>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</si>
  <si>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</si>
  <si>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</si>
  <si>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</si>
  <si>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</si>
  <si>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</si>
  <si>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</si>
  <si>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</si>
  <si>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</si>
  <si>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</si>
  <si>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</si>
  <si>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</si>
  <si>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</si>
  <si>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</si>
  <si>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</si>
  <si>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</si>
  <si>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</si>
  <si>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</si>
  <si>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</si>
  <si>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</si>
  <si>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</si>
  <si>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</si>
  <si>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</si>
  <si>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</si>
  <si>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蝴蝶效应</t>
  </si>
  <si>
    <t>Public - Infrastructure &amp; Guidance</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</si>
  <si>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</si>
  <si>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</si>
  <si>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</si>
  <si>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</si>
  <si>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</si>
  <si>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</si>
  <si>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</si>
  <si>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诺辉健康</t>
  </si>
  <si>
    <t>审阅公司停牌及复牌进展相关公告，与财务讨论摘牌流程。与MA讨论管理层不作为，engage开曼律师。
与另一投资人团队讨论对策，与开曼律师讨论章程约定，反馈给MA。</t>
  </si>
  <si>
    <t>Congenica</t>
  </si>
  <si>
    <t>审阅SPA修改稿和issue list，mark up issue list并反馈deal team。发送consolidated issue list给律师，和律师讨论。</t>
  </si>
  <si>
    <t>N26</t>
  </si>
  <si>
    <t>Griffin Fund III</t>
  </si>
  <si>
    <t>审阅GP律师对LPA Amendments的回复，和律师团队，和deal team沟通。</t>
  </si>
  <si>
    <t>N/A</t>
  </si>
  <si>
    <t>内部讨论DI披露要求和对持有投票权达到1/3被投公司的资料收集。向律师发送邮件问题。</t>
  </si>
  <si>
    <t>Pexeso</t>
  </si>
  <si>
    <t>审阅债务相关文件并查找collateral的构成、核查交易交割条款。内部讨论share surrender方案。制作share surrender notice草稿并发送给律师。</t>
  </si>
  <si>
    <t>Tymebank</t>
  </si>
  <si>
    <t>审阅关于esop授予的股东决议，和公司讨论。</t>
  </si>
  <si>
    <t>中文在线</t>
  </si>
  <si>
    <t>审阅公司关于股东证照信息需求的邮件并回复。</t>
  </si>
  <si>
    <t>Uala</t>
  </si>
  <si>
    <t>审阅董事薪酬表格</t>
  </si>
  <si>
    <t>阅文集团</t>
  </si>
  <si>
    <t>审阅阅文证照续牌所需股东信息需求并回复邮件。</t>
  </si>
  <si>
    <t>讨论AGM quorum和投票约定，与律师讨论。和MA讨论IPO情形下触发的权利和分配约定等条款。
同步律师AGM投票表决决策。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</si>
</sst>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Normal="100" workbookViewId="0">
      <selection activeCell="H17" sqref="H17"/>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14</v>
      </c>
      <c r="D4" s="33" t="s">
        <v>77</v>
      </c>
      <c r="E4" s="30" t="s">
        <v>40</v>
      </c>
      <c r="F4" s="28" t="s">
        <v>72</v>
      </c>
      <c r="G4" s="30">
        <v>0.5</v>
      </c>
      <c r="H4" s="28" t="s">
        <v>20</v>
      </c>
      <c r="I4" s="31" t="s">
        <v>79</v>
      </c>
    </row>
    <row r="5" spans="2:9" s="32" customFormat="1" ht="39">
      <c r="B5" s="27" t="s">
        <v>71</v>
      </c>
      <c r="C5" s="28" t="s">
        <v>14</v>
      </c>
      <c r="D5" s="29" t="s">
        <v>80</v>
      </c>
      <c r="E5" s="30" t="s">
        <v>40</v>
      </c>
      <c r="F5" s="28" t="s">
        <v>72</v>
      </c>
      <c r="G5" s="30">
        <v>2</v>
      </c>
      <c r="H5" s="28" t="s">
        <v>20</v>
      </c>
      <c r="I5" s="31" t="s">
        <v>81</v>
      </c>
    </row>
    <row r="6" spans="2:9" s="32" customFormat="1" ht="26">
      <c r="B6" s="27" t="s">
        <v>71</v>
      </c>
      <c r="C6" s="28" t="s">
        <v>14</v>
      </c>
      <c r="D6" s="29" t="s">
        <v>82</v>
      </c>
      <c r="E6" s="30" t="s">
        <v>40</v>
      </c>
      <c r="F6" s="28" t="s">
        <v>72</v>
      </c>
      <c r="G6" s="30">
        <v>4</v>
      </c>
      <c r="H6" s="28" t="s">
        <v>20</v>
      </c>
      <c r="I6" s="31" t="s">
        <v>83</v>
      </c>
    </row>
    <row r="7" spans="2:9" s="32" customFormat="1" ht="26">
      <c r="B7" s="27" t="s">
        <v>71</v>
      </c>
      <c r="C7" s="28" t="s">
        <v>14</v>
      </c>
      <c r="D7" s="29" t="s">
        <v>84</v>
      </c>
      <c r="E7" s="30" t="s">
        <v>40</v>
      </c>
      <c r="F7" s="28" t="s">
        <v>72</v>
      </c>
      <c r="G7" s="30">
        <v>0.8</v>
      </c>
      <c r="H7" s="28" t="s">
        <v>20</v>
      </c>
      <c r="I7" s="31" t="s">
        <v>85</v>
      </c>
    </row>
    <row r="8" spans="2:9" s="32" customFormat="1" ht="39">
      <c r="B8" s="27" t="s">
        <v>71</v>
      </c>
      <c r="C8" s="28" t="s">
        <v>14</v>
      </c>
      <c r="D8" s="29" t="s">
        <v>88</v>
      </c>
      <c r="E8" s="30" t="s">
        <v>40</v>
      </c>
      <c r="F8" s="28" t="s">
        <v>72</v>
      </c>
      <c r="G8" s="30">
        <v>6</v>
      </c>
      <c r="H8" s="28" t="s">
        <v>20</v>
      </c>
      <c r="I8" s="31" t="s">
        <v>89</v>
      </c>
    </row>
    <row r="9" spans="2:9" s="32" customFormat="1" ht="39">
      <c r="B9" s="27" t="s">
        <v>71</v>
      </c>
      <c r="C9" s="28" t="s">
        <v>14</v>
      </c>
      <c r="D9" s="29" t="s">
        <v>91</v>
      </c>
      <c r="E9" s="30" t="s">
        <v>40</v>
      </c>
      <c r="F9" s="28" t="s">
        <v>72</v>
      </c>
      <c r="G9" s="30">
        <v>1</v>
      </c>
      <c r="H9" s="28" t="s">
        <v>20</v>
      </c>
      <c r="I9" s="31" t="s">
        <v>92</v>
      </c>
    </row>
    <row r="10" spans="2:9" s="32" customFormat="1" ht="26">
      <c r="B10" s="27" t="s">
        <v>71</v>
      </c>
      <c r="C10" s="28" t="s">
        <v>78</v>
      </c>
      <c r="D10" s="29" t="s">
        <v>93</v>
      </c>
      <c r="E10" s="30" t="s">
        <v>40</v>
      </c>
      <c r="F10" s="28" t="s">
        <v>72</v>
      </c>
      <c r="G10" s="30">
        <v>1.5</v>
      </c>
      <c r="H10" s="28" t="s">
        <v>20</v>
      </c>
      <c r="I10" s="31" t="s">
        <v>94</v>
      </c>
    </row>
    <row r="11" spans="2:9" s="32" customFormat="1" ht="52">
      <c r="B11" s="27" t="s">
        <v>71</v>
      </c>
      <c r="C11" s="28" t="s">
        <v>14</v>
      </c>
      <c r="D11" s="29" t="s">
        <v>95</v>
      </c>
      <c r="E11" s="30" t="s">
        <v>40</v>
      </c>
      <c r="F11" s="28" t="s">
        <v>72</v>
      </c>
      <c r="G11" s="30">
        <v>3.5</v>
      </c>
      <c r="H11" s="28" t="s">
        <v>20</v>
      </c>
      <c r="I11" s="31" t="s">
        <v>96</v>
      </c>
    </row>
    <row r="12" spans="2:9" s="32" customFormat="1" ht="26">
      <c r="B12" s="27" t="s">
        <v>71</v>
      </c>
      <c r="C12" s="28" t="s">
        <v>14</v>
      </c>
      <c r="D12" s="29" t="s">
        <v>97</v>
      </c>
      <c r="E12" s="30" t="s">
        <v>40</v>
      </c>
      <c r="F12" s="28" t="s">
        <v>72</v>
      </c>
      <c r="G12" s="30">
        <v>1</v>
      </c>
      <c r="H12" s="28" t="s">
        <v>20</v>
      </c>
      <c r="I12" s="31" t="s">
        <v>98</v>
      </c>
    </row>
    <row r="13" spans="2:9" s="32" customFormat="1" ht="26">
      <c r="B13" s="27" t="s">
        <v>71</v>
      </c>
      <c r="C13" s="28" t="s">
        <v>14</v>
      </c>
      <c r="D13" s="29" t="s">
        <v>99</v>
      </c>
      <c r="E13" s="30" t="s">
        <v>40</v>
      </c>
      <c r="F13" s="28" t="s">
        <v>72</v>
      </c>
      <c r="G13" s="30">
        <v>0.8</v>
      </c>
      <c r="H13" s="28" t="s">
        <v>20</v>
      </c>
      <c r="I13" s="31" t="s">
        <v>100</v>
      </c>
    </row>
    <row r="14" spans="2:9" s="32" customFormat="1" ht="26">
      <c r="B14" s="27" t="s">
        <v>71</v>
      </c>
      <c r="C14" s="28" t="s">
        <v>14</v>
      </c>
      <c r="D14" s="29" t="s">
        <v>101</v>
      </c>
      <c r="E14" s="30" t="s">
        <v>40</v>
      </c>
      <c r="F14" s="28" t="s">
        <v>72</v>
      </c>
      <c r="G14" s="30">
        <v>0.8</v>
      </c>
      <c r="H14" s="28" t="s">
        <v>20</v>
      </c>
      <c r="I14" s="31" t="s">
        <v>102</v>
      </c>
    </row>
    <row r="15" spans="2:9" s="32" customFormat="1" ht="26">
      <c r="B15" s="27" t="s">
        <v>71</v>
      </c>
      <c r="C15" s="28" t="s">
        <v>14</v>
      </c>
      <c r="D15" s="29" t="s">
        <v>103</v>
      </c>
      <c r="E15" s="30" t="s">
        <v>40</v>
      </c>
      <c r="F15" s="28" t="s">
        <v>72</v>
      </c>
      <c r="G15" s="30">
        <v>0.8</v>
      </c>
      <c r="H15" s="28" t="s">
        <v>20</v>
      </c>
      <c r="I15" s="31" t="s">
        <v>104</v>
      </c>
    </row>
    <row r="16" spans="2:9" s="32" customFormat="1" ht="65">
      <c r="B16" s="27" t="s">
        <v>71</v>
      </c>
      <c r="C16" s="28" t="s">
        <v>14</v>
      </c>
      <c r="D16" s="29" t="s">
        <v>90</v>
      </c>
      <c r="E16" s="30" t="s">
        <v>40</v>
      </c>
      <c r="F16" s="28" t="s">
        <v>72</v>
      </c>
      <c r="G16" s="30">
        <v>3</v>
      </c>
      <c r="H16" s="28" t="s">
        <v>20</v>
      </c>
      <c r="I16" s="31" t="s">
        <v>105</v>
      </c>
    </row>
    <row r="17" spans="2:9" s="32" customFormat="1" ht="78">
      <c r="B17" s="27" t="s">
        <v>71</v>
      </c>
      <c r="C17" s="28" t="s">
        <v>14</v>
      </c>
      <c r="D17" s="29" t="s">
        <v>86</v>
      </c>
      <c r="E17" s="30" t="s">
        <v>40</v>
      </c>
      <c r="F17" s="28" t="s">
        <v>72</v>
      </c>
      <c r="G17" s="30">
        <v>8.5</v>
      </c>
      <c r="H17" s="28" t="s">
        <v>20</v>
      </c>
      <c r="I17" s="31" t="s">
        <v>87</v>
      </c>
    </row>
    <row r="18" spans="2:9" ht="26">
      <c r="B18" s="13" t="s">
        <v>71</v>
      </c>
      <c r="C18" s="11" t="s">
        <v>18</v>
      </c>
      <c r="D18" s="24" t="s">
        <v>76</v>
      </c>
      <c r="E18" s="8" t="s">
        <v>40</v>
      </c>
      <c r="F18" s="11"/>
      <c r="G18" s="8">
        <v>1</v>
      </c>
      <c r="H18" s="11" t="s">
        <v>74</v>
      </c>
      <c r="I18" s="25" t="s">
        <v>75</v>
      </c>
    </row>
    <row r="19" spans="2:9">
      <c r="B19" s="19"/>
      <c r="C19" s="20"/>
      <c r="D19" s="21"/>
      <c r="E19" s="21"/>
      <c r="F19" s="23" t="s">
        <v>66</v>
      </c>
      <c r="G19" s="37">
        <f>SUM(G3:G18)</f>
        <v>35.200000000000003</v>
      </c>
      <c r="H19" s="38"/>
      <c r="I19" s="39"/>
    </row>
    <row r="20" spans="2:9" ht="15" thickBot="1">
      <c r="B20" s="16"/>
      <c r="C20" s="17"/>
      <c r="D20" s="18"/>
      <c r="E20" s="18"/>
      <c r="F20" s="22" t="s">
        <v>67</v>
      </c>
      <c r="G20" s="34">
        <v>5</v>
      </c>
      <c r="H20" s="35"/>
      <c r="I20" s="36"/>
    </row>
    <row r="21" spans="2:9" ht="15"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2025-06-30T03:25:09Z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