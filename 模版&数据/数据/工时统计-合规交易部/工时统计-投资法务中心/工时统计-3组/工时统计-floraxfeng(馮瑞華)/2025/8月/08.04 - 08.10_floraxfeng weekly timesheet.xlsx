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FA98A9EA-C529-447E-A68F-0BBC45086010}"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<sst xmlns="http://schemas.openxmlformats.org/spreadsheetml/2006/main" count="201" uniqueCount="102">
  <si>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</si>
  <si>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</si>
  <si>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</si>
  <si>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</si>
  <si>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</si>
  <si>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</si>
  <si>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</si>
  <si>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</si>
  <si>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</si>
  <si>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</si>
  <si>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</si>
  <si>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</si>
  <si>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</si>
  <si>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</si>
  <si>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</si>
  <si>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</si>
  <si>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</si>
  <si>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</si>
  <si>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</si>
  <si>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</si>
  <si>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</si>
  <si>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</si>
  <si>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</si>
  <si>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</si>
  <si>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</si>
  <si>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</si>
  <si>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</si>
  <si>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</si>
  <si>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</si>
  <si>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</si>
  <si>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</si>
  <si>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</si>
  <si>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</si>
  <si>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</si>
  <si>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</si>
  <si>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</si>
  <si>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</si>
  <si>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</si>
  <si>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</si>
  <si>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</si>
  <si>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</si>
  <si>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</si>
  <si>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</si>
  <si>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</si>
  <si>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</si>
  <si>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</si>
  <si>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</si>
  <si>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</si>
  <si>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</si>
  <si>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</si>
  <si>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</si>
  <si>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</si>
  <si>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</si>
  <si>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</si>
  <si>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</si>
  <si>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</si>
  <si>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</si>
  <si>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</si>
  <si>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</si>
  <si>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</si>
  <si>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</si>
  <si>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</si>
  <si>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</si>
  <si>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</si>
  <si>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</si>
  <si>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</si>
  <si>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</si>
  <si>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</si>
  <si>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</si>
  <si>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</si>
  <si>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</si>
  <si>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</si>
  <si>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</si>
  <si>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</si>
  <si>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</si>
  <si>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</si>
  <si>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</si>
  <si>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蝴蝶效应</t>
  </si>
  <si>
    <t>Public - Infrastructure &amp; Guidance</t>
  </si>
  <si>
    <t>诺辉健康</t>
  </si>
  <si>
    <t>排查DI filing申报义务</t>
  </si>
  <si>
    <t>阅文</t>
  </si>
  <si>
    <t>N26</t>
  </si>
  <si>
    <t>审阅CCT公告</t>
  </si>
  <si>
    <t>Lexology文章撰写</t>
  </si>
  <si>
    <t>和律师电话讨论issues，内部讨论，撰写下一步流程</t>
  </si>
  <si>
    <t>原力动画</t>
  </si>
  <si>
    <t>Congenica</t>
  </si>
  <si>
    <t>审阅签字版TS、draft SHA amendment letter及更新稿文件。和MA和律师讨论相关问题和issue。发送邮件给Hedo。</t>
  </si>
  <si>
    <t>审阅并final Lexology文章</t>
  </si>
  <si>
    <t>deals update</t>
  </si>
  <si>
    <t>更新deals update</t>
  </si>
  <si>
    <t>审阅公司发来对确认函的更新，和公司及律师讨论，和MA讨论。</t>
  </si>
  <si>
    <t>跟进交割文件寄送</t>
  </si>
  <si>
    <t>Monzo</t>
  </si>
  <si>
    <t>审阅KYC问题回复并同步TPP团队</t>
  </si>
  <si>
    <t>Sunday</t>
  </si>
  <si>
    <t>审阅重组交割文件并和律师跟进全套文件进展</t>
  </si>
  <si>
    <t>就开庭出席凌汛相关确认提供回复。审阅庭审笔记并提问、和律师讨论。审阅公司最新公告并同步deal team和律师。</t>
  </si>
  <si>
    <t>审阅公司律师发来关于小股东异议的邮件。同步团队</t>
  </si>
  <si>
    <t>培训资料准备</t>
  </si>
  <si>
    <t>准备size test培训大纲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</si>
</sst>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zoomScaleNormal="100" workbookViewId="0">
      <selection activeCell="F21" sqref="F21"/>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26">
      <c r="B4" s="27" t="s">
        <v>71</v>
      </c>
      <c r="C4" s="28" t="s">
        <v>14</v>
      </c>
      <c r="D4" s="33" t="s">
        <v>77</v>
      </c>
      <c r="E4" s="30" t="s">
        <v>40</v>
      </c>
      <c r="F4" s="28" t="s">
        <v>72</v>
      </c>
      <c r="G4" s="30">
        <v>0.5</v>
      </c>
      <c r="H4" s="28" t="s">
        <v>20</v>
      </c>
      <c r="I4" s="31" t="s">
        <v>93</v>
      </c>
    </row>
    <row r="5" spans="2:9" s="32" customFormat="1" ht="26">
      <c r="B5" s="27" t="s">
        <v>71</v>
      </c>
      <c r="C5" s="28" t="s">
        <v>15</v>
      </c>
      <c r="D5" s="33" t="s">
        <v>86</v>
      </c>
      <c r="E5" s="30" t="s">
        <v>40</v>
      </c>
      <c r="F5" s="28" t="s">
        <v>72</v>
      </c>
      <c r="G5" s="30">
        <v>3.5</v>
      </c>
      <c r="H5" s="28" t="s">
        <v>20</v>
      </c>
      <c r="I5" s="31" t="s">
        <v>92</v>
      </c>
    </row>
    <row r="6" spans="2:9" s="32" customFormat="1" ht="39">
      <c r="B6" s="27" t="s">
        <v>71</v>
      </c>
      <c r="C6" s="28" t="s">
        <v>16</v>
      </c>
      <c r="D6" s="33" t="s">
        <v>82</v>
      </c>
      <c r="E6" s="30" t="s">
        <v>40</v>
      </c>
      <c r="F6" s="28" t="s">
        <v>72</v>
      </c>
      <c r="G6" s="30">
        <v>9</v>
      </c>
      <c r="H6" s="28" t="s">
        <v>20</v>
      </c>
      <c r="I6" s="31" t="s">
        <v>88</v>
      </c>
    </row>
    <row r="7" spans="2:9" s="32" customFormat="1" ht="26">
      <c r="B7" s="27" t="s">
        <v>71</v>
      </c>
      <c r="C7" s="28" t="s">
        <v>16</v>
      </c>
      <c r="D7" s="33" t="s">
        <v>94</v>
      </c>
      <c r="E7" s="30" t="s">
        <v>40</v>
      </c>
      <c r="F7" s="28" t="s">
        <v>72</v>
      </c>
      <c r="G7" s="30">
        <v>1</v>
      </c>
      <c r="H7" s="28" t="s">
        <v>20</v>
      </c>
      <c r="I7" s="31" t="s">
        <v>95</v>
      </c>
    </row>
    <row r="8" spans="2:9" s="32" customFormat="1" ht="26">
      <c r="B8" s="27" t="s">
        <v>71</v>
      </c>
      <c r="C8" s="28" t="s">
        <v>16</v>
      </c>
      <c r="D8" s="33" t="s">
        <v>87</v>
      </c>
      <c r="E8" s="30" t="s">
        <v>40</v>
      </c>
      <c r="F8" s="28" t="s">
        <v>72</v>
      </c>
      <c r="G8" s="30">
        <v>1</v>
      </c>
      <c r="H8" s="28" t="s">
        <v>20</v>
      </c>
      <c r="I8" s="31" t="s">
        <v>99</v>
      </c>
    </row>
    <row r="9" spans="2:9" s="32" customFormat="1" ht="26">
      <c r="B9" s="27" t="s">
        <v>71</v>
      </c>
      <c r="C9" s="28" t="s">
        <v>78</v>
      </c>
      <c r="D9" s="33" t="s">
        <v>80</v>
      </c>
      <c r="E9" s="30" t="s">
        <v>40</v>
      </c>
      <c r="F9" s="28" t="s">
        <v>72</v>
      </c>
      <c r="G9" s="30">
        <v>8.5</v>
      </c>
      <c r="H9" s="28" t="s">
        <v>20</v>
      </c>
      <c r="I9" s="31" t="s">
        <v>85</v>
      </c>
    </row>
    <row r="10" spans="2:9" s="32" customFormat="1" ht="26">
      <c r="B10" s="27" t="s">
        <v>71</v>
      </c>
      <c r="C10" s="28" t="s">
        <v>14</v>
      </c>
      <c r="D10" s="33" t="s">
        <v>96</v>
      </c>
      <c r="E10" s="30" t="s">
        <v>40</v>
      </c>
      <c r="F10" s="28" t="s">
        <v>72</v>
      </c>
      <c r="G10" s="30">
        <v>0.8</v>
      </c>
      <c r="H10" s="28" t="s">
        <v>20</v>
      </c>
      <c r="I10" s="31" t="s">
        <v>97</v>
      </c>
    </row>
    <row r="11" spans="2:9" s="32" customFormat="1" ht="39">
      <c r="B11" s="27" t="s">
        <v>71</v>
      </c>
      <c r="C11" s="28" t="s">
        <v>14</v>
      </c>
      <c r="D11" s="29" t="s">
        <v>79</v>
      </c>
      <c r="E11" s="30" t="s">
        <v>40</v>
      </c>
      <c r="F11" s="28" t="s">
        <v>72</v>
      </c>
      <c r="G11" s="30">
        <v>4</v>
      </c>
      <c r="H11" s="28" t="s">
        <v>20</v>
      </c>
      <c r="I11" s="31" t="s">
        <v>98</v>
      </c>
    </row>
    <row r="12" spans="2:9" s="32" customFormat="1" ht="26">
      <c r="B12" s="27" t="s">
        <v>71</v>
      </c>
      <c r="C12" s="28" t="s">
        <v>16</v>
      </c>
      <c r="D12" s="29" t="s">
        <v>81</v>
      </c>
      <c r="E12" s="30" t="s">
        <v>40</v>
      </c>
      <c r="F12" s="28" t="s">
        <v>72</v>
      </c>
      <c r="G12" s="30">
        <v>1</v>
      </c>
      <c r="H12" s="28" t="s">
        <v>20</v>
      </c>
      <c r="I12" s="31" t="s">
        <v>83</v>
      </c>
    </row>
    <row r="13" spans="2:9" s="32" customFormat="1">
      <c r="B13" s="27" t="s">
        <v>71</v>
      </c>
      <c r="C13" s="28" t="s">
        <v>78</v>
      </c>
      <c r="D13" s="29" t="s">
        <v>100</v>
      </c>
      <c r="E13" s="30" t="s">
        <v>27</v>
      </c>
      <c r="F13" s="28"/>
      <c r="G13" s="30">
        <v>1.5</v>
      </c>
      <c r="H13" s="28" t="s">
        <v>22</v>
      </c>
      <c r="I13" s="31" t="s">
        <v>101</v>
      </c>
    </row>
    <row r="14" spans="2:9" ht="26">
      <c r="B14" s="13" t="s">
        <v>71</v>
      </c>
      <c r="C14" s="34" t="s">
        <v>18</v>
      </c>
      <c r="D14" s="24" t="s">
        <v>84</v>
      </c>
      <c r="E14" s="24" t="s">
        <v>40</v>
      </c>
      <c r="F14" s="34"/>
      <c r="G14" s="24">
        <v>0.8</v>
      </c>
      <c r="H14" s="34" t="s">
        <v>74</v>
      </c>
      <c r="I14" s="25" t="s">
        <v>89</v>
      </c>
    </row>
    <row r="15" spans="2:9" ht="26">
      <c r="B15" s="13" t="s">
        <v>71</v>
      </c>
      <c r="C15" s="34" t="s">
        <v>18</v>
      </c>
      <c r="D15" s="24" t="s">
        <v>90</v>
      </c>
      <c r="E15" s="24" t="s">
        <v>40</v>
      </c>
      <c r="F15" s="34"/>
      <c r="G15" s="24">
        <v>0.6</v>
      </c>
      <c r="H15" s="34" t="s">
        <v>74</v>
      </c>
      <c r="I15" s="25" t="s">
        <v>91</v>
      </c>
    </row>
    <row r="16" spans="2:9" ht="26">
      <c r="B16" s="13" t="s">
        <v>71</v>
      </c>
      <c r="C16" s="11" t="s">
        <v>18</v>
      </c>
      <c r="D16" s="24" t="s">
        <v>76</v>
      </c>
      <c r="E16" s="8" t="s">
        <v>40</v>
      </c>
      <c r="F16" s="11"/>
      <c r="G16" s="8">
        <v>1</v>
      </c>
      <c r="H16" s="11" t="s">
        <v>74</v>
      </c>
      <c r="I16" s="25" t="s">
        <v>75</v>
      </c>
    </row>
    <row r="17" spans="2:9">
      <c r="B17" s="19"/>
      <c r="C17" s="20"/>
      <c r="D17" s="21"/>
      <c r="E17" s="21"/>
      <c r="F17" s="23" t="s">
        <v>66</v>
      </c>
      <c r="G17" s="38">
        <f>SUM(G3:G16)</f>
        <v>33.200000000000003</v>
      </c>
      <c r="H17" s="39"/>
      <c r="I17" s="40"/>
    </row>
    <row r="18" spans="2:9" ht="15" thickBot="1">
      <c r="B18" s="16"/>
      <c r="C18" s="17"/>
      <c r="D18" s="18"/>
      <c r="E18" s="18"/>
      <c r="F18" s="22" t="s">
        <v>67</v>
      </c>
      <c r="G18" s="35">
        <v>5</v>
      </c>
      <c r="H18" s="36"/>
      <c r="I18" s="37"/>
    </row>
    <row r="19" spans="2:9" ht="15"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E16:E18 E4:E13</xm:sqref>
        </x14:dataValidation>
        <x14:dataValidation type="list" allowBlank="1" showInputMessage="1" showErrorMessage="1" xr:uid="{00000000-0002-0000-0000-000002000000}">
          <x14:formula1>
            <xm:f>数据标签!$B$2:$H$2</xm:f>
          </x14:formula1>
          <xm:sqref>C16:C18 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2025-08-11T10:02:04Z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