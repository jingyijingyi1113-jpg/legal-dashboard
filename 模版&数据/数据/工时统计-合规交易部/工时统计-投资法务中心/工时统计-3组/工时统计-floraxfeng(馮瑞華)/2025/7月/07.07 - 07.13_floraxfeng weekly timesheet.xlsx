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415A805F-5A4D-4EAB-BEF0-467388872499}" xr6:coauthVersionLast="47" xr6:coauthVersionMax="47" xr10:uidLastSave="{00000000-0000-0000-0000-000000000000}"/>
  <bookViews>
    <workbookView xWindow="-120" yWindow="-120" windowWidth="19440" windowHeight="116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<sst xmlns="http://schemas.openxmlformats.org/spreadsheetml/2006/main" count="195" uniqueCount="100">
  <si>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</si>
  <si>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</si>
  <si>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</si>
  <si>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</si>
  <si>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</si>
  <si>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</si>
  <si>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</si>
  <si>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</si>
  <si>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</si>
  <si>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</si>
  <si>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</si>
  <si>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</si>
  <si>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</si>
  <si>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</si>
  <si>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</si>
  <si>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</si>
  <si>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</si>
  <si>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</si>
  <si>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</si>
  <si>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</si>
  <si>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</si>
  <si>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</si>
  <si>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</si>
  <si>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</si>
  <si>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</si>
  <si>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</si>
  <si>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</si>
  <si>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</si>
  <si>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</si>
  <si>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</si>
  <si>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</si>
  <si>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</si>
  <si>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</si>
  <si>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</si>
  <si>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</si>
  <si>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</si>
  <si>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</si>
  <si>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</si>
  <si>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</si>
  <si>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</si>
  <si>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</si>
  <si>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</si>
  <si>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</si>
  <si>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</si>
  <si>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</si>
  <si>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</si>
  <si>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</si>
  <si>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</si>
  <si>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</si>
  <si>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</si>
  <si>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</si>
  <si>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</si>
  <si>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</si>
  <si>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</si>
  <si>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</si>
  <si>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</si>
  <si>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</si>
  <si>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</si>
  <si>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</si>
  <si>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</si>
  <si>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</si>
  <si>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</si>
  <si>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</si>
  <si>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</si>
  <si>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</si>
  <si>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</si>
  <si>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</si>
  <si>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</si>
  <si>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</si>
  <si>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</si>
  <si>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</si>
  <si>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</si>
  <si>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</si>
  <si>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</si>
  <si>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</si>
  <si>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</si>
  <si>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</si>
  <si>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</si>
  <si>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</si>
  <si>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诺辉健康</t>
  </si>
  <si>
    <t>Congenica</t>
  </si>
  <si>
    <t>律所账单</t>
  </si>
  <si>
    <t>审阅账单、发送审批邮件并发起支付。填写Q2律师费表格。</t>
  </si>
  <si>
    <t>排查DI filing申报义务</t>
  </si>
  <si>
    <t>Sunday</t>
  </si>
  <si>
    <t>中文在线</t>
  </si>
  <si>
    <t>审阅公司发来的closing deliverables，核对董事。协助新董事重新签署文件。</t>
  </si>
  <si>
    <t>审阅团队反馈信息并汇总到大表格</t>
  </si>
  <si>
    <t>审阅GO Loan F tranche文件，同步团队并协助签署。</t>
  </si>
  <si>
    <t>和公司电话讨论减持计划，审阅并修改减持计划表。</t>
  </si>
  <si>
    <t>与MA电话讨论现状，与开曼律师电话讨论各项options，并撰写回复给MA。</t>
  </si>
  <si>
    <t>Crossmint</t>
  </si>
  <si>
    <t>与MA讨论refresh CFIUS分析。审阅此前的CFIUS分析和结论，发送邮件给律师。</t>
  </si>
  <si>
    <t>Clark</t>
  </si>
  <si>
    <t>审阅EGM文件和SB resolution。</t>
  </si>
  <si>
    <t>MD Pictures</t>
  </si>
  <si>
    <t>deal team讨论拟议rights 出售、股份出售和rights行权及是否触发披露义务。与律师邮件往来讨论并反馈deal team。</t>
  </si>
  <si>
    <t>审阅SPA、contribution agreement、Noteholders Rep Agreement、deed of termination等交易文件修改稿和issue list，mark up issue list并反馈deal team。发送consolidated issue list给律师，和律师讨论。</t>
  </si>
  <si>
    <t>董事培训材料准备</t>
  </si>
  <si>
    <t>准备董事培训PPT材料和script稿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</si>
</sst>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F5" sqref="F5"/>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14</v>
      </c>
      <c r="D4" s="33" t="s">
        <v>77</v>
      </c>
      <c r="E4" s="30" t="s">
        <v>40</v>
      </c>
      <c r="F4" s="28" t="s">
        <v>72</v>
      </c>
      <c r="G4" s="30">
        <v>1</v>
      </c>
      <c r="H4" s="28" t="s">
        <v>20</v>
      </c>
      <c r="I4" s="31" t="s">
        <v>86</v>
      </c>
    </row>
    <row r="5" spans="2:9" s="32" customFormat="1" ht="65">
      <c r="B5" s="27" t="s">
        <v>71</v>
      </c>
      <c r="C5" s="28" t="s">
        <v>14</v>
      </c>
      <c r="D5" s="29" t="s">
        <v>80</v>
      </c>
      <c r="E5" s="30" t="s">
        <v>40</v>
      </c>
      <c r="F5" s="28" t="s">
        <v>72</v>
      </c>
      <c r="G5" s="30">
        <v>6.5</v>
      </c>
      <c r="H5" s="28" t="s">
        <v>20</v>
      </c>
      <c r="I5" s="31" t="s">
        <v>97</v>
      </c>
    </row>
    <row r="6" spans="2:9" s="32" customFormat="1" ht="26">
      <c r="B6" s="27" t="s">
        <v>71</v>
      </c>
      <c r="C6" s="28" t="s">
        <v>16</v>
      </c>
      <c r="D6" s="29" t="s">
        <v>84</v>
      </c>
      <c r="E6" s="30" t="s">
        <v>40</v>
      </c>
      <c r="F6" s="28" t="s">
        <v>72</v>
      </c>
      <c r="G6" s="30">
        <v>2</v>
      </c>
      <c r="H6" s="28" t="s">
        <v>20</v>
      </c>
      <c r="I6" s="31" t="s">
        <v>88</v>
      </c>
    </row>
    <row r="7" spans="2:9" s="32" customFormat="1" ht="26">
      <c r="B7" s="27" t="s">
        <v>71</v>
      </c>
      <c r="C7" s="28" t="s">
        <v>16</v>
      </c>
      <c r="D7" s="33" t="s">
        <v>93</v>
      </c>
      <c r="E7" s="30" t="s">
        <v>40</v>
      </c>
      <c r="F7" s="28" t="s">
        <v>72</v>
      </c>
      <c r="G7" s="30">
        <v>1</v>
      </c>
      <c r="H7" s="28" t="s">
        <v>20</v>
      </c>
      <c r="I7" s="31" t="s">
        <v>94</v>
      </c>
    </row>
    <row r="8" spans="2:9" s="32" customFormat="1" ht="26">
      <c r="B8" s="27" t="s">
        <v>71</v>
      </c>
      <c r="C8" s="28" t="s">
        <v>78</v>
      </c>
      <c r="D8" s="33" t="s">
        <v>83</v>
      </c>
      <c r="E8" s="30" t="s">
        <v>40</v>
      </c>
      <c r="F8" s="28" t="s">
        <v>72</v>
      </c>
      <c r="G8" s="30">
        <v>5</v>
      </c>
      <c r="H8" s="28" t="s">
        <v>20</v>
      </c>
      <c r="I8" s="31" t="s">
        <v>87</v>
      </c>
    </row>
    <row r="9" spans="2:9" s="32" customFormat="1" ht="26">
      <c r="B9" s="27" t="s">
        <v>71</v>
      </c>
      <c r="C9" s="28" t="s">
        <v>14</v>
      </c>
      <c r="D9" s="29" t="s">
        <v>79</v>
      </c>
      <c r="E9" s="30" t="s">
        <v>40</v>
      </c>
      <c r="F9" s="28" t="s">
        <v>72</v>
      </c>
      <c r="G9" s="30">
        <v>5</v>
      </c>
      <c r="H9" s="28" t="s">
        <v>20</v>
      </c>
      <c r="I9" s="31" t="s">
        <v>90</v>
      </c>
    </row>
    <row r="10" spans="2:9" s="32" customFormat="1" ht="26">
      <c r="B10" s="27" t="s">
        <v>71</v>
      </c>
      <c r="C10" s="28" t="s">
        <v>14</v>
      </c>
      <c r="D10" s="29" t="s">
        <v>85</v>
      </c>
      <c r="E10" s="30" t="s">
        <v>40</v>
      </c>
      <c r="F10" s="28" t="s">
        <v>72</v>
      </c>
      <c r="G10" s="30">
        <v>1</v>
      </c>
      <c r="H10" s="28" t="s">
        <v>20</v>
      </c>
      <c r="I10" s="31" t="s">
        <v>89</v>
      </c>
    </row>
    <row r="11" spans="2:9" s="32" customFormat="1" ht="39">
      <c r="B11" s="27" t="s">
        <v>71</v>
      </c>
      <c r="C11" s="28" t="s">
        <v>14</v>
      </c>
      <c r="D11" s="29" t="s">
        <v>95</v>
      </c>
      <c r="E11" s="30" t="s">
        <v>40</v>
      </c>
      <c r="F11" s="28" t="s">
        <v>72</v>
      </c>
      <c r="G11" s="30">
        <v>3</v>
      </c>
      <c r="H11" s="28" t="s">
        <v>20</v>
      </c>
      <c r="I11" s="31" t="s">
        <v>96</v>
      </c>
    </row>
    <row r="12" spans="2:9" s="32" customFormat="1" ht="39">
      <c r="B12" s="27" t="s">
        <v>71</v>
      </c>
      <c r="C12" s="28" t="s">
        <v>14</v>
      </c>
      <c r="D12" s="29" t="s">
        <v>91</v>
      </c>
      <c r="E12" s="30" t="s">
        <v>40</v>
      </c>
      <c r="F12" s="28" t="s">
        <v>72</v>
      </c>
      <c r="G12" s="30">
        <v>1</v>
      </c>
      <c r="H12" s="28" t="s">
        <v>20</v>
      </c>
      <c r="I12" s="31" t="s">
        <v>92</v>
      </c>
    </row>
    <row r="13" spans="2:9" ht="26">
      <c r="B13" s="13" t="s">
        <v>71</v>
      </c>
      <c r="C13" s="11" t="s">
        <v>18</v>
      </c>
      <c r="D13" s="24" t="s">
        <v>81</v>
      </c>
      <c r="E13" s="8" t="s">
        <v>40</v>
      </c>
      <c r="F13" s="11"/>
      <c r="G13" s="8">
        <v>2</v>
      </c>
      <c r="H13" s="11" t="s">
        <v>74</v>
      </c>
      <c r="I13" s="25" t="s">
        <v>82</v>
      </c>
    </row>
    <row r="14" spans="2:9" ht="26">
      <c r="B14" s="13" t="s">
        <v>71</v>
      </c>
      <c r="C14" s="11" t="s">
        <v>18</v>
      </c>
      <c r="D14" s="24" t="s">
        <v>98</v>
      </c>
      <c r="E14" s="8" t="s">
        <v>40</v>
      </c>
      <c r="F14" s="11"/>
      <c r="G14" s="8">
        <v>3</v>
      </c>
      <c r="H14" s="11" t="s">
        <v>74</v>
      </c>
      <c r="I14" s="25" t="s">
        <v>99</v>
      </c>
    </row>
    <row r="15" spans="2:9" ht="26">
      <c r="B15" s="13" t="s">
        <v>71</v>
      </c>
      <c r="C15" s="11" t="s">
        <v>18</v>
      </c>
      <c r="D15" s="24" t="s">
        <v>76</v>
      </c>
      <c r="E15" s="8" t="s">
        <v>40</v>
      </c>
      <c r="F15" s="11"/>
      <c r="G15" s="8">
        <v>1</v>
      </c>
      <c r="H15" s="11" t="s">
        <v>74</v>
      </c>
      <c r="I15" s="25" t="s">
        <v>75</v>
      </c>
    </row>
    <row r="16" spans="2:9">
      <c r="B16" s="19"/>
      <c r="C16" s="20"/>
      <c r="D16" s="21"/>
      <c r="E16" s="21"/>
      <c r="F16" s="23" t="s">
        <v>66</v>
      </c>
      <c r="G16" s="37">
        <f>SUM(G3:G15)</f>
        <v>31.5</v>
      </c>
      <c r="H16" s="38"/>
      <c r="I16" s="39"/>
    </row>
    <row r="17" spans="2:9" ht="15" thickBot="1">
      <c r="B17" s="16"/>
      <c r="C17" s="17"/>
      <c r="D17" s="18"/>
      <c r="E17" s="18"/>
      <c r="F17" s="22" t="s">
        <v>67</v>
      </c>
      <c r="G17" s="34">
        <v>5</v>
      </c>
      <c r="H17" s="35"/>
      <c r="I17" s="36"/>
    </row>
    <row r="18" spans="2:9" ht="1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2025-07-14T08:06:34Z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