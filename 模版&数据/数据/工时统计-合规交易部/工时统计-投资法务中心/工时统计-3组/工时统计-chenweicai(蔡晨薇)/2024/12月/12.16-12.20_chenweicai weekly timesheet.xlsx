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7A176B29-7296-438D-B300-C571AC6EA02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<sst xmlns="http://schemas.openxmlformats.org/spreadsheetml/2006/main" count="164" uniqueCount="87">
  <si>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</si>
  <si>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</si>
  <si>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</si>
  <si>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</si>
  <si>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</si>
  <si>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</si>
  <si>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</si>
  <si>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</si>
  <si>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</si>
  <si>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</si>
  <si>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</si>
  <si>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</si>
  <si>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</si>
  <si>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</si>
  <si>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</si>
  <si>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</si>
  <si>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</si>
  <si>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</si>
  <si>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</si>
  <si>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</si>
  <si>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</si>
  <si>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</si>
  <si>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</si>
  <si>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</si>
  <si>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</si>
  <si>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</si>
  <si>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</si>
  <si>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</si>
  <si>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</si>
  <si>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</si>
  <si>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</si>
  <si>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</si>
  <si>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</si>
  <si>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</si>
  <si>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</si>
  <si>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</si>
  <si>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</si>
  <si>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</si>
  <si>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</si>
  <si>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</si>
  <si>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</si>
  <si>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</si>
  <si>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</si>
  <si>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</si>
  <si>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</si>
  <si>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</si>
  <si>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</si>
  <si>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</si>
  <si>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</si>
  <si>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</si>
  <si>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</si>
  <si>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</si>
  <si>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</si>
  <si>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</si>
  <si>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</si>
  <si>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</si>
  <si>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</si>
  <si>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</si>
  <si>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</si>
  <si>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</si>
  <si>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</si>
  <si>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</si>
  <si>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</si>
  <si>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</si>
  <si>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</si>
  <si>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</si>
  <si>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</si>
  <si>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</si>
  <si>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</si>
  <si>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</si>
  <si>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</si>
  <si>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</si>
  <si>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</si>
  <si>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</si>
  <si>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</si>
  <si>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和Yan讨论FDI方案；沟通反垄断分析；沟通迪拜律师工作范围和工作分配; 和律师沟通迪拜主体设立建议；和律师沟通FDI方案；审阅DPA TS的修改点；weekly call；审阅律师修改后的交易文件；总结并内部收集意见</t>
    <phoneticPr fontId="7" type="noConversion"/>
  </si>
  <si>
    <t>PICOOC</t>
    <phoneticPr fontId="7" type="noConversion"/>
  </si>
  <si>
    <t>审阅老股东转股事项; 审阅老股转让协议、关联方关系证明</t>
    <phoneticPr fontId="7" type="noConversion"/>
  </si>
  <si>
    <t>review documents as Jed's request</t>
    <phoneticPr fontId="7" type="noConversion"/>
  </si>
  <si>
    <t>TS模板</t>
    <phoneticPr fontId="7" type="noConversion"/>
  </si>
  <si>
    <t>审阅境外英文TS模板进一步修改</t>
    <phoneticPr fontId="7" type="noConversion"/>
  </si>
  <si>
    <t>按照Mia的要求填写Voodoo和TRITERNION两家投资公司放弃董事席位的影响评估表格</t>
    <phoneticPr fontId="7" type="noConversion"/>
  </si>
  <si>
    <t>海外投资合规管理 Overseas investment compliance management</t>
  </si>
  <si>
    <t>总结管理节点填表</t>
    <phoneticPr fontId="7" type="noConversion"/>
  </si>
  <si>
    <t>Recording/reviewing deals updates/weekly time reports/other team summaries</t>
  </si>
  <si>
    <t>记录工作小时及deal updates</t>
    <phoneticPr fontId="7" type="noConversion"/>
  </si>
  <si>
    <t>收集、沟通各个项目律师费和账单草稿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</si>
</sst>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Normal="100" workbookViewId="0">
      <selection activeCell="B4" sqref="B4"/>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63" x14ac:dyDescent="0.5">
      <c r="B4" s="16" t="s">
        <v>72</v>
      </c>
      <c r="C4" s="14" t="s">
        <v>14</v>
      </c>
      <c r="D4" s="35" t="s">
        <v>73</v>
      </c>
      <c r="E4" s="9" t="s">
        <v>40</v>
      </c>
      <c r="F4" s="14" t="s">
        <v>74</v>
      </c>
      <c r="G4" s="9">
        <v>11.2</v>
      </c>
      <c r="H4" s="14" t="s">
        <v>20</v>
      </c>
      <c r="I4" s="37" t="s">
        <v>75</v>
      </c>
    </row>
    <row r="5" spans="2:9" ht="25.2" x14ac:dyDescent="0.5">
      <c r="B5" s="16" t="s">
        <v>72</v>
      </c>
      <c r="C5" s="14" t="s">
        <v>16</v>
      </c>
      <c r="D5" s="35" t="s">
        <v>76</v>
      </c>
      <c r="E5" s="9" t="s">
        <v>40</v>
      </c>
      <c r="F5" s="14" t="s">
        <v>74</v>
      </c>
      <c r="G5" s="9">
        <v>4.5</v>
      </c>
      <c r="H5" s="14" t="s">
        <v>20</v>
      </c>
      <c r="I5" s="37" t="s">
        <v>77</v>
      </c>
    </row>
    <row r="6" spans="2:9" x14ac:dyDescent="0.5">
      <c r="B6" s="16" t="s">
        <v>72</v>
      </c>
      <c r="C6" s="14" t="s">
        <v>16</v>
      </c>
      <c r="D6" s="9"/>
      <c r="E6" s="9" t="s">
        <v>27</v>
      </c>
      <c r="F6" s="14"/>
      <c r="G6" s="9">
        <v>2.5</v>
      </c>
      <c r="H6" s="14" t="s">
        <v>20</v>
      </c>
      <c r="I6" s="36" t="s">
        <v>78</v>
      </c>
    </row>
    <row r="7" spans="2:9" ht="25.2" x14ac:dyDescent="0.5">
      <c r="B7" s="16" t="s">
        <v>72</v>
      </c>
      <c r="C7" s="14" t="s">
        <v>14</v>
      </c>
      <c r="D7" s="35" t="s">
        <v>79</v>
      </c>
      <c r="E7" s="9" t="s">
        <v>40</v>
      </c>
      <c r="F7" s="14" t="s">
        <v>74</v>
      </c>
      <c r="G7" s="9">
        <v>1.7</v>
      </c>
      <c r="H7" s="14" t="s">
        <v>20</v>
      </c>
      <c r="I7" s="36" t="s">
        <v>80</v>
      </c>
    </row>
    <row r="8" spans="2:9" ht="25.2" x14ac:dyDescent="0.5">
      <c r="B8" s="16" t="s">
        <v>72</v>
      </c>
      <c r="C8" s="14" t="s">
        <v>14</v>
      </c>
      <c r="D8" s="9"/>
      <c r="E8" s="9" t="s">
        <v>40</v>
      </c>
      <c r="F8" s="14" t="s">
        <v>82</v>
      </c>
      <c r="G8" s="9">
        <v>2.2999999999999998</v>
      </c>
      <c r="H8" s="14" t="s">
        <v>27</v>
      </c>
      <c r="I8" s="37" t="s">
        <v>81</v>
      </c>
    </row>
    <row r="9" spans="2:9" ht="25.2" x14ac:dyDescent="0.5">
      <c r="B9" s="16" t="s">
        <v>72</v>
      </c>
      <c r="C9" s="14" t="s">
        <v>14</v>
      </c>
      <c r="D9" s="9"/>
      <c r="E9" s="9" t="s">
        <v>40</v>
      </c>
      <c r="F9" s="14" t="s">
        <v>74</v>
      </c>
      <c r="G9" s="9">
        <v>3.8</v>
      </c>
      <c r="H9" s="14" t="s">
        <v>27</v>
      </c>
      <c r="I9" s="36" t="s">
        <v>83</v>
      </c>
    </row>
    <row r="10" spans="2:9" ht="25.2" x14ac:dyDescent="0.5">
      <c r="B10" s="16" t="s">
        <v>72</v>
      </c>
      <c r="C10" s="14" t="s">
        <v>18</v>
      </c>
      <c r="D10" s="9"/>
      <c r="E10" s="9" t="s">
        <v>40</v>
      </c>
      <c r="F10" s="14" t="s">
        <v>74</v>
      </c>
      <c r="G10" s="9">
        <v>0.5</v>
      </c>
      <c r="H10" s="14" t="s">
        <v>38</v>
      </c>
      <c r="I10" s="36" t="s">
        <v>86</v>
      </c>
    </row>
    <row r="11" spans="2:9" ht="25.2" x14ac:dyDescent="0.5">
      <c r="B11" s="16" t="s">
        <v>72</v>
      </c>
      <c r="C11" s="14" t="s">
        <v>18</v>
      </c>
      <c r="D11" s="9"/>
      <c r="E11" s="9" t="s">
        <v>40</v>
      </c>
      <c r="F11" s="14" t="s">
        <v>74</v>
      </c>
      <c r="G11" s="9">
        <v>1.2</v>
      </c>
      <c r="H11" s="14" t="s">
        <v>84</v>
      </c>
      <c r="I11" s="36" t="s">
        <v>85</v>
      </c>
    </row>
    <row r="12" spans="2:9" x14ac:dyDescent="0.5">
      <c r="B12" s="8"/>
      <c r="C12" s="14"/>
      <c r="D12" s="9"/>
      <c r="E12" s="9"/>
      <c r="F12" s="14"/>
      <c r="G12" s="9"/>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24"/>
      <c r="C32" s="25"/>
      <c r="D32" s="26"/>
      <c r="E32" s="26"/>
      <c r="F32" s="28" t="s">
        <v>67</v>
      </c>
      <c r="G32" s="32">
        <f>SUM(G3:G31)</f>
        <v>27.7</v>
      </c>
      <c r="H32" s="33"/>
      <c r="I32" s="34"/>
    </row>
    <row r="33" spans="2:9" ht="14.4" thickBot="1" x14ac:dyDescent="0.55000000000000004">
      <c r="B33" s="20"/>
      <c r="C33" s="21"/>
      <c r="D33" s="22"/>
      <c r="E33" s="22"/>
      <c r="F33" s="27" t="s">
        <v>68</v>
      </c>
      <c r="G33" s="29"/>
      <c r="H33" s="30"/>
      <c r="I33" s="31"/>
    </row>
    <row r="34" spans="2:9" ht="14.4" thickTop="1" x14ac:dyDescent="0.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2024-12-23T12:09:48Z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