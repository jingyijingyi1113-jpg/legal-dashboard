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4EAD1283-7D06-4F93-AEDF-974DDCC491FE}"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<sst xmlns="http://schemas.openxmlformats.org/spreadsheetml/2006/main" count="189" uniqueCount="95">
  <si>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</si>
  <si>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</si>
  <si>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</si>
  <si>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</si>
  <si>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</si>
  <si>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</si>
  <si>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</si>
  <si>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</si>
  <si>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</si>
  <si>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</si>
  <si>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</si>
  <si>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</si>
  <si>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</si>
  <si>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</si>
  <si>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</si>
  <si>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</si>
  <si>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</si>
  <si>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</si>
  <si>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</si>
  <si>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</si>
  <si>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</si>
  <si>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</si>
  <si>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</si>
  <si>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</si>
  <si>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</si>
  <si>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</si>
  <si>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</si>
  <si>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</si>
  <si>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</si>
  <si>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</si>
  <si>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</si>
  <si>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</si>
  <si>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</si>
  <si>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</si>
  <si>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</si>
  <si>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</si>
  <si>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</si>
  <si>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</si>
  <si>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</si>
  <si>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</si>
  <si>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</si>
  <si>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</si>
  <si>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</si>
  <si>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</si>
  <si>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</si>
  <si>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</si>
  <si>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</si>
  <si>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</si>
  <si>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</si>
  <si>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</si>
  <si>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</si>
  <si>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</si>
  <si>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</si>
  <si>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</si>
  <si>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</si>
  <si>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</si>
  <si>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</si>
  <si>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</si>
  <si>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</si>
  <si>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</si>
  <si>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</si>
  <si>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</si>
  <si>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</si>
  <si>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</si>
  <si>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</si>
  <si>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</si>
  <si>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</si>
  <si>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</si>
  <si>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</si>
  <si>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</si>
  <si>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</si>
  <si>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</si>
  <si>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</si>
  <si>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</si>
  <si>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</si>
  <si>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PICOOC</t>
    <phoneticPr fontId="7" type="noConversion"/>
  </si>
  <si>
    <t>总结管理节点填表</t>
    <phoneticPr fontId="7" type="noConversion"/>
  </si>
  <si>
    <t>Recording/reviewing deals updates/weekly time reports/other team summaries</t>
  </si>
  <si>
    <t>记录工作小时及deal updates</t>
    <phoneticPr fontId="7" type="noConversion"/>
  </si>
  <si>
    <t>TGIF摘星</t>
    <phoneticPr fontId="7" type="noConversion"/>
  </si>
  <si>
    <t>光子MCN</t>
    <phoneticPr fontId="7" type="noConversion"/>
  </si>
  <si>
    <t>天美MCN</t>
    <phoneticPr fontId="7" type="noConversion"/>
  </si>
  <si>
    <t>国舜</t>
    <phoneticPr fontId="7" type="noConversion"/>
  </si>
  <si>
    <t>海南玉螺</t>
    <phoneticPr fontId="7" type="noConversion"/>
  </si>
  <si>
    <t>轻蜓</t>
    <phoneticPr fontId="7" type="noConversion"/>
  </si>
  <si>
    <t>圆因生物</t>
    <phoneticPr fontId="7" type="noConversion"/>
  </si>
  <si>
    <t>反垄断分析收集数据；交易文件review及收集内部意见；收集反垄断分析数据；和Chrisa讨论反垄断分析；总结Crytek借款详情并和财务沟通</t>
    <phoneticPr fontId="7" type="noConversion"/>
  </si>
  <si>
    <t>审阅公司新章程；审阅交易文件条款，沟通退出途径</t>
    <phoneticPr fontId="7" type="noConversion"/>
  </si>
  <si>
    <t>内部沟通主体更名、管理等事宜；审阅新章程</t>
    <phoneticPr fontId="7" type="noConversion"/>
  </si>
  <si>
    <t>revierw LDD补充清单；review公司补充的DD文件</t>
    <phoneticPr fontId="7" type="noConversion"/>
  </si>
  <si>
    <t>沟通交割条件、交接时间点；审阅交割文件；审阅腾讯签字页包，沟通董监高人选和签字要求</t>
    <phoneticPr fontId="7" type="noConversion"/>
  </si>
  <si>
    <t>审阅公司新章程</t>
    <phoneticPr fontId="7" type="noConversion"/>
  </si>
  <si>
    <t>review交易文件中关于退出、清算、信息权等条款，沟通退出的路径和谈判抓手</t>
    <phoneticPr fontId="7" type="noConversion"/>
  </si>
  <si>
    <t>审阅退出的转股协议；内部电话沟通转股协议；修改转股协议；审阅交易文件的退出条款</t>
    <phoneticPr fontId="7" type="noConversion"/>
  </si>
  <si>
    <t>审阅董事会决议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</si>
</sst>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C1" zoomScaleNormal="100" workbookViewId="0">
      <selection activeCell="H11" sqref="H11"/>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37.799999999999997" x14ac:dyDescent="0.5">
      <c r="B4" s="16" t="s">
        <v>72</v>
      </c>
      <c r="C4" s="14" t="s">
        <v>14</v>
      </c>
      <c r="D4" s="29" t="s">
        <v>73</v>
      </c>
      <c r="E4" s="9" t="s">
        <v>40</v>
      </c>
      <c r="F4" s="14" t="s">
        <v>74</v>
      </c>
      <c r="G4" s="9">
        <v>6.4</v>
      </c>
      <c r="H4" s="14" t="s">
        <v>20</v>
      </c>
      <c r="I4" s="31" t="s">
        <v>86</v>
      </c>
    </row>
    <row r="5" spans="2:9" ht="25.2" x14ac:dyDescent="0.5">
      <c r="B5" s="16" t="s">
        <v>72</v>
      </c>
      <c r="C5" s="14" t="s">
        <v>16</v>
      </c>
      <c r="D5" s="29" t="s">
        <v>75</v>
      </c>
      <c r="E5" s="9" t="s">
        <v>40</v>
      </c>
      <c r="F5" s="14" t="s">
        <v>74</v>
      </c>
      <c r="G5" s="9">
        <v>3</v>
      </c>
      <c r="H5" s="14" t="s">
        <v>20</v>
      </c>
      <c r="I5" s="31" t="s">
        <v>87</v>
      </c>
    </row>
    <row r="6" spans="2:9" ht="25.2" x14ac:dyDescent="0.5">
      <c r="B6" s="16" t="s">
        <v>72</v>
      </c>
      <c r="C6" s="14" t="s">
        <v>16</v>
      </c>
      <c r="D6" s="29" t="s">
        <v>79</v>
      </c>
      <c r="E6" s="9" t="s">
        <v>40</v>
      </c>
      <c r="F6" s="14" t="s">
        <v>74</v>
      </c>
      <c r="G6" s="9">
        <v>2.9</v>
      </c>
      <c r="H6" s="14" t="s">
        <v>36</v>
      </c>
      <c r="I6" s="31" t="s">
        <v>88</v>
      </c>
    </row>
    <row r="7" spans="2:9" ht="25.2" x14ac:dyDescent="0.5">
      <c r="B7" s="16" t="s">
        <v>72</v>
      </c>
      <c r="C7" s="14" t="s">
        <v>14</v>
      </c>
      <c r="D7" s="29" t="s">
        <v>80</v>
      </c>
      <c r="E7" s="9" t="s">
        <v>40</v>
      </c>
      <c r="F7" s="14" t="s">
        <v>74</v>
      </c>
      <c r="G7" s="9">
        <v>1.9</v>
      </c>
      <c r="H7" s="14" t="s">
        <v>25</v>
      </c>
      <c r="I7" s="30" t="s">
        <v>89</v>
      </c>
    </row>
    <row r="8" spans="2:9" ht="25.2" x14ac:dyDescent="0.5">
      <c r="B8" s="16" t="s">
        <v>72</v>
      </c>
      <c r="C8" s="14" t="s">
        <v>14</v>
      </c>
      <c r="D8" s="29" t="s">
        <v>81</v>
      </c>
      <c r="E8" s="9" t="s">
        <v>40</v>
      </c>
      <c r="F8" s="14" t="s">
        <v>74</v>
      </c>
      <c r="G8" s="9">
        <v>2</v>
      </c>
      <c r="H8" s="14" t="s">
        <v>36</v>
      </c>
      <c r="I8" s="31" t="s">
        <v>90</v>
      </c>
    </row>
    <row r="9" spans="2:9" ht="25.2" x14ac:dyDescent="0.5">
      <c r="B9" s="16" t="s">
        <v>72</v>
      </c>
      <c r="C9" s="14" t="s">
        <v>16</v>
      </c>
      <c r="D9" s="29" t="s">
        <v>82</v>
      </c>
      <c r="E9" s="9" t="s">
        <v>40</v>
      </c>
      <c r="F9" s="14" t="s">
        <v>74</v>
      </c>
      <c r="G9" s="9">
        <v>2.2999999999999998</v>
      </c>
      <c r="H9" s="14" t="s">
        <v>20</v>
      </c>
      <c r="I9" s="30" t="s">
        <v>91</v>
      </c>
    </row>
    <row r="10" spans="2:9" ht="25.2" x14ac:dyDescent="0.5">
      <c r="B10" s="16" t="s">
        <v>72</v>
      </c>
      <c r="C10" s="14" t="s">
        <v>16</v>
      </c>
      <c r="D10" s="29" t="s">
        <v>83</v>
      </c>
      <c r="E10" s="9" t="s">
        <v>40</v>
      </c>
      <c r="F10" s="14" t="s">
        <v>74</v>
      </c>
      <c r="G10" s="9">
        <v>2.2000000000000002</v>
      </c>
      <c r="H10" s="14" t="s">
        <v>36</v>
      </c>
      <c r="I10" s="31" t="s">
        <v>92</v>
      </c>
    </row>
    <row r="11" spans="2:9" ht="25.2" x14ac:dyDescent="0.5">
      <c r="B11" s="16" t="s">
        <v>72</v>
      </c>
      <c r="C11" s="14" t="s">
        <v>14</v>
      </c>
      <c r="D11" s="29" t="s">
        <v>84</v>
      </c>
      <c r="E11" s="9" t="s">
        <v>40</v>
      </c>
      <c r="F11" s="14" t="s">
        <v>74</v>
      </c>
      <c r="G11" s="9">
        <v>4.7</v>
      </c>
      <c r="H11" s="14" t="s">
        <v>20</v>
      </c>
      <c r="I11" s="31" t="s">
        <v>93</v>
      </c>
    </row>
    <row r="12" spans="2:9" ht="25.2" x14ac:dyDescent="0.5">
      <c r="B12" s="16" t="s">
        <v>72</v>
      </c>
      <c r="C12" s="14" t="s">
        <v>16</v>
      </c>
      <c r="D12" s="29" t="s">
        <v>85</v>
      </c>
      <c r="E12" s="9" t="s">
        <v>40</v>
      </c>
      <c r="F12" s="14" t="s">
        <v>74</v>
      </c>
      <c r="G12" s="9">
        <v>1.9</v>
      </c>
      <c r="H12" s="14" t="s">
        <v>20</v>
      </c>
      <c r="I12" s="30" t="s">
        <v>94</v>
      </c>
    </row>
    <row r="13" spans="2:9" ht="25.2" x14ac:dyDescent="0.5">
      <c r="B13" s="16" t="s">
        <v>72</v>
      </c>
      <c r="C13" s="14" t="s">
        <v>14</v>
      </c>
      <c r="D13" s="9"/>
      <c r="E13" s="9" t="s">
        <v>40</v>
      </c>
      <c r="F13" s="14" t="s">
        <v>74</v>
      </c>
      <c r="G13" s="9">
        <v>1.7</v>
      </c>
      <c r="H13" s="14" t="s">
        <v>27</v>
      </c>
      <c r="I13" s="30" t="s">
        <v>76</v>
      </c>
    </row>
    <row r="14" spans="2:9" ht="25.2" x14ac:dyDescent="0.5">
      <c r="B14" s="16" t="s">
        <v>72</v>
      </c>
      <c r="C14" s="14" t="s">
        <v>18</v>
      </c>
      <c r="D14" s="9"/>
      <c r="E14" s="9" t="s">
        <v>40</v>
      </c>
      <c r="F14" s="14" t="s">
        <v>74</v>
      </c>
      <c r="G14" s="9">
        <v>1.1000000000000001</v>
      </c>
      <c r="H14" s="14" t="s">
        <v>77</v>
      </c>
      <c r="I14" s="30" t="s">
        <v>78</v>
      </c>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8"/>
      <c r="C34" s="14"/>
      <c r="D34" s="9"/>
      <c r="E34" s="9"/>
      <c r="F34" s="14"/>
      <c r="G34" s="9"/>
      <c r="H34" s="14"/>
      <c r="I34" s="12"/>
    </row>
    <row r="35" spans="2:9" x14ac:dyDescent="0.5">
      <c r="B35" s="24"/>
      <c r="C35" s="25"/>
      <c r="D35" s="26"/>
      <c r="E35" s="26"/>
      <c r="F35" s="28" t="s">
        <v>67</v>
      </c>
      <c r="G35" s="35">
        <f>SUM(G3:G34)</f>
        <v>30.1</v>
      </c>
      <c r="H35" s="36"/>
      <c r="I35" s="37"/>
    </row>
    <row r="36" spans="2:9" ht="14.4" thickBot="1" x14ac:dyDescent="0.55000000000000004">
      <c r="B36" s="20"/>
      <c r="C36" s="21"/>
      <c r="D36" s="22"/>
      <c r="E36" s="22"/>
      <c r="F36" s="27" t="s">
        <v>68</v>
      </c>
      <c r="G36" s="32"/>
      <c r="H36" s="33"/>
      <c r="I36" s="34"/>
    </row>
    <row r="37" spans="2:9" ht="14.4" thickTop="1" x14ac:dyDescent="0.5"/>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C4:C36</xm:sqref>
        </x14:dataValidation>
        <x14:dataValidation type="list" allowBlank="1" showInputMessage="1" showErrorMessage="1" xr:uid="{00000000-0002-0000-0000-000003000000}">
          <x14:formula1>
            <xm:f>数据标签!$B$11:$D$11</xm:f>
          </x14:formula1>
          <xm:sqref>E4:E36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2024-12-30T12:07:11Z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