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97445F2B-11DB-47E7-A092-47E4890E4E3F}"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<sst xmlns="http://schemas.openxmlformats.org/spreadsheetml/2006/main" count="207" uniqueCount="103">
  <si>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</si>
  <si>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</si>
  <si>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</si>
  <si>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</si>
  <si>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</si>
  <si>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</si>
  <si>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</si>
  <si>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</si>
  <si>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</si>
  <si>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</si>
  <si>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</si>
  <si>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</si>
  <si>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</si>
  <si>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</si>
  <si>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</si>
  <si>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</si>
  <si>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</si>
  <si>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</si>
  <si>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</si>
  <si>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</si>
  <si>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</si>
  <si>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</si>
  <si>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</si>
  <si>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</si>
  <si>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</si>
  <si>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</si>
  <si>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</si>
  <si>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</si>
  <si>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</si>
  <si>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</si>
  <si>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</si>
  <si>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</si>
  <si>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</si>
  <si>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</si>
  <si>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</si>
  <si>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</si>
  <si>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</si>
  <si>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</si>
  <si>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</si>
  <si>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</si>
  <si>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</si>
  <si>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</si>
  <si>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</si>
  <si>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</si>
  <si>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</si>
  <si>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</si>
  <si>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</si>
  <si>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</si>
  <si>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</si>
  <si>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</si>
  <si>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</si>
  <si>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</si>
  <si>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</si>
  <si>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</si>
  <si>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</si>
  <si>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</si>
  <si>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</si>
  <si>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</si>
  <si>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</si>
  <si>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</si>
  <si>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</si>
  <si>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</si>
  <si>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</si>
  <si>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</si>
  <si>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</si>
  <si>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</si>
  <si>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</si>
  <si>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</si>
  <si>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</si>
  <si>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</si>
  <si>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</si>
  <si>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</si>
  <si>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</si>
  <si>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</si>
  <si>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</si>
  <si>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</si>
  <si>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光子MCN</t>
    <phoneticPr fontId="7" type="noConversion"/>
  </si>
  <si>
    <t>轻蜓</t>
    <phoneticPr fontId="7" type="noConversion"/>
  </si>
  <si>
    <t>GRWTH</t>
    <phoneticPr fontId="7" type="noConversion"/>
  </si>
  <si>
    <t>审阅股东会决议；审阅公司租赁协议；内部沟通公司支出合理性</t>
    <phoneticPr fontId="7" type="noConversion"/>
  </si>
  <si>
    <t>Public - Knowledge Accumulation &amp; Sharing</t>
  </si>
  <si>
    <t>培训</t>
    <phoneticPr fontId="7" type="noConversion"/>
  </si>
  <si>
    <t>海外投资合规管理 Overseas investment compliance management</t>
  </si>
  <si>
    <t>例会</t>
    <phoneticPr fontId="7" type="noConversion"/>
  </si>
  <si>
    <t>review LF内部修改意见；内部沟通publishing agreement条款及定价问题；和ning沟通项目背景、进展；整理项目文件、梳理重要时间节点</t>
    <phoneticPr fontId="7" type="noConversion"/>
  </si>
  <si>
    <t>review LDD report</t>
    <phoneticPr fontId="7" type="noConversion"/>
  </si>
  <si>
    <t>review SPA</t>
    <phoneticPr fontId="7" type="noConversion"/>
  </si>
  <si>
    <t>内部沟通退出方案及是否接受founder赠股</t>
    <phoneticPr fontId="7" type="noConversion"/>
  </si>
  <si>
    <t>紫辰乐游</t>
    <phoneticPr fontId="7" type="noConversion"/>
  </si>
  <si>
    <t>review公司对外投资协议、决议；沟通目标公司情况和投资背景；和公司沟通对外投资方案和交易文件修改</t>
    <phoneticPr fontId="7" type="noConversion"/>
  </si>
  <si>
    <t>壹多</t>
    <phoneticPr fontId="7" type="noConversion"/>
  </si>
  <si>
    <t>审阅减资文件</t>
    <phoneticPr fontId="7" type="noConversion"/>
  </si>
  <si>
    <t>记录工作时间</t>
    <phoneticPr fontId="7" type="noConversion"/>
  </si>
  <si>
    <t>Providing training sessions/knowledge sharing</t>
  </si>
  <si>
    <t>和CC对接讲座事宜；内部收集讲座问题；协调会议室；；review讲座大纲</t>
    <phoneticPr fontId="7" type="noConversion"/>
  </si>
  <si>
    <t>参与职级评审沟通会</t>
    <phoneticPr fontId="7" type="noConversion"/>
  </si>
  <si>
    <t>海南玉螺</t>
    <phoneticPr fontId="7" type="noConversion"/>
  </si>
  <si>
    <t>review投资文件，整理风险自查表</t>
    <phoneticPr fontId="7" type="noConversion"/>
  </si>
  <si>
    <t>谷得</t>
    <phoneticPr fontId="7" type="noConversion"/>
  </si>
  <si>
    <t>Project December</t>
    <phoneticPr fontId="7" type="noConversion"/>
  </si>
  <si>
    <t>review NDA</t>
    <phoneticPr fontId="7" type="noConversion"/>
  </si>
  <si>
    <t>研究CMC清单影响；review和修改因监管/政策因素导致投资退出案例表格</t>
    <phoneticPr fontId="7" type="noConversion"/>
  </si>
  <si>
    <t>和Charity、Daniel沟通Crytek项目架构</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</si>
</sst>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9"/>
  <sheetViews>
    <sheetView tabSelected="1" topLeftCell="C1" zoomScaleNormal="100" workbookViewId="0">
      <selection activeCell="C2" sqref="C2"/>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37.799999999999997" x14ac:dyDescent="0.5">
      <c r="B4" s="16" t="s">
        <v>72</v>
      </c>
      <c r="C4" s="14" t="s">
        <v>14</v>
      </c>
      <c r="D4" s="29" t="s">
        <v>73</v>
      </c>
      <c r="E4" s="9" t="s">
        <v>40</v>
      </c>
      <c r="F4" s="14" t="s">
        <v>74</v>
      </c>
      <c r="G4" s="9">
        <v>6.5</v>
      </c>
      <c r="H4" s="14" t="s">
        <v>20</v>
      </c>
      <c r="I4" s="31" t="s">
        <v>84</v>
      </c>
    </row>
    <row r="5" spans="2:9" ht="25.2" x14ac:dyDescent="0.5">
      <c r="B5" s="16" t="s">
        <v>72</v>
      </c>
      <c r="C5" s="14" t="s">
        <v>16</v>
      </c>
      <c r="D5" s="29" t="s">
        <v>78</v>
      </c>
      <c r="E5" s="9" t="s">
        <v>40</v>
      </c>
      <c r="F5" s="14" t="s">
        <v>74</v>
      </c>
      <c r="G5" s="9">
        <v>0.7</v>
      </c>
      <c r="H5" s="14" t="s">
        <v>20</v>
      </c>
      <c r="I5" s="31" t="s">
        <v>79</v>
      </c>
    </row>
    <row r="6" spans="2:9" ht="25.2" x14ac:dyDescent="0.5">
      <c r="B6" s="16" t="s">
        <v>72</v>
      </c>
      <c r="C6" s="14" t="s">
        <v>14</v>
      </c>
      <c r="D6" s="29" t="s">
        <v>76</v>
      </c>
      <c r="E6" s="9" t="s">
        <v>40</v>
      </c>
      <c r="F6" s="14" t="s">
        <v>74</v>
      </c>
      <c r="G6" s="9">
        <v>1.4</v>
      </c>
      <c r="H6" s="14" t="s">
        <v>25</v>
      </c>
      <c r="I6" s="30" t="s">
        <v>85</v>
      </c>
    </row>
    <row r="7" spans="2:9" ht="25.2" x14ac:dyDescent="0.5">
      <c r="B7" s="16" t="s">
        <v>72</v>
      </c>
      <c r="C7" s="14" t="s">
        <v>14</v>
      </c>
      <c r="D7" s="29" t="s">
        <v>76</v>
      </c>
      <c r="E7" s="9" t="s">
        <v>40</v>
      </c>
      <c r="F7" s="14" t="s">
        <v>74</v>
      </c>
      <c r="G7" s="9">
        <v>2.1</v>
      </c>
      <c r="H7" s="14" t="s">
        <v>20</v>
      </c>
      <c r="I7" s="31" t="s">
        <v>86</v>
      </c>
    </row>
    <row r="8" spans="2:9" ht="25.2" x14ac:dyDescent="0.5">
      <c r="B8" s="16" t="s">
        <v>72</v>
      </c>
      <c r="C8" s="14" t="s">
        <v>16</v>
      </c>
      <c r="D8" s="29" t="s">
        <v>88</v>
      </c>
      <c r="E8" s="9" t="s">
        <v>40</v>
      </c>
      <c r="F8" s="14" t="s">
        <v>74</v>
      </c>
      <c r="G8" s="9">
        <v>4.9000000000000004</v>
      </c>
      <c r="H8" s="14" t="s">
        <v>20</v>
      </c>
      <c r="I8" s="31" t="s">
        <v>89</v>
      </c>
    </row>
    <row r="9" spans="2:9" ht="25.2" x14ac:dyDescent="0.5">
      <c r="B9" s="16" t="s">
        <v>72</v>
      </c>
      <c r="C9" s="14" t="s">
        <v>14</v>
      </c>
      <c r="D9" s="29" t="s">
        <v>77</v>
      </c>
      <c r="E9" s="9" t="s">
        <v>40</v>
      </c>
      <c r="F9" s="14" t="s">
        <v>74</v>
      </c>
      <c r="G9" s="9">
        <v>3.4</v>
      </c>
      <c r="H9" s="14" t="s">
        <v>36</v>
      </c>
      <c r="I9" s="31" t="s">
        <v>87</v>
      </c>
    </row>
    <row r="10" spans="2:9" ht="25.2" x14ac:dyDescent="0.5">
      <c r="B10" s="16" t="s">
        <v>72</v>
      </c>
      <c r="C10" s="14" t="s">
        <v>14</v>
      </c>
      <c r="D10" s="29" t="s">
        <v>90</v>
      </c>
      <c r="E10" s="9" t="s">
        <v>40</v>
      </c>
      <c r="F10" s="14" t="s">
        <v>74</v>
      </c>
      <c r="G10" s="9">
        <v>1.2</v>
      </c>
      <c r="H10" s="14" t="s">
        <v>20</v>
      </c>
      <c r="I10" s="30" t="s">
        <v>91</v>
      </c>
    </row>
    <row r="11" spans="2:9" ht="25.2" x14ac:dyDescent="0.5">
      <c r="B11" s="16"/>
      <c r="C11" s="14" t="s">
        <v>16</v>
      </c>
      <c r="D11" s="29" t="s">
        <v>96</v>
      </c>
      <c r="E11" s="9" t="s">
        <v>40</v>
      </c>
      <c r="F11" s="14" t="s">
        <v>74</v>
      </c>
      <c r="G11" s="9">
        <v>0.5</v>
      </c>
      <c r="H11" s="14" t="s">
        <v>36</v>
      </c>
      <c r="I11" s="30" t="s">
        <v>97</v>
      </c>
    </row>
    <row r="12" spans="2:9" ht="25.2" x14ac:dyDescent="0.5">
      <c r="B12" s="16"/>
      <c r="C12" s="14" t="s">
        <v>16</v>
      </c>
      <c r="D12" s="29" t="s">
        <v>98</v>
      </c>
      <c r="E12" s="9" t="s">
        <v>40</v>
      </c>
      <c r="F12" s="14" t="s">
        <v>74</v>
      </c>
      <c r="G12" s="9">
        <v>0.5</v>
      </c>
      <c r="H12" s="14" t="s">
        <v>36</v>
      </c>
      <c r="I12" s="30" t="s">
        <v>97</v>
      </c>
    </row>
    <row r="13" spans="2:9" ht="25.2" x14ac:dyDescent="0.5">
      <c r="B13" s="16"/>
      <c r="C13" s="14" t="s">
        <v>14</v>
      </c>
      <c r="D13" s="29" t="s">
        <v>99</v>
      </c>
      <c r="E13" s="9" t="s">
        <v>40</v>
      </c>
      <c r="F13" s="14" t="s">
        <v>74</v>
      </c>
      <c r="G13" s="9">
        <v>2.8</v>
      </c>
      <c r="H13" s="14" t="s">
        <v>20</v>
      </c>
      <c r="I13" s="30" t="s">
        <v>100</v>
      </c>
    </row>
    <row r="14" spans="2:9" ht="25.2" x14ac:dyDescent="0.5">
      <c r="B14" s="16"/>
      <c r="C14" s="14" t="s">
        <v>14</v>
      </c>
      <c r="D14" s="29"/>
      <c r="E14" s="9" t="s">
        <v>40</v>
      </c>
      <c r="F14" s="14" t="s">
        <v>82</v>
      </c>
      <c r="G14" s="9">
        <v>2.5</v>
      </c>
      <c r="H14" s="14" t="s">
        <v>27</v>
      </c>
      <c r="I14" s="31" t="s">
        <v>101</v>
      </c>
    </row>
    <row r="15" spans="2:9" ht="25.2" x14ac:dyDescent="0.5">
      <c r="B15" s="16"/>
      <c r="C15" s="14" t="s">
        <v>14</v>
      </c>
      <c r="D15" s="29"/>
      <c r="E15" s="9" t="s">
        <v>40</v>
      </c>
      <c r="F15" s="14" t="s">
        <v>74</v>
      </c>
      <c r="G15" s="9">
        <v>0.8</v>
      </c>
      <c r="H15" s="14" t="s">
        <v>36</v>
      </c>
      <c r="I15" s="31" t="s">
        <v>102</v>
      </c>
    </row>
    <row r="16" spans="2:9" ht="25.2" x14ac:dyDescent="0.5">
      <c r="B16" s="16" t="s">
        <v>72</v>
      </c>
      <c r="C16" s="14" t="s">
        <v>18</v>
      </c>
      <c r="D16" s="9"/>
      <c r="E16" s="9" t="s">
        <v>40</v>
      </c>
      <c r="F16" s="14" t="s">
        <v>74</v>
      </c>
      <c r="G16" s="9">
        <v>1.2</v>
      </c>
      <c r="H16" s="14" t="s">
        <v>75</v>
      </c>
      <c r="I16" s="30" t="s">
        <v>92</v>
      </c>
    </row>
    <row r="17" spans="2:9" ht="25.2" x14ac:dyDescent="0.5">
      <c r="B17" s="8"/>
      <c r="C17" s="14" t="s">
        <v>80</v>
      </c>
      <c r="D17" s="29" t="s">
        <v>81</v>
      </c>
      <c r="E17" s="9" t="s">
        <v>40</v>
      </c>
      <c r="F17" s="14" t="s">
        <v>82</v>
      </c>
      <c r="G17" s="9">
        <v>1.8</v>
      </c>
      <c r="H17" s="14" t="s">
        <v>93</v>
      </c>
      <c r="I17" s="31" t="s">
        <v>94</v>
      </c>
    </row>
    <row r="18" spans="2:9" x14ac:dyDescent="0.5">
      <c r="B18" s="8"/>
      <c r="C18" s="14" t="s">
        <v>18</v>
      </c>
      <c r="D18" s="29" t="s">
        <v>83</v>
      </c>
      <c r="E18" s="9"/>
      <c r="F18" s="14"/>
      <c r="G18" s="9">
        <v>0.5</v>
      </c>
      <c r="H18" s="14" t="s">
        <v>27</v>
      </c>
      <c r="I18" s="30" t="s">
        <v>95</v>
      </c>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8"/>
      <c r="C34" s="14"/>
      <c r="D34" s="9"/>
      <c r="E34" s="9"/>
      <c r="F34" s="14"/>
      <c r="G34" s="9"/>
      <c r="H34" s="14"/>
      <c r="I34" s="12"/>
    </row>
    <row r="35" spans="2:9" x14ac:dyDescent="0.5">
      <c r="B35" s="8"/>
      <c r="C35" s="14"/>
      <c r="D35" s="9"/>
      <c r="E35" s="9"/>
      <c r="F35" s="14"/>
      <c r="G35" s="9"/>
      <c r="H35" s="14"/>
      <c r="I35" s="12"/>
    </row>
    <row r="36" spans="2:9" x14ac:dyDescent="0.5">
      <c r="B36" s="8"/>
      <c r="C36" s="14"/>
      <c r="D36" s="9"/>
      <c r="E36" s="9"/>
      <c r="F36" s="14"/>
      <c r="G36" s="9"/>
      <c r="H36" s="14"/>
      <c r="I36" s="12"/>
    </row>
    <row r="37" spans="2:9" x14ac:dyDescent="0.5">
      <c r="B37" s="24"/>
      <c r="C37" s="25"/>
      <c r="D37" s="26"/>
      <c r="E37" s="26"/>
      <c r="F37" s="28" t="s">
        <v>67</v>
      </c>
      <c r="G37" s="35">
        <f>SUM(G3:G36)</f>
        <v>30.8</v>
      </c>
      <c r="H37" s="36"/>
      <c r="I37" s="37"/>
    </row>
    <row r="38" spans="2:9" ht="14.4" thickBot="1" x14ac:dyDescent="0.55000000000000004">
      <c r="B38" s="20"/>
      <c r="C38" s="21"/>
      <c r="D38" s="22"/>
      <c r="E38" s="22"/>
      <c r="F38" s="27" t="s">
        <v>68</v>
      </c>
      <c r="G38" s="32"/>
      <c r="H38" s="33"/>
      <c r="I38" s="34"/>
    </row>
    <row r="39" spans="2:9" ht="14.4" thickTop="1" x14ac:dyDescent="0.5"/>
  </sheetData>
  <mergeCells count="2">
    <mergeCell ref="G38:I38"/>
    <mergeCell ref="G37:I37"/>
  </mergeCells>
  <phoneticPr fontId="7" type="noConversion"/>
  <dataValidations count="2">
    <dataValidation type="list" allowBlank="1" showInputMessage="1" showErrorMessage="1" sqref="H4:H36" xr:uid="{00000000-0002-0000-0000-000000000000}">
      <formula1>hh</formula1>
    </dataValidation>
    <dataValidation type="list" allowBlank="1" showInputMessage="1" showErrorMessage="1" sqref="F4:F3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C4:C38</xm:sqref>
        </x14:dataValidation>
        <x14:dataValidation type="list" allowBlank="1" showInputMessage="1" showErrorMessage="1" xr:uid="{00000000-0002-0000-0000-000003000000}">
          <x14:formula1>
            <xm:f>数据标签!$B$11:$D$11</xm:f>
          </x14:formula1>
          <xm:sqref>E4:E38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2025-01-14T11:18:30Z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