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32" windowHeight="12552"/>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<sst xmlns="http://schemas.openxmlformats.org/spreadsheetml/2006/main" count="169" uniqueCount="88">
  <si>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</si>
  <si>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</si>
  <si>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</si>
  <si>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</si>
  <si>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</si>
  <si>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</si>
  <si>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</si>
  <si>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</si>
  <si>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</si>
  <si>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</si>
  <si>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</si>
  <si>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</si>
  <si>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</si>
  <si>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</si>
  <si>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</si>
  <si>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</si>
  <si>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chenweicai</t>
  </si>
  <si>
    <t>Investment Related - M&amp;A Deal</t>
  </si>
  <si>
    <t>Crytek</t>
  </si>
  <si>
    <t>BSC</t>
  </si>
  <si>
    <t>投资项目全流程法务支持 Full-process legal support for investments</t>
  </si>
  <si>
    <t>Internal/external discussion on/negotiation of legal documents</t>
  </si>
  <si>
    <t>审阅最新版本交易文件；审阅CFIUS分析邮件和公司提供的DD资料、总结CFIUS issues；weekly call；内部对齐项目进度和待定issues</t>
  </si>
  <si>
    <t>Investment Related - Corporate Matter</t>
  </si>
  <si>
    <t>叠纸</t>
  </si>
  <si>
    <t>内部讨论公司海外主体重组计划</t>
  </si>
  <si>
    <t>圆因</t>
  </si>
  <si>
    <t>Drafting/reviewing/revising legal documents</t>
  </si>
  <si>
    <t>审核银行授信决议</t>
  </si>
  <si>
    <t>Investment Related - IPO</t>
  </si>
  <si>
    <t>伯希和</t>
  </si>
  <si>
    <t>审阅A1中对腾讯投资主体的描述；内部讨论披露口径；更新腾讯投资主体描述并反馈给公司；与公司讨论披露口径</t>
  </si>
  <si>
    <t>Public - Others</t>
  </si>
  <si>
    <t>公司项目交接</t>
  </si>
  <si>
    <t>Others</t>
  </si>
  <si>
    <t>就产假期间其他同事帮忙cover的项目分别进行项目交接；准备交接给Jeremy的项目清单</t>
  </si>
  <si>
    <t>Public - Knowledge Accumulation &amp; Sharing</t>
  </si>
  <si>
    <t>AI 法规整理</t>
  </si>
  <si>
    <t>国际监管趋势监测、预判 Monitoring and forecasting international regulatory trends</t>
  </si>
  <si>
    <t>Preparing knowhow/memo/client alert</t>
  </si>
  <si>
    <t>审阅Jeremy整体的各国AI法规对比；与Jeremy电话讨论下一步行动</t>
  </si>
  <si>
    <t>隐藏主体投资案例</t>
  </si>
  <si>
    <t>资本市场、投融资活动创新突破 Innovative breakthroughs in investments and capital market transactions</t>
  </si>
  <si>
    <t>与Erin、Mia、Flora开会讨论；准备案例收集表头并与Flora讨论；review过往案例资料</t>
  </si>
  <si>
    <t>企业出海合规赋能</t>
  </si>
  <si>
    <t>与Mia、Jeremy讨论</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</si>
  <si>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</si>
  <si>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</si>
  <si>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</si>
  <si>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</si>
  <si>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</si>
  <si>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</si>
  <si>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</si>
  <si>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</si>
  <si>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Participating regular team meetings</t>
  </si>
  <si>
    <t>AMLSC (反洗钱与制裁合规部)</t>
  </si>
  <si>
    <t>Establishing/improving IT systems</t>
  </si>
  <si>
    <t>Providing training sessions/knowledge sharing</t>
  </si>
  <si>
    <t>Recording/reviewing deals updates/weekly time reports/other team summaries</t>
  </si>
  <si>
    <t>Conducting LDD/reviewing LDD results</t>
  </si>
  <si>
    <t>FLCD (金融法律合规部)</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</si>
  <si>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</si>
  <si>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</si>
  <si>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</si>
  <si>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</si>
  <si>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</si>
  <si>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</si>
  <si>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</si>
  <si>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</si>
  <si>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Relevant matters related to engagement of law firms/team's legal fees summary</t>
  </si>
  <si>
    <t>Reverting to inquiries</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</si>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</sst>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23" formatCode="\$#,##0_);\(\$#,##0\)"/>
    <numFmt numFmtId="176" formatCode="#\ ??/??"/>
    <numFmt numFmtId="24" formatCode="\$#,##0_);[Red]\(\$#,##0\)"/>
    <numFmt numFmtId="177" formatCode="m/d"/>
    <numFmt numFmtId="178" formatCode="#\ ?/?"/>
    <numFmt numFmtId="25" formatCode="\$#,##0.00_);\(\$#,##0.00\)"/>
    <numFmt numFmtId="179" formatCode="mmmm\-yy"/>
    <numFmt numFmtId="26" formatCode="\$#,##0.00_);[Red]\(\$#,##0.00\)"/>
    <numFmt numFmtId="7" formatCode="&quot;￥&quot;#,##0.00;&quot;￥&quot;\-#,##0.00"/>
    <numFmt numFmtId="180" formatCode="h:mm:ss\ AM/PM"/>
    <numFmt numFmtId="44" formatCode="_ &quot;￥&quot;* #,##0.00_ ;_ &quot;￥&quot;* \-#,##0.00_ ;_ &quot;￥&quot;* &quot;-&quot;??_ ;_ @_ "/>
    <numFmt numFmtId="8" formatCode="&quot;￥&quot;#,##0.00;[Red]&quot;￥&quot;\-#,##0.00"/>
    <numFmt numFmtId="181" formatCode="mm/dd/yy"/>
    <numFmt numFmtId="182" formatCode="[$-804]aaaa"/>
    <numFmt numFmtId="183" formatCode="yyyy/m/d\ h:mm\ AM/PM"/>
    <numFmt numFmtId="184" formatCode="[DBNum1][$-804]m&quot;月&quot;d&quot;日&quot;"/>
    <numFmt numFmtId="185" formatCode="yy/m/d"/>
    <numFmt numFmtId="186" formatCode="dd\-mmm\-yy"/>
    <numFmt numFmtId="187" formatCode="[DBNum1][$-804]yyyy&quot;年&quot;m&quot;月&quot;d&quot;日&quot;"/>
    <numFmt numFmtId="6" formatCode="&quot;￥&quot;#,##0;[Red]&quot;￥&quot;\-#,##0"/>
    <numFmt numFmtId="188" formatCode="mmmmm"/>
    <numFmt numFmtId="189" formatCode="mmmmm\-yy"/>
    <numFmt numFmtId="190" formatCode="h:mm\ AM/PM"/>
    <numFmt numFmtId="191" formatCode="\¥#,##0.00;[Red]\¥\-#,##0.00"/>
    <numFmt numFmtId="192" formatCode="[DBNum1]上午/下午h&quot;时&quot;mm&quot;分&quot;"/>
    <numFmt numFmtId="193" formatCode="\¥#,##0;[Red]\¥\-#,##0"/>
    <numFmt numFmtId="194" formatCode="\¥#,##0.00;\¥\-#,##0.00"/>
    <numFmt numFmtId="195" formatCode="\¥#,##0;\¥\-#,##0"/>
    <numFmt numFmtId="196" formatCode="[DBNum1]h&quot;时&quot;mm&quot;分&quot;"/>
    <numFmt numFmtId="197" formatCode="[$-804]aaa"/>
    <numFmt numFmtId="5" formatCode="&quot;￥&quot;#,##0;&quot;￥&quot;\-#,##0"/>
    <numFmt numFmtId="198" formatCode="#\ ??"/>
    <numFmt numFmtId="42" formatCode="_ &quot;￥&quot;* #,##0_ ;_ &quot;￥&quot;* \-#,##0_ ;_ &quot;￥&quot;* &quot;-&quot;_ ;_ @_ "/>
    <numFmt numFmtId="43" formatCode="_ * #,##0.00_ ;_ * \-#,##0.00_ ;_ * &quot;-&quot;??_ ;_ @_ "/>
    <numFmt numFmtId="199" formatCode="[DBNum1][$-804]yyyy&quot;年&quot;m&quot;月&quot;"/>
    <numFmt numFmtId="41" formatCode="_ * #,##0_ ;_ * \-#,##0_ ;_ *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b/>
      <sz val="13"/>
      <color theme="3"/>
      <name val="等线"/>
      <charset val="134"/>
      <scheme val="minor"/>
    </font>
    <font>
      <sz val="11"/>
      <color rgb="FF006100"/>
      <name val="等线"/>
      <charset val="0"/>
      <scheme val="minor"/>
    </font>
    <font>
      <sz val="11"/>
      <color theme="0"/>
      <name val="等线"/>
      <charset val="0"/>
      <scheme val="minor"/>
    </font>
    <font>
      <sz val="11"/>
      <color rgb="FFFF0000"/>
      <name val="等线"/>
      <charset val="0"/>
      <scheme val="minor"/>
    </font>
    <font>
      <b/>
      <sz val="18"/>
      <color theme="3"/>
      <name val="等线"/>
      <charset val="134"/>
      <scheme val="minor"/>
    </font>
    <font>
      <b/>
      <sz val="15"/>
      <color theme="3"/>
      <name val="等线"/>
      <charset val="134"/>
      <scheme val="minor"/>
    </font>
    <font>
      <b/>
      <sz val="11"/>
      <color rgb="FFFFFFFF"/>
      <name val="等线"/>
      <charset val="0"/>
      <scheme val="minor"/>
    </font>
    <font>
      <sz val="11"/>
      <color rgb="FF9C0006"/>
      <name val="等线"/>
      <charset val="0"/>
      <scheme val="minor"/>
    </font>
    <font>
      <sz val="11"/>
      <color rgb="FF9C6500"/>
      <name val="等线"/>
      <charset val="0"/>
      <scheme val="minor"/>
    </font>
    <font>
      <b/>
      <sz val="11"/>
      <color theme="1"/>
      <name val="等线"/>
      <charset val="0"/>
      <scheme val="minor"/>
    </font>
    <font>
      <b/>
      <sz val="11"/>
      <color rgb="FFFA7D00"/>
      <name val="等线"/>
      <charset val="0"/>
      <scheme val="minor"/>
    </font>
    <font>
      <i/>
      <sz val="11"/>
      <color rgb="FF7F7F7F"/>
      <name val="等线"/>
      <charset val="0"/>
      <scheme val="minor"/>
    </font>
    <font>
      <sz val="11"/>
      <color rgb="FF3F3F76"/>
      <name val="等线"/>
      <charset val="0"/>
      <scheme val="minor"/>
    </font>
    <font>
      <u/>
      <sz val="11"/>
      <color rgb="FF0000FF"/>
      <name val="等线"/>
      <charset val="0"/>
      <scheme val="minor"/>
    </font>
    <font>
      <u/>
      <sz val="11"/>
      <color rgb="FF800080"/>
      <name val="等线"/>
      <charset val="0"/>
      <scheme val="minor"/>
    </font>
    <font>
      <b/>
      <sz val="11"/>
      <color rgb="FF3F3F3F"/>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599993896298105"/>
        <bgColor indexed="64"/>
      </patternFill>
    </fill>
    <fill>
      <patternFill patternType="solid">
        <fgColor theme="8"/>
        <bgColor indexed="64"/>
      </patternFill>
    </fill>
    <fill>
      <patternFill patternType="solid">
        <fgColor theme="7"/>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9"/>
        <bgColor indexed="64"/>
      </patternFill>
    </fill>
    <fill>
      <patternFill patternType="solid">
        <fgColor theme="5" tint="0.599993896298105"/>
        <bgColor indexed="64"/>
      </patternFill>
    </fill>
    <fill>
      <patternFill patternType="solid">
        <fgColor theme="4"/>
        <bgColor indexed="64"/>
      </patternFill>
    </fill>
    <fill>
      <patternFill patternType="solid">
        <fgColor rgb="FFF2F2F2"/>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6"/>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rgb="FFFFFFCC"/>
        <bgColor indexed="64"/>
      </patternFill>
    </fill>
    <fill>
      <patternFill patternType="solid">
        <fgColor theme="7" tint="0.799981688894314"/>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12" fillId="26" borderId="0" applyNumberFormat="0" applyBorder="0" applyAlignment="0" applyProtection="0">
      <alignment vertical="center"/>
    </xf>
    <xf numFmtId="0" fontId="8" fillId="33" borderId="0" applyNumberFormat="0" applyBorder="0" applyAlignment="0" applyProtection="0">
      <alignment vertical="center"/>
    </xf>
    <xf numFmtId="0" fontId="12" fillId="9" borderId="0" applyNumberFormat="0" applyBorder="0" applyAlignment="0" applyProtection="0">
      <alignment vertical="center"/>
    </xf>
    <xf numFmtId="0" fontId="22" fillId="24" borderId="24" applyNumberFormat="0" applyAlignment="0" applyProtection="0">
      <alignment vertical="center"/>
    </xf>
    <xf numFmtId="0" fontId="8" fillId="12" borderId="0" applyNumberFormat="0" applyBorder="0" applyAlignment="0" applyProtection="0">
      <alignment vertical="center"/>
    </xf>
    <xf numFmtId="0" fontId="8" fillId="30" borderId="0" applyNumberFormat="0" applyBorder="0" applyAlignment="0" applyProtection="0">
      <alignment vertical="center"/>
    </xf>
    <xf numFmtId="44" fontId="0" fillId="0" borderId="0" applyFont="0" applyFill="0" applyBorder="0" applyAlignment="0" applyProtection="0">
      <alignment vertical="center"/>
    </xf>
    <xf numFmtId="0" fontId="12" fillId="25" borderId="0" applyNumberFormat="0" applyBorder="0" applyAlignment="0" applyProtection="0">
      <alignment vertical="center"/>
    </xf>
    <xf numFmtId="9" fontId="0" fillId="0" borderId="0" applyFont="0" applyFill="0" applyBorder="0" applyAlignment="0" applyProtection="0">
      <alignment vertical="center"/>
    </xf>
    <xf numFmtId="0" fontId="12" fillId="23" borderId="0" applyNumberFormat="0" applyBorder="0" applyAlignment="0" applyProtection="0">
      <alignment vertical="center"/>
    </xf>
    <xf numFmtId="0" fontId="12" fillId="13" borderId="0" applyNumberFormat="0" applyBorder="0" applyAlignment="0" applyProtection="0">
      <alignment vertical="center"/>
    </xf>
    <xf numFmtId="0" fontId="12" fillId="31" borderId="0" applyNumberFormat="0" applyBorder="0" applyAlignment="0" applyProtection="0">
      <alignment vertical="center"/>
    </xf>
    <xf numFmtId="0" fontId="12" fillId="29" borderId="0" applyNumberFormat="0" applyBorder="0" applyAlignment="0" applyProtection="0">
      <alignment vertical="center"/>
    </xf>
    <xf numFmtId="0" fontId="12" fillId="22" borderId="0" applyNumberFormat="0" applyBorder="0" applyAlignment="0" applyProtection="0">
      <alignment vertical="center"/>
    </xf>
    <xf numFmtId="0" fontId="20" fillId="21" borderId="24" applyNumberFormat="0" applyAlignment="0" applyProtection="0">
      <alignment vertical="center"/>
    </xf>
    <xf numFmtId="0" fontId="12" fillId="20" borderId="0" applyNumberFormat="0" applyBorder="0" applyAlignment="0" applyProtection="0">
      <alignment vertical="center"/>
    </xf>
    <xf numFmtId="0" fontId="18" fillId="17" borderId="0" applyNumberFormat="0" applyBorder="0" applyAlignment="0" applyProtection="0">
      <alignment vertical="center"/>
    </xf>
    <xf numFmtId="0" fontId="8" fillId="28" borderId="0" applyNumberFormat="0" applyBorder="0" applyAlignment="0" applyProtection="0">
      <alignment vertical="center"/>
    </xf>
    <xf numFmtId="0" fontId="11" fillId="6" borderId="0" applyNumberFormat="0" applyBorder="0" applyAlignment="0" applyProtection="0">
      <alignment vertical="center"/>
    </xf>
    <xf numFmtId="0" fontId="8" fillId="27" borderId="0" applyNumberFormat="0" applyBorder="0" applyAlignment="0" applyProtection="0">
      <alignment vertical="center"/>
    </xf>
    <xf numFmtId="0" fontId="19" fillId="0" borderId="23" applyNumberFormat="0" applyFill="0" applyAlignment="0" applyProtection="0">
      <alignment vertical="center"/>
    </xf>
    <xf numFmtId="0" fontId="17" fillId="16" borderId="0" applyNumberFormat="0" applyBorder="0" applyAlignment="0" applyProtection="0">
      <alignment vertical="center"/>
    </xf>
    <xf numFmtId="0" fontId="16" fillId="15" borderId="22" applyNumberFormat="0" applyAlignment="0" applyProtection="0">
      <alignment vertical="center"/>
    </xf>
    <xf numFmtId="0" fontId="25" fillId="21" borderId="26" applyNumberFormat="0" applyAlignment="0" applyProtection="0">
      <alignment vertical="center"/>
    </xf>
    <xf numFmtId="0" fontId="15" fillId="0" borderId="20" applyNumberFormat="0" applyFill="0" applyAlignment="0" applyProtection="0">
      <alignment vertical="center"/>
    </xf>
    <xf numFmtId="0" fontId="21" fillId="0" borderId="0" applyNumberFormat="0" applyFill="0" applyBorder="0" applyAlignment="0" applyProtection="0">
      <alignment vertical="center"/>
    </xf>
    <xf numFmtId="0" fontId="8" fillId="14"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 fillId="19" borderId="0" applyNumberFormat="0" applyBorder="0" applyAlignment="0" applyProtection="0">
      <alignment vertical="center"/>
    </xf>
    <xf numFmtId="0" fontId="13" fillId="0" borderId="0" applyNumberFormat="0" applyFill="0" applyBorder="0" applyAlignment="0" applyProtection="0">
      <alignment vertical="center"/>
    </xf>
    <xf numFmtId="0" fontId="12" fillId="11" borderId="0" applyNumberFormat="0" applyBorder="0" applyAlignment="0" applyProtection="0">
      <alignment vertical="center"/>
    </xf>
    <xf numFmtId="0" fontId="0" fillId="32" borderId="25" applyNumberFormat="0" applyFont="0" applyAlignment="0" applyProtection="0">
      <alignment vertical="center"/>
    </xf>
    <xf numFmtId="0" fontId="8" fillId="10" borderId="0" applyNumberFormat="0" applyBorder="0" applyAlignment="0" applyProtection="0">
      <alignment vertical="center"/>
    </xf>
    <xf numFmtId="0" fontId="12" fillId="8" borderId="0" applyNumberFormat="0" applyBorder="0" applyAlignment="0" applyProtection="0">
      <alignment vertical="center"/>
    </xf>
    <xf numFmtId="0" fontId="8" fillId="7" borderId="0" applyNumberFormat="0" applyBorder="0" applyAlignment="0" applyProtection="0">
      <alignment vertical="center"/>
    </xf>
    <xf numFmtId="0" fontId="23" fillId="0" borderId="0" applyNumberFormat="0" applyFill="0" applyBorder="0" applyAlignment="0" applyProtection="0">
      <alignment vertical="center"/>
    </xf>
    <xf numFmtId="41" fontId="0" fillId="0" borderId="0" applyFont="0" applyFill="0" applyBorder="0" applyAlignment="0" applyProtection="0">
      <alignment vertical="center"/>
    </xf>
    <xf numFmtId="0" fontId="10" fillId="0" borderId="20" applyNumberFormat="0" applyFill="0" applyAlignment="0" applyProtection="0">
      <alignment vertical="center"/>
    </xf>
    <xf numFmtId="0" fontId="8" fillId="4" borderId="0" applyNumberFormat="0" applyBorder="0" applyAlignment="0" applyProtection="0">
      <alignment vertical="center"/>
    </xf>
    <xf numFmtId="0" fontId="9" fillId="0" borderId="21" applyNumberFormat="0" applyFill="0" applyAlignment="0" applyProtection="0">
      <alignment vertical="center"/>
    </xf>
    <xf numFmtId="0" fontId="12" fillId="18" borderId="0" applyNumberFormat="0" applyBorder="0" applyAlignment="0" applyProtection="0">
      <alignment vertical="center"/>
    </xf>
    <xf numFmtId="0" fontId="8" fillId="3" borderId="0" applyNumberFormat="0" applyBorder="0" applyAlignment="0" applyProtection="0">
      <alignment vertical="center"/>
    </xf>
    <xf numFmtId="0" fontId="7" fillId="0" borderId="19" applyNumberFormat="0" applyFill="0" applyAlignment="0" applyProtection="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3" fillId="0" borderId="0" xfId="0" applyFont="1">
      <alignment vertical="center"/>
    </xf>
    <xf numFmtId="0" fontId="3" fillId="0" borderId="0" xfId="0" applyFont="1" applyFill="1" applyAlignment="1">
      <alignment vertical="center" wrapText="1"/>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9"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6"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pplyAlignment="1">
      <alignment vertical="center" wrapText="1"/>
    </xf>
    <xf numFmtId="0" fontId="1" fillId="0" borderId="16" xfId="0" applyFont="1" applyBorder="1">
      <alignmen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76" threadCnt="1"/>
    <sheetInfos>
      <sheetInfo cellCmpFml="1" sheetStid="1">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4"/>
  <sheetViews>
    <sheetView tabSelected="1" workbookViewId="0">
      <selection activeCell="H4" sqref="H4"/>
    </sheetView>
  </sheetViews>
  <sheetFormatPr defaultColWidth="9" defaultRowHeight="14.25"/>
  <cols>
    <col min="3" max="3" width="34.4" style="9" customWidth="1"/>
    <col min="4" max="4" width="15.1" customWidth="1"/>
    <col min="5" max="5" width="10.6" customWidth="1"/>
    <col min="6" max="6" width="29.9" style="9" customWidth="1"/>
    <col min="8" max="8" width="41.6" style="9" customWidth="1"/>
    <col min="9" max="9" width="39.8" customWidth="1"/>
  </cols>
  <sheetData>
    <row r="1" ht="15"/>
    <row r="2" ht="15" spans="2:9">
      <c r="B2" s="10" t="s">
        <v>0</v>
      </c>
      <c r="C2" s="11" t="s">
        <v>1</v>
      </c>
      <c r="D2" s="11" t="s">
        <v>2</v>
      </c>
      <c r="E2" s="11" t="s">
        <v>3</v>
      </c>
      <c r="F2" s="11" t="s">
        <v>4</v>
      </c>
      <c r="G2" s="11" t="s">
        <v>5</v>
      </c>
      <c r="H2" s="11" t="s">
        <v>6</v>
      </c>
      <c r="I2" s="29" t="s">
        <v>7</v>
      </c>
    </row>
    <row r="3" ht="208" customHeight="1" spans="2:9">
      <c r="B3" s="12" t="s">
        <v>8</v>
      </c>
      <c r="C3" s="13" t="s">
        <v>9</v>
      </c>
      <c r="D3" s="13" t="s">
        <v>10</v>
      </c>
      <c r="E3" s="13" t="s">
        <v>11</v>
      </c>
      <c r="F3" s="13" t="s">
        <v>12</v>
      </c>
      <c r="G3" s="13" t="s">
        <v>13</v>
      </c>
      <c r="H3" s="13" t="s">
        <v>14</v>
      </c>
      <c r="I3" s="30" t="s">
        <v>15</v>
      </c>
    </row>
    <row r="4" ht="38.25" spans="2:9">
      <c r="B4" s="14" t="s">
        <v>16</v>
      </c>
      <c r="C4" s="15" t="s">
        <v>17</v>
      </c>
      <c r="D4" s="16" t="s">
        <v>18</v>
      </c>
      <c r="E4" s="16" t="s">
        <v>19</v>
      </c>
      <c r="F4" s="15" t="s">
        <v>20</v>
      </c>
      <c r="G4" s="16">
        <v>10.2</v>
      </c>
      <c r="H4" s="15" t="s">
        <v>21</v>
      </c>
      <c r="I4" s="31" t="s">
        <v>22</v>
      </c>
    </row>
    <row r="5" ht="25.5" spans="2:9">
      <c r="B5" s="14" t="s">
        <v>16</v>
      </c>
      <c r="C5" s="15" t="s">
        <v>23</v>
      </c>
      <c r="D5" s="16" t="s">
        <v>24</v>
      </c>
      <c r="E5" s="16" t="s">
        <v>19</v>
      </c>
      <c r="F5" s="15" t="s">
        <v>20</v>
      </c>
      <c r="G5" s="16">
        <v>0.8</v>
      </c>
      <c r="H5" s="15" t="s">
        <v>21</v>
      </c>
      <c r="I5" s="31" t="s">
        <v>25</v>
      </c>
    </row>
    <row r="6" ht="25.5" spans="2:9">
      <c r="B6" s="14" t="s">
        <v>16</v>
      </c>
      <c r="C6" s="15" t="s">
        <v>23</v>
      </c>
      <c r="D6" s="16" t="s">
        <v>26</v>
      </c>
      <c r="E6" s="16" t="s">
        <v>19</v>
      </c>
      <c r="F6" s="15" t="s">
        <v>20</v>
      </c>
      <c r="G6" s="16">
        <v>0.5</v>
      </c>
      <c r="H6" s="15" t="s">
        <v>27</v>
      </c>
      <c r="I6" s="31" t="s">
        <v>28</v>
      </c>
    </row>
    <row r="7" ht="38.25" spans="2:9">
      <c r="B7" s="14" t="s">
        <v>16</v>
      </c>
      <c r="C7" s="15" t="s">
        <v>29</v>
      </c>
      <c r="D7" s="16" t="s">
        <v>30</v>
      </c>
      <c r="E7" s="16" t="s">
        <v>19</v>
      </c>
      <c r="F7" s="15" t="s">
        <v>20</v>
      </c>
      <c r="G7" s="16">
        <v>1.7</v>
      </c>
      <c r="H7" s="15" t="s">
        <v>21</v>
      </c>
      <c r="I7" s="31" t="s">
        <v>31</v>
      </c>
    </row>
    <row r="8" ht="25.5" spans="2:9">
      <c r="B8" s="14" t="s">
        <v>16</v>
      </c>
      <c r="C8" s="15" t="s">
        <v>32</v>
      </c>
      <c r="D8" s="16" t="s">
        <v>33</v>
      </c>
      <c r="E8" s="16" t="s">
        <v>19</v>
      </c>
      <c r="F8" s="15" t="s">
        <v>20</v>
      </c>
      <c r="G8" s="16">
        <v>7.5</v>
      </c>
      <c r="H8" s="15" t="s">
        <v>34</v>
      </c>
      <c r="I8" s="31" t="s">
        <v>35</v>
      </c>
    </row>
    <row r="9" ht="25.5" spans="2:9">
      <c r="B9" s="14"/>
      <c r="C9" s="15" t="s">
        <v>36</v>
      </c>
      <c r="D9" s="16" t="s">
        <v>37</v>
      </c>
      <c r="E9" s="16" t="s">
        <v>19</v>
      </c>
      <c r="F9" s="15" t="s">
        <v>38</v>
      </c>
      <c r="G9" s="16">
        <v>1.2</v>
      </c>
      <c r="H9" s="15" t="s">
        <v>39</v>
      </c>
      <c r="I9" s="31" t="s">
        <v>40</v>
      </c>
    </row>
    <row r="10" ht="38.25" spans="2:9">
      <c r="B10" s="14"/>
      <c r="C10" s="15" t="s">
        <v>36</v>
      </c>
      <c r="D10" s="16" t="s">
        <v>41</v>
      </c>
      <c r="E10" s="16" t="s">
        <v>19</v>
      </c>
      <c r="F10" s="15" t="s">
        <v>42</v>
      </c>
      <c r="G10" s="16">
        <v>1.5</v>
      </c>
      <c r="H10" s="15" t="s">
        <v>39</v>
      </c>
      <c r="I10" s="31" t="s">
        <v>43</v>
      </c>
    </row>
    <row r="11" ht="25.5" spans="2:9">
      <c r="B11" s="14"/>
      <c r="C11" s="15" t="s">
        <v>36</v>
      </c>
      <c r="D11" s="16" t="s">
        <v>44</v>
      </c>
      <c r="E11" s="16" t="s">
        <v>19</v>
      </c>
      <c r="F11" s="15" t="s">
        <v>20</v>
      </c>
      <c r="G11" s="16">
        <v>0.5</v>
      </c>
      <c r="H11" s="15" t="s">
        <v>39</v>
      </c>
      <c r="I11" s="32" t="s">
        <v>45</v>
      </c>
    </row>
    <row r="12" spans="2:9">
      <c r="B12" s="17"/>
      <c r="C12" s="18"/>
      <c r="D12" s="19"/>
      <c r="E12" s="19"/>
      <c r="F12" s="23" t="s">
        <v>46</v>
      </c>
      <c r="G12" s="24">
        <f>SUM(G4:G11)</f>
        <v>23.9</v>
      </c>
      <c r="H12" s="25"/>
      <c r="I12" s="33"/>
    </row>
    <row r="13" spans="2:9">
      <c r="B13" s="20"/>
      <c r="C13" s="21"/>
      <c r="D13" s="22"/>
      <c r="E13" s="22"/>
      <c r="F13" s="26" t="s">
        <v>47</v>
      </c>
      <c r="G13" s="27">
        <v>3</v>
      </c>
      <c r="H13" s="28"/>
      <c r="I13" s="34"/>
    </row>
    <row r="14" ht="15"/>
  </sheetData>
  <sheetProtection formatCells="0" insertHyperlinks="0" autoFilter="0"/>
  <mergeCells count="2">
    <mergeCell ref="G12:I12"/>
    <mergeCell ref="G13:I13"/>
  </mergeCells>
  <dataValidations count="4">
    <dataValidation type="list" allowBlank="1" showInputMessage="1" showErrorMessage="1" sqref="H4:H11">
      <formula1>hh</formula1>
    </dataValidation>
    <dataValidation type="list" allowBlank="1" showInputMessage="1" showErrorMessage="1" sqref="F4:F11">
      <formula1>INDIRECT(E4)</formula1>
    </dataValidation>
    <dataValidation type="list" allowBlank="1" showInputMessage="1" showErrorMessage="1" sqref="E4:E13">
      <formula1>数据标签!$B$12:$C$12</formula1>
    </dataValidation>
    <dataValidation type="list" allowBlank="1" showInputMessage="1" showErrorMessage="1" sqref="C4:C13">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 defaultRowHeight="12.75" outlineLevelCol="7"/>
  <cols>
    <col min="1" max="1" width="8.8" style="1"/>
    <col min="2" max="2" width="26.8" style="1" customWidth="1"/>
    <col min="3" max="3" width="21.65" style="1" customWidth="1"/>
    <col min="4" max="7" width="28.6" style="1" customWidth="1"/>
    <col min="8" max="8" width="27.3" style="1" customWidth="1"/>
    <col min="9" max="16384" width="8.8" style="1"/>
  </cols>
  <sheetData>
    <row r="2" ht="25.5" spans="1:8">
      <c r="A2" s="2" t="s">
        <v>48</v>
      </c>
      <c r="B2" s="3" t="s">
        <v>17</v>
      </c>
      <c r="C2" s="3" t="s">
        <v>29</v>
      </c>
      <c r="D2" s="3" t="s">
        <v>23</v>
      </c>
      <c r="E2" s="3" t="s">
        <v>49</v>
      </c>
      <c r="F2" s="3" t="s">
        <v>50</v>
      </c>
      <c r="G2" s="3" t="s">
        <v>36</v>
      </c>
      <c r="H2" s="3" t="s">
        <v>32</v>
      </c>
    </row>
    <row r="3" ht="25.5" spans="1:8">
      <c r="A3" s="2" t="s">
        <v>51</v>
      </c>
      <c r="B3" s="3" t="s">
        <v>27</v>
      </c>
      <c r="C3" s="3" t="s">
        <v>27</v>
      </c>
      <c r="D3" s="3" t="s">
        <v>27</v>
      </c>
      <c r="E3" s="3" t="s">
        <v>52</v>
      </c>
      <c r="F3" s="3" t="s">
        <v>53</v>
      </c>
      <c r="G3" s="3" t="s">
        <v>39</v>
      </c>
      <c r="H3" s="3" t="s">
        <v>54</v>
      </c>
    </row>
    <row r="4" ht="38.25" spans="1:8">
      <c r="A4" s="2"/>
      <c r="B4" s="4" t="s">
        <v>21</v>
      </c>
      <c r="C4" s="4" t="s">
        <v>21</v>
      </c>
      <c r="D4" s="4" t="s">
        <v>21</v>
      </c>
      <c r="E4" s="3" t="s">
        <v>55</v>
      </c>
      <c r="F4" s="7" t="s">
        <v>56</v>
      </c>
      <c r="G4" s="3" t="s">
        <v>57</v>
      </c>
      <c r="H4" s="3" t="s">
        <v>58</v>
      </c>
    </row>
    <row r="5" ht="25.5" spans="2:8">
      <c r="B5" s="3" t="s">
        <v>59</v>
      </c>
      <c r="C5" s="3" t="s">
        <v>59</v>
      </c>
      <c r="D5" s="3" t="s">
        <v>59</v>
      </c>
      <c r="E5" s="4" t="s">
        <v>60</v>
      </c>
      <c r="F5" s="7" t="s">
        <v>34</v>
      </c>
      <c r="G5" s="4" t="s">
        <v>61</v>
      </c>
      <c r="H5" s="4" t="s">
        <v>62</v>
      </c>
    </row>
    <row r="6" ht="25.5" spans="2:8">
      <c r="B6" s="3" t="s">
        <v>63</v>
      </c>
      <c r="C6" s="3" t="s">
        <v>63</v>
      </c>
      <c r="D6" s="3" t="s">
        <v>63</v>
      </c>
      <c r="E6" s="4" t="s">
        <v>64</v>
      </c>
      <c r="F6" s="7"/>
      <c r="G6" s="4" t="s">
        <v>65</v>
      </c>
      <c r="H6" s="4" t="s">
        <v>66</v>
      </c>
    </row>
    <row r="7" ht="38.25" spans="2:8">
      <c r="B7" s="3" t="s">
        <v>67</v>
      </c>
      <c r="C7" s="3" t="s">
        <v>67</v>
      </c>
      <c r="D7" s="3" t="s">
        <v>67</v>
      </c>
      <c r="E7" s="4" t="s">
        <v>68</v>
      </c>
      <c r="G7" s="4" t="s">
        <v>34</v>
      </c>
      <c r="H7" s="4" t="s">
        <v>69</v>
      </c>
    </row>
    <row r="8" spans="2:8">
      <c r="B8" s="3" t="s">
        <v>70</v>
      </c>
      <c r="C8" s="3" t="s">
        <v>70</v>
      </c>
      <c r="D8" s="3" t="s">
        <v>70</v>
      </c>
      <c r="E8" s="4"/>
      <c r="G8" s="4"/>
      <c r="H8" s="8" t="s">
        <v>71</v>
      </c>
    </row>
    <row r="9" spans="2:8">
      <c r="B9" s="1" t="s">
        <v>34</v>
      </c>
      <c r="C9" s="1" t="s">
        <v>34</v>
      </c>
      <c r="D9" s="1" t="s">
        <v>34</v>
      </c>
      <c r="E9" s="4"/>
      <c r="F9" s="7"/>
      <c r="G9" s="4"/>
      <c r="H9" s="4" t="s">
        <v>34</v>
      </c>
    </row>
    <row r="10" spans="3:8">
      <c r="C10" s="4"/>
      <c r="D10" s="4"/>
      <c r="H10" s="4"/>
    </row>
    <row r="12" spans="1:3">
      <c r="A12" s="1" t="s">
        <v>72</v>
      </c>
      <c r="B12" s="1" t="s">
        <v>19</v>
      </c>
      <c r="C12" s="1" t="s">
        <v>34</v>
      </c>
    </row>
    <row r="13" ht="38.25" spans="1:2">
      <c r="A13" s="1" t="s">
        <v>73</v>
      </c>
      <c r="B13" s="3" t="s">
        <v>74</v>
      </c>
    </row>
    <row r="14" ht="25.5" spans="2:4">
      <c r="B14" s="5" t="s">
        <v>20</v>
      </c>
      <c r="C14" s="6" t="s">
        <v>75</v>
      </c>
      <c r="D14" s="6" t="s">
        <v>75</v>
      </c>
    </row>
    <row r="15" ht="25.5" spans="2:4">
      <c r="B15" s="5" t="s">
        <v>76</v>
      </c>
      <c r="C15" s="6" t="s">
        <v>75</v>
      </c>
      <c r="D15" s="6" t="s">
        <v>75</v>
      </c>
    </row>
    <row r="16" ht="51" spans="2:4">
      <c r="B16" s="5" t="s">
        <v>42</v>
      </c>
      <c r="C16" s="6" t="s">
        <v>75</v>
      </c>
      <c r="D16" s="6" t="s">
        <v>75</v>
      </c>
    </row>
    <row r="17" ht="51" spans="2:4">
      <c r="B17" s="5" t="s">
        <v>77</v>
      </c>
      <c r="C17" s="6" t="s">
        <v>75</v>
      </c>
      <c r="D17" s="6" t="s">
        <v>75</v>
      </c>
    </row>
    <row r="18" ht="38.25" spans="2:4">
      <c r="B18" s="5" t="s">
        <v>78</v>
      </c>
      <c r="C18" s="6" t="s">
        <v>75</v>
      </c>
      <c r="D18" s="6" t="s">
        <v>75</v>
      </c>
    </row>
    <row r="19" ht="51" spans="2:4">
      <c r="B19" s="5" t="s">
        <v>79</v>
      </c>
      <c r="C19" s="6" t="s">
        <v>75</v>
      </c>
      <c r="D19" s="6" t="s">
        <v>75</v>
      </c>
    </row>
    <row r="20" ht="38.25" spans="2:4">
      <c r="B20" s="5" t="s">
        <v>80</v>
      </c>
      <c r="C20" s="6" t="s">
        <v>75</v>
      </c>
      <c r="D20" s="6" t="s">
        <v>75</v>
      </c>
    </row>
    <row r="21" ht="38.25" spans="2:4">
      <c r="B21" s="5" t="s">
        <v>81</v>
      </c>
      <c r="C21" s="6" t="s">
        <v>75</v>
      </c>
      <c r="D21" s="6" t="s">
        <v>75</v>
      </c>
    </row>
    <row r="22" ht="25.5" spans="2:4">
      <c r="B22" s="5" t="s">
        <v>82</v>
      </c>
      <c r="C22" s="6" t="s">
        <v>75</v>
      </c>
      <c r="D22" s="6" t="s">
        <v>75</v>
      </c>
    </row>
    <row r="23" ht="38.25" spans="2:4">
      <c r="B23" s="5" t="s">
        <v>83</v>
      </c>
      <c r="C23" s="6" t="s">
        <v>75</v>
      </c>
      <c r="D23" s="6" t="s">
        <v>75</v>
      </c>
    </row>
    <row r="24" ht="38.25" spans="2:4">
      <c r="B24" s="5" t="s">
        <v>38</v>
      </c>
      <c r="C24" s="6"/>
      <c r="D24" s="6"/>
    </row>
    <row r="25" ht="63.75" spans="2:4">
      <c r="B25" s="5" t="s">
        <v>84</v>
      </c>
      <c r="C25" s="6" t="s">
        <v>75</v>
      </c>
      <c r="D25" s="6" t="s">
        <v>75</v>
      </c>
    </row>
    <row r="26" ht="38.25" spans="2:4">
      <c r="B26" s="5" t="s">
        <v>85</v>
      </c>
      <c r="C26" s="6" t="s">
        <v>75</v>
      </c>
      <c r="D26" s="6" t="s">
        <v>75</v>
      </c>
    </row>
    <row r="27" ht="38.25" spans="2:4">
      <c r="B27" s="5" t="s">
        <v>86</v>
      </c>
      <c r="C27" s="6" t="s">
        <v>75</v>
      </c>
      <c r="D27" s="6" t="s">
        <v>75</v>
      </c>
    </row>
    <row r="28" ht="25.5" spans="2:4">
      <c r="B28" s="5" t="s">
        <v>87</v>
      </c>
      <c r="C28" s="6" t="s">
        <v>75</v>
      </c>
      <c r="D28" s="6" t="s">
        <v>75</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2024-12-10T10:24:00Z</dcterms:created>
  <dcterms:modified xsi:type="dcterms:W3CDTF">2025-11-04T16:15:00Z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