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400" windowHeight="11655"/>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<sst xmlns="http://schemas.openxmlformats.org/spreadsheetml/2006/main" count="204" uniqueCount="95">
  <si>
    <t>Name</t>
  </si>
  <si>
    <t>Deal/Matter Category</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</si>
  <si>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</si>
  <si>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</si>
  <si>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</si>
  <si>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</si>
  <si>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</si>
  <si>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</si>
  <si>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</si>
  <si>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</si>
  <si>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</si>
  <si>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请确认该项事务是否为CTD-投资法务中心的OKR事项
Confirm whether it's a CTD-ILC OKR iteam</t>
  </si>
  <si>
    <t xml:space="preserve">如为CTD-投资法务中心BSC或OKR事项，请相应勾选下拉菜单中的BSC/OKR事项选项
In the case of a CTD-ILC BSC or OKR item, please select the detailed item in the drop-down menu </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</si>
  <si>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</si>
  <si>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</si>
  <si>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</si>
  <si>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zhouyutan</t>
  </si>
  <si>
    <t>Public - Others</t>
  </si>
  <si>
    <t>Others</t>
  </si>
  <si>
    <t>Recording/reviewing deals updates/weekly time reports/other team summaries</t>
  </si>
  <si>
    <t>Investment Related - M&amp;A Deal</t>
  </si>
  <si>
    <t>Project Rock</t>
  </si>
  <si>
    <t>BSC</t>
  </si>
  <si>
    <t>投资项目全流程法务支持 Full-process legal support for investments</t>
  </si>
  <si>
    <t>Reverting to inquiries</t>
  </si>
  <si>
    <t>增持</t>
  </si>
  <si>
    <t>内审项目配合</t>
  </si>
  <si>
    <t>乐居/SPOT</t>
  </si>
  <si>
    <t>Public - Knowledge Accumulation &amp; Sharing</t>
  </si>
  <si>
    <t>境内投融资资本市场监管发展与重大政策争取与风险应对 Regulatory compliance in domestic investments and capital markets; lobbying for major policies and risk mitigation</t>
  </si>
  <si>
    <t>Preparing knowhow/memo/client alert</t>
  </si>
  <si>
    <t>《备忘录 - 被投企业外汇基本信息登记时所涉返程投资相关问题》</t>
  </si>
  <si>
    <t>A股hotdesk</t>
  </si>
  <si>
    <t>Filing handbook</t>
  </si>
  <si>
    <t>SKP</t>
  </si>
  <si>
    <t>Conducting LDD/reviewing LDD results</t>
  </si>
  <si>
    <t>DD相关</t>
  </si>
  <si>
    <t>Drafting/reviewing/negotiating legal documents</t>
  </si>
  <si>
    <t>TS/协议相关</t>
  </si>
  <si>
    <t>五十一区</t>
  </si>
  <si>
    <t>分红/奖金</t>
  </si>
  <si>
    <t>银汉</t>
  </si>
  <si>
    <t>退出</t>
  </si>
  <si>
    <t>Mod.io</t>
  </si>
  <si>
    <t>设JV及拿ICP</t>
  </si>
  <si>
    <t>南京颂歌</t>
  </si>
  <si>
    <t>减资</t>
  </si>
  <si>
    <t>与田总沟通绩效</t>
  </si>
  <si>
    <t>TGIF 彩蛋（左冬冬）</t>
  </si>
  <si>
    <t>其他投资人减资</t>
  </si>
  <si>
    <t>Investment Related - Corporate Matter</t>
  </si>
  <si>
    <t>小鱼易连</t>
  </si>
  <si>
    <t>金浦案件/融资</t>
  </si>
  <si>
    <t xml:space="preserve">Total Hours:  </t>
  </si>
  <si>
    <t>Number of Actual Working Days:</t>
  </si>
  <si>
    <t>C列</t>
  </si>
  <si>
    <t>Investment Related - IPO</t>
  </si>
  <si>
    <t>Non-Investment Related - Other Departments</t>
  </si>
  <si>
    <t>Public - Infrastructure &amp; Guidance</t>
  </si>
  <si>
    <t>H列</t>
  </si>
  <si>
    <t>CTD (合规交易部 - 公司事务及国际监管法务中心)</t>
  </si>
  <si>
    <t>Preparing policies/procedures/guidance/booklet</t>
  </si>
  <si>
    <t>Participating regular team meetings</t>
  </si>
  <si>
    <t>AMLSC (反洗钱与制裁合规部)</t>
  </si>
  <si>
    <t>Establishing/improving IT systems</t>
  </si>
  <si>
    <t>Providing training sessions/knowledge sharing</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</si>
  <si>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</si>
  <si>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</si>
  <si>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</si>
  <si>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</si>
  <si>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</si>
  <si>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</si>
  <si>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</si>
  <si>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</si>
  <si>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FCRPD (集团金融消费者权益保护部)</t>
  </si>
  <si>
    <t>Relevant matters related to engagement of law firms/team's legal fees summary</t>
  </si>
  <si>
    <t>Interacting with regulators</t>
  </si>
  <si>
    <t>E列</t>
  </si>
  <si>
    <t>OKR</t>
  </si>
  <si>
    <t>F列</t>
  </si>
  <si>
    <t>境内外金融业务资质申请 Application for domestic and overseas financial business licenses</t>
  </si>
  <si>
    <t xml:space="preserve"> </t>
  </si>
  <si>
    <t>敏感投资领域投资指引 Guidance for sensitive investment fields</t>
  </si>
  <si>
    <t>资本市场、投融资活动创新突破 Innovative breakthroughs in investments and capital market transactions</t>
  </si>
  <si>
    <t>境内外主体/办公室合规管理 Compliance management for domestic and overseas entities/offices</t>
  </si>
  <si>
    <t>反洗钱及制裁法务支持 Legal support for anti-money laundering and sanctions compliance</t>
  </si>
  <si>
    <t>资本市场证券交易全流程合规体系建设 Full-process compliance system  for securities trading in capital markets</t>
  </si>
  <si>
    <t>控股和重点投资公司法务风险管理 Legal risk management for controlled and key invested portfolios</t>
  </si>
  <si>
    <t>金融投资公司业务合规管理 Compliance management for  invested financial portfolios</t>
  </si>
  <si>
    <t>海外投资合规管理 Overseas investment compliance management</t>
  </si>
  <si>
    <t>国际业务(投资)监管应对Interaction with regulators for international investments</t>
  </si>
  <si>
    <t>国际监管趋势监测、预判 Monitoring and forecasting international regulatory trends</t>
  </si>
  <si>
    <t>执业管理平台体系完善 Perfection of the professional management platform</t>
  </si>
  <si>
    <t>优化Hotdesk和专家组制度 Optimization of Hotdesk and expert panel system</t>
  </si>
  <si>
    <t>精细化管理工具搭建 Adoption of refined management tools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</si>
</sst>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等线"/>
      <charset val="134"/>
      <scheme val="minor"/>
    </font>
    <font>
      <sz val="10"/>
      <color theme="1"/>
      <name val="等线"/>
      <charset val="134"/>
      <scheme val="minor"/>
    </font>
    <font>
      <sz val="10"/>
      <name val="等线"/>
      <charset val="134"/>
    </font>
    <font>
      <sz val="10"/>
      <color theme="1"/>
      <name val="等线"/>
      <charset val="134"/>
    </font>
    <font>
      <b/>
      <sz val="10"/>
      <color theme="4" tint="-0.499984740745262"/>
      <name val="等线"/>
      <charset val="134"/>
      <scheme val="minor"/>
    </font>
    <font>
      <sz val="8"/>
      <color theme="4" tint="-0.499984740745262"/>
      <name val="等线"/>
      <charset val="134"/>
      <scheme val="minor"/>
    </font>
    <font>
      <b/>
      <i/>
      <sz val="10"/>
      <color theme="4" tint="-0.499984740745262"/>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theme="8" tint="0.79995117038483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right style="thick">
        <color auto="1"/>
      </right>
      <top/>
      <bottom style="thick">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3" borderId="13"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14" applyNumberFormat="0" applyFill="0" applyAlignment="0" applyProtection="0">
      <alignment vertical="center"/>
    </xf>
    <xf numFmtId="0" fontId="13" fillId="0" borderId="14" applyNumberFormat="0" applyFill="0" applyAlignment="0" applyProtection="0">
      <alignment vertical="center"/>
    </xf>
    <xf numFmtId="0" fontId="14" fillId="0" borderId="15" applyNumberFormat="0" applyFill="0" applyAlignment="0" applyProtection="0">
      <alignment vertical="center"/>
    </xf>
    <xf numFmtId="0" fontId="14" fillId="0" borderId="0" applyNumberFormat="0" applyFill="0" applyBorder="0" applyAlignment="0" applyProtection="0">
      <alignment vertical="center"/>
    </xf>
    <xf numFmtId="0" fontId="15" fillId="4" borderId="16" applyNumberFormat="0" applyAlignment="0" applyProtection="0">
      <alignment vertical="center"/>
    </xf>
    <xf numFmtId="0" fontId="16" fillId="5" borderId="17" applyNumberFormat="0" applyAlignment="0" applyProtection="0">
      <alignment vertical="center"/>
    </xf>
    <xf numFmtId="0" fontId="17" fillId="5" borderId="16" applyNumberFormat="0" applyAlignment="0" applyProtection="0">
      <alignment vertical="center"/>
    </xf>
    <xf numFmtId="0" fontId="18" fillId="6" borderId="18" applyNumberFormat="0" applyAlignment="0" applyProtection="0">
      <alignment vertical="center"/>
    </xf>
    <xf numFmtId="0" fontId="19" fillId="0" borderId="19" applyNumberFormat="0" applyFill="0" applyAlignment="0" applyProtection="0">
      <alignment vertical="center"/>
    </xf>
    <xf numFmtId="0" fontId="20" fillId="0" borderId="20" applyNumberFormat="0" applyFill="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5" fillId="11" borderId="0" applyNumberFormat="0" applyBorder="0" applyAlignment="0" applyProtection="0">
      <alignment vertical="center"/>
    </xf>
    <xf numFmtId="0" fontId="25" fillId="12" borderId="0" applyNumberFormat="0" applyBorder="0" applyAlignment="0" applyProtection="0">
      <alignment vertical="center"/>
    </xf>
    <xf numFmtId="0" fontId="24" fillId="13" borderId="0" applyNumberFormat="0" applyBorder="0" applyAlignment="0" applyProtection="0">
      <alignment vertical="center"/>
    </xf>
    <xf numFmtId="0" fontId="24" fillId="14" borderId="0" applyNumberFormat="0" applyBorder="0" applyAlignment="0" applyProtection="0">
      <alignment vertical="center"/>
    </xf>
    <xf numFmtId="0" fontId="25" fillId="15" borderId="0" applyNumberFormat="0" applyBorder="0" applyAlignment="0" applyProtection="0">
      <alignment vertical="center"/>
    </xf>
    <xf numFmtId="0" fontId="25" fillId="16" borderId="0" applyNumberFormat="0" applyBorder="0" applyAlignment="0" applyProtection="0">
      <alignment vertical="center"/>
    </xf>
    <xf numFmtId="0" fontId="24" fillId="17" borderId="0" applyNumberFormat="0" applyBorder="0" applyAlignment="0" applyProtection="0">
      <alignment vertical="center"/>
    </xf>
    <xf numFmtId="0" fontId="24" fillId="18" borderId="0" applyNumberFormat="0" applyBorder="0" applyAlignment="0" applyProtection="0">
      <alignment vertical="center"/>
    </xf>
    <xf numFmtId="0" fontId="25" fillId="19" borderId="0" applyNumberFormat="0" applyBorder="0" applyAlignment="0" applyProtection="0">
      <alignment vertical="center"/>
    </xf>
    <xf numFmtId="0" fontId="25" fillId="20" borderId="0" applyNumberFormat="0" applyBorder="0" applyAlignment="0" applyProtection="0">
      <alignment vertical="center"/>
    </xf>
    <xf numFmtId="0" fontId="24" fillId="21" borderId="0" applyNumberFormat="0" applyBorder="0" applyAlignment="0" applyProtection="0">
      <alignment vertical="center"/>
    </xf>
    <xf numFmtId="0" fontId="24" fillId="22" borderId="0" applyNumberFormat="0" applyBorder="0" applyAlignment="0" applyProtection="0">
      <alignment vertical="center"/>
    </xf>
    <xf numFmtId="0" fontId="25" fillId="23" borderId="0" applyNumberFormat="0" applyBorder="0" applyAlignment="0" applyProtection="0">
      <alignment vertical="center"/>
    </xf>
    <xf numFmtId="0" fontId="25" fillId="24" borderId="0" applyNumberFormat="0" applyBorder="0" applyAlignment="0" applyProtection="0">
      <alignment vertical="center"/>
    </xf>
    <xf numFmtId="0" fontId="24" fillId="25" borderId="0" applyNumberFormat="0" applyBorder="0" applyAlignment="0" applyProtection="0">
      <alignment vertical="center"/>
    </xf>
    <xf numFmtId="0" fontId="24" fillId="26" borderId="0" applyNumberFormat="0" applyBorder="0" applyAlignment="0" applyProtection="0">
      <alignment vertical="center"/>
    </xf>
    <xf numFmtId="0" fontId="25" fillId="27" borderId="0" applyNumberFormat="0" applyBorder="0" applyAlignment="0" applyProtection="0">
      <alignment vertical="center"/>
    </xf>
    <xf numFmtId="0" fontId="25" fillId="28" borderId="0" applyNumberFormat="0" applyBorder="0" applyAlignment="0" applyProtection="0">
      <alignment vertical="center"/>
    </xf>
    <xf numFmtId="0" fontId="24" fillId="29" borderId="0" applyNumberFormat="0" applyBorder="0" applyAlignment="0" applyProtection="0">
      <alignment vertical="center"/>
    </xf>
    <xf numFmtId="0" fontId="24" fillId="30" borderId="0" applyNumberFormat="0" applyBorder="0" applyAlignment="0" applyProtection="0">
      <alignment vertical="center"/>
    </xf>
    <xf numFmtId="0" fontId="25" fillId="31" borderId="0" applyNumberFormat="0" applyBorder="0" applyAlignment="0" applyProtection="0">
      <alignment vertical="center"/>
    </xf>
    <xf numFmtId="0" fontId="25" fillId="32" borderId="0" applyNumberFormat="0" applyBorder="0" applyAlignment="0" applyProtection="0">
      <alignment vertical="center"/>
    </xf>
    <xf numFmtId="0" fontId="24" fillId="33" borderId="0" applyNumberFormat="0" applyBorder="0" applyAlignment="0" applyProtection="0">
      <alignment vertical="center"/>
    </xf>
  </cellStyleXfs>
  <cellXfs count="2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0" xfId="0" applyFont="1">
      <alignment vertical="center"/>
    </xf>
    <xf numFmtId="0" fontId="3" fillId="0" borderId="0" xfId="0" applyFont="1" applyAlignment="1">
      <alignment vertical="center" wrapText="1"/>
    </xf>
    <xf numFmtId="0" fontId="3" fillId="0" borderId="0" xfId="0" applyFont="1" applyFill="1" applyAlignment="1">
      <alignment vertical="center" wrapText="1"/>
    </xf>
    <xf numFmtId="0" fontId="1" fillId="0" borderId="0" xfId="0" applyFont="1" applyFill="1" applyAlignment="1">
      <alignment vertical="center" wrapText="1"/>
    </xf>
    <xf numFmtId="49" fontId="1" fillId="0" borderId="0" xfId="0" applyNumberFormat="1" applyFont="1">
      <alignment vertical="center"/>
    </xf>
    <xf numFmtId="0" fontId="0" fillId="0" borderId="0" xfId="0" applyAlignment="1">
      <alignment vertical="center" wrapText="1"/>
    </xf>
    <xf numFmtId="0" fontId="4" fillId="0" borderId="1" xfId="0" applyFont="1" applyBorder="1" applyAlignment="1">
      <alignment horizontal="center" vertical="center" wrapText="1"/>
    </xf>
    <xf numFmtId="0" fontId="4" fillId="0" borderId="2" xfId="0" applyFont="1" applyBorder="1" applyAlignment="1">
      <alignment horizontal="center" vertical="center" wrapText="1"/>
    </xf>
    <xf numFmtId="0" fontId="5" fillId="2" borderId="3" xfId="0" applyFont="1" applyFill="1" applyBorder="1" applyAlignment="1">
      <alignment vertical="center" wrapText="1"/>
    </xf>
    <xf numFmtId="0" fontId="5" fillId="2" borderId="4" xfId="0" applyFont="1" applyFill="1" applyBorder="1" applyAlignment="1">
      <alignment vertical="center" wrapText="1"/>
    </xf>
    <xf numFmtId="0" fontId="1" fillId="0" borderId="4" xfId="0" applyFont="1" applyBorder="1">
      <alignment vertical="center"/>
    </xf>
    <xf numFmtId="0" fontId="1" fillId="0" borderId="4" xfId="0" applyFont="1" applyBorder="1" applyAlignment="1">
      <alignment vertical="center" wrapText="1"/>
    </xf>
    <xf numFmtId="0" fontId="0" fillId="0" borderId="4" xfId="0" applyBorder="1" applyAlignment="1">
      <alignment vertical="center" wrapText="1"/>
    </xf>
    <xf numFmtId="0" fontId="0" fillId="0" borderId="4" xfId="0" applyBorder="1">
      <alignment vertical="center"/>
    </xf>
    <xf numFmtId="0" fontId="1" fillId="0" borderId="4" xfId="0" applyFont="1" applyBorder="1" applyAlignment="1">
      <alignment horizontal="right" vertical="center" wrapText="1"/>
    </xf>
    <xf numFmtId="0" fontId="1" fillId="0" borderId="4" xfId="0" applyFont="1" applyBorder="1" applyAlignment="1">
      <alignment horizontal="left" vertical="center"/>
    </xf>
    <xf numFmtId="0" fontId="1" fillId="0" borderId="5" xfId="0" applyFont="1" applyBorder="1">
      <alignment vertical="center"/>
    </xf>
    <xf numFmtId="0" fontId="1" fillId="0" borderId="6" xfId="0" applyFont="1" applyBorder="1" applyAlignment="1">
      <alignment vertical="center" wrapText="1"/>
    </xf>
    <xf numFmtId="0" fontId="1" fillId="0" borderId="6" xfId="0" applyFont="1" applyBorder="1">
      <alignment vertical="center"/>
    </xf>
    <xf numFmtId="0" fontId="1" fillId="0" borderId="7" xfId="0" applyFont="1" applyBorder="1" applyAlignment="1">
      <alignment horizontal="right" vertical="center" wrapText="1"/>
    </xf>
    <xf numFmtId="0" fontId="1" fillId="0" borderId="8" xfId="0" applyFont="1" applyBorder="1" applyAlignment="1">
      <alignment horizontal="left" vertical="center"/>
    </xf>
    <xf numFmtId="0" fontId="1" fillId="0" borderId="9" xfId="0" applyFont="1" applyBorder="1" applyAlignment="1">
      <alignment horizontal="left" vertical="center"/>
    </xf>
    <xf numFmtId="0" fontId="6" fillId="0" borderId="10" xfId="0" applyFont="1" applyBorder="1" applyAlignment="1">
      <alignment horizontal="center" vertical="center"/>
    </xf>
    <xf numFmtId="0" fontId="5" fillId="2" borderId="11" xfId="0" applyFont="1" applyFill="1" applyBorder="1" applyAlignment="1">
      <alignment vertical="center" wrapText="1"/>
    </xf>
    <xf numFmtId="0" fontId="1" fillId="0" borderId="12" xfId="0" applyFont="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
      <font>
        <name val="等线"/>
        <scheme val="none"/>
        <b val="0"/>
        <i val="0"/>
        <strike val="0"/>
        <u val="none"/>
        <sz val="10"/>
        <color theme="1"/>
      </font>
    </dxf>
    <dxf>
      <font>
        <name val="等线"/>
        <scheme val="none"/>
        <b val="0"/>
        <i val="0"/>
        <strike val="0"/>
        <u val="none"/>
        <sz val="10"/>
        <color theme="1"/>
      </font>
      <alignment vertical="center" wrapText="1"/>
    </dxf>
    <dxf>
      <font>
        <name val="等线"/>
        <scheme val="none"/>
        <b val="0"/>
        <i val="0"/>
        <strike val="0"/>
        <u val="none"/>
        <sz val="10"/>
        <color theme="1"/>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ables/table1.xml><?xml version="1.0" encoding="utf-8"?>
<table xmlns="http://schemas.openxmlformats.org/spreadsheetml/2006/main" id="2" name="表2" displayName="表2" ref="B2:H9" totalsRowShown="0">
  <tableColumns count="7">
    <tableColumn id="1" name="Investment Related - M&amp;A Deal" dataDxfId="0"/>
    <tableColumn id="2" name="Investment Related - IPO" dataDxfId="1"/>
    <tableColumn id="3" name="Investment Related - Corporate Matter" dataDxfId="2"/>
    <tableColumn id="4" name="Non-Investment Related - Other Departments" dataDxfId="3"/>
    <tableColumn id="5" name="Public - Infrastructure &amp; Guidance" dataDxfId="4"/>
    <tableColumn id="6" name="Public - Knowledge Accumulation &amp; Sharing" dataDxfId="5"/>
    <tableColumn id="7" name="Public - Others" dataDxfId="6"/>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I20"/>
  <sheetViews>
    <sheetView tabSelected="1" topLeftCell="B4" workbookViewId="0">
      <selection activeCell="C16" sqref="C16"/>
    </sheetView>
  </sheetViews>
  <sheetFormatPr defaultColWidth="9" defaultRowHeight="13.85"/>
  <cols>
    <col min="3" max="3" width="34.3982300884956" style="9" customWidth="1"/>
    <col min="4" max="4" width="15.1327433628319" customWidth="1"/>
    <col min="5" max="5" width="10.6017699115044" customWidth="1"/>
    <col min="6" max="6" width="29.8672566371681" style="9" customWidth="1"/>
    <col min="8" max="8" width="41.6017699115044" style="9" customWidth="1"/>
    <col min="9" max="9" width="39.8672566371681" customWidth="1"/>
  </cols>
  <sheetData>
    <row r="1" ht="14.6"/>
    <row r="2" ht="26.25" spans="2:9">
      <c r="B2" s="10" t="s">
        <v>0</v>
      </c>
      <c r="C2" s="11" t="s">
        <v>1</v>
      </c>
      <c r="D2" s="11" t="s">
        <v>2</v>
      </c>
      <c r="E2" s="11" t="s">
        <v>3</v>
      </c>
      <c r="F2" s="11" t="s">
        <v>4</v>
      </c>
      <c r="G2" s="11" t="s">
        <v>5</v>
      </c>
      <c r="H2" s="11" t="s">
        <v>6</v>
      </c>
      <c r="I2" s="26" t="s">
        <v>7</v>
      </c>
    </row>
    <row r="3" ht="207.95" customHeight="1" spans="2:9">
      <c r="B3" s="12" t="s">
        <v>8</v>
      </c>
      <c r="C3" s="13" t="s">
        <v>9</v>
      </c>
      <c r="D3" s="13" t="s">
        <v>10</v>
      </c>
      <c r="E3" s="13" t="s">
        <v>11</v>
      </c>
      <c r="F3" s="13" t="s">
        <v>12</v>
      </c>
      <c r="G3" s="13" t="s">
        <v>13</v>
      </c>
      <c r="H3" s="13" t="s">
        <v>14</v>
      </c>
      <c r="I3" s="27" t="s">
        <v>15</v>
      </c>
    </row>
    <row r="4" ht="25.5" spans="2:9">
      <c r="B4" s="14" t="s">
        <v>16</v>
      </c>
      <c r="C4" s="15" t="s">
        <v>17</v>
      </c>
      <c r="D4" s="14"/>
      <c r="E4" s="14" t="s">
        <v>18</v>
      </c>
      <c r="F4" s="15"/>
      <c r="G4" s="14">
        <v>0.5</v>
      </c>
      <c r="H4" s="15" t="s">
        <v>19</v>
      </c>
      <c r="I4" s="14"/>
    </row>
    <row r="5" ht="25.5" spans="2:9">
      <c r="B5" s="14" t="s">
        <v>16</v>
      </c>
      <c r="C5" s="15" t="s">
        <v>20</v>
      </c>
      <c r="D5" s="14" t="s">
        <v>21</v>
      </c>
      <c r="E5" s="14" t="s">
        <v>22</v>
      </c>
      <c r="F5" s="15" t="s">
        <v>23</v>
      </c>
      <c r="G5" s="14">
        <v>0.8</v>
      </c>
      <c r="H5" s="15" t="s">
        <v>24</v>
      </c>
      <c r="I5" s="14" t="s">
        <v>25</v>
      </c>
    </row>
    <row r="6" spans="2:9">
      <c r="B6" s="14" t="s">
        <v>16</v>
      </c>
      <c r="C6" s="15" t="s">
        <v>17</v>
      </c>
      <c r="D6" s="14" t="s">
        <v>26</v>
      </c>
      <c r="E6" s="14" t="s">
        <v>18</v>
      </c>
      <c r="F6" s="15"/>
      <c r="G6" s="14">
        <v>0.8</v>
      </c>
      <c r="H6" s="15" t="s">
        <v>18</v>
      </c>
      <c r="I6" s="14" t="s">
        <v>27</v>
      </c>
    </row>
    <row r="7" ht="37" customHeight="1" spans="2:9">
      <c r="B7" s="14" t="s">
        <v>16</v>
      </c>
      <c r="C7" s="15" t="s">
        <v>28</v>
      </c>
      <c r="D7" s="14"/>
      <c r="E7" s="14" t="s">
        <v>22</v>
      </c>
      <c r="F7" s="15" t="s">
        <v>29</v>
      </c>
      <c r="G7" s="14">
        <v>1.8</v>
      </c>
      <c r="H7" s="15" t="s">
        <v>30</v>
      </c>
      <c r="I7" s="15" t="s">
        <v>31</v>
      </c>
    </row>
    <row r="8" ht="25.5" spans="2:9">
      <c r="B8" s="14" t="s">
        <v>16</v>
      </c>
      <c r="C8" s="15" t="s">
        <v>28</v>
      </c>
      <c r="D8" s="14" t="s">
        <v>32</v>
      </c>
      <c r="E8" s="14" t="s">
        <v>22</v>
      </c>
      <c r="F8" s="16"/>
      <c r="G8" s="14">
        <v>3.2</v>
      </c>
      <c r="H8" s="15" t="s">
        <v>30</v>
      </c>
      <c r="I8" s="15" t="s">
        <v>33</v>
      </c>
    </row>
    <row r="9" ht="25.5" spans="2:9">
      <c r="B9" s="14" t="s">
        <v>16</v>
      </c>
      <c r="C9" s="15" t="s">
        <v>20</v>
      </c>
      <c r="D9" s="14" t="s">
        <v>34</v>
      </c>
      <c r="E9" s="14" t="s">
        <v>22</v>
      </c>
      <c r="F9" s="15" t="s">
        <v>23</v>
      </c>
      <c r="G9" s="14">
        <v>8.4</v>
      </c>
      <c r="H9" s="15" t="s">
        <v>35</v>
      </c>
      <c r="I9" s="14" t="s">
        <v>36</v>
      </c>
    </row>
    <row r="10" ht="25.5" spans="2:9">
      <c r="B10" s="14" t="s">
        <v>16</v>
      </c>
      <c r="C10" s="15" t="s">
        <v>20</v>
      </c>
      <c r="D10" s="14" t="s">
        <v>34</v>
      </c>
      <c r="E10" s="14" t="s">
        <v>22</v>
      </c>
      <c r="F10" s="15" t="s">
        <v>23</v>
      </c>
      <c r="G10" s="14">
        <v>3.2</v>
      </c>
      <c r="H10" s="15" t="s">
        <v>37</v>
      </c>
      <c r="I10" s="14" t="s">
        <v>38</v>
      </c>
    </row>
    <row r="11" ht="25.5" spans="2:9">
      <c r="B11" s="14" t="s">
        <v>16</v>
      </c>
      <c r="C11" s="15" t="s">
        <v>20</v>
      </c>
      <c r="D11" s="14" t="s">
        <v>39</v>
      </c>
      <c r="E11" s="14" t="s">
        <v>22</v>
      </c>
      <c r="F11" s="15" t="s">
        <v>23</v>
      </c>
      <c r="G11" s="14">
        <v>0.6</v>
      </c>
      <c r="H11" s="15" t="s">
        <v>24</v>
      </c>
      <c r="I11" s="14" t="s">
        <v>40</v>
      </c>
    </row>
    <row r="12" ht="25.5" spans="2:9">
      <c r="B12" s="14" t="s">
        <v>16</v>
      </c>
      <c r="C12" s="15" t="s">
        <v>20</v>
      </c>
      <c r="D12" s="14" t="s">
        <v>41</v>
      </c>
      <c r="E12" s="14" t="s">
        <v>22</v>
      </c>
      <c r="F12" s="15" t="s">
        <v>23</v>
      </c>
      <c r="G12" s="14">
        <v>0.3</v>
      </c>
      <c r="H12" s="15" t="s">
        <v>24</v>
      </c>
      <c r="I12" s="14" t="s">
        <v>42</v>
      </c>
    </row>
    <row r="13" ht="25.5" spans="2:9">
      <c r="B13" s="14" t="s">
        <v>16</v>
      </c>
      <c r="C13" s="15" t="s">
        <v>20</v>
      </c>
      <c r="D13" s="14" t="s">
        <v>43</v>
      </c>
      <c r="E13" s="14" t="s">
        <v>22</v>
      </c>
      <c r="F13" s="15" t="s">
        <v>23</v>
      </c>
      <c r="G13" s="14">
        <v>0.4</v>
      </c>
      <c r="H13" s="15" t="s">
        <v>24</v>
      </c>
      <c r="I13" s="14" t="s">
        <v>44</v>
      </c>
    </row>
    <row r="14" ht="25.5" spans="2:9">
      <c r="B14" s="14" t="s">
        <v>16</v>
      </c>
      <c r="C14" s="15" t="s">
        <v>20</v>
      </c>
      <c r="D14" s="14" t="s">
        <v>45</v>
      </c>
      <c r="E14" s="14" t="s">
        <v>22</v>
      </c>
      <c r="F14" s="15" t="s">
        <v>23</v>
      </c>
      <c r="G14" s="14">
        <v>0.8</v>
      </c>
      <c r="H14" s="15" t="s">
        <v>18</v>
      </c>
      <c r="I14" s="14" t="s">
        <v>46</v>
      </c>
    </row>
    <row r="15" spans="2:9">
      <c r="B15" s="14" t="s">
        <v>16</v>
      </c>
      <c r="C15" s="15" t="s">
        <v>17</v>
      </c>
      <c r="D15" s="14"/>
      <c r="E15" s="14" t="s">
        <v>18</v>
      </c>
      <c r="F15" s="16"/>
      <c r="G15" s="17">
        <v>1.4</v>
      </c>
      <c r="H15" s="15" t="s">
        <v>18</v>
      </c>
      <c r="I15" s="14" t="s">
        <v>47</v>
      </c>
    </row>
    <row r="16" ht="25.5" spans="2:9">
      <c r="B16" s="14" t="s">
        <v>16</v>
      </c>
      <c r="C16" s="15" t="s">
        <v>20</v>
      </c>
      <c r="D16" s="14" t="s">
        <v>48</v>
      </c>
      <c r="E16" s="14" t="s">
        <v>22</v>
      </c>
      <c r="F16" s="15" t="s">
        <v>23</v>
      </c>
      <c r="G16" s="17">
        <v>0.5</v>
      </c>
      <c r="H16" s="15" t="s">
        <v>24</v>
      </c>
      <c r="I16" s="14" t="s">
        <v>49</v>
      </c>
    </row>
    <row r="17" ht="25.5" spans="2:9">
      <c r="B17" s="14" t="s">
        <v>16</v>
      </c>
      <c r="C17" s="15" t="s">
        <v>50</v>
      </c>
      <c r="D17" s="14" t="s">
        <v>51</v>
      </c>
      <c r="E17" s="14" t="s">
        <v>22</v>
      </c>
      <c r="F17" s="15" t="s">
        <v>23</v>
      </c>
      <c r="G17" s="17">
        <v>0.5</v>
      </c>
      <c r="H17" s="15" t="s">
        <v>24</v>
      </c>
      <c r="I17" s="14" t="s">
        <v>52</v>
      </c>
    </row>
    <row r="18" spans="2:9">
      <c r="B18" s="14"/>
      <c r="C18" s="15"/>
      <c r="D18" s="14"/>
      <c r="E18" s="14"/>
      <c r="F18" s="18" t="s">
        <v>53</v>
      </c>
      <c r="G18" s="19">
        <f>SUM(G4:G17)</f>
        <v>23.2</v>
      </c>
      <c r="H18" s="19"/>
      <c r="I18" s="19"/>
    </row>
    <row r="19" ht="14.6" spans="2:9">
      <c r="B19" s="20"/>
      <c r="C19" s="21"/>
      <c r="D19" s="22"/>
      <c r="E19" s="22"/>
      <c r="F19" s="23" t="s">
        <v>54</v>
      </c>
      <c r="G19" s="24">
        <v>4</v>
      </c>
      <c r="H19" s="25"/>
      <c r="I19" s="28"/>
    </row>
    <row r="20" ht="14.6"/>
  </sheetData>
  <mergeCells count="2">
    <mergeCell ref="G18:I18"/>
    <mergeCell ref="G19:I19"/>
  </mergeCells>
  <dataValidations count="5">
    <dataValidation type="list" allowBlank="1" showInputMessage="1" showErrorMessage="1" sqref="F9">
      <formula1>INDIRECT(E8)</formula1>
    </dataValidation>
    <dataValidation type="list" allowBlank="1" showInputMessage="1" showErrorMessage="1" sqref="C4:C19">
      <formula1>数据标签!$B$2:$H$2</formula1>
    </dataValidation>
    <dataValidation type="list" allowBlank="1" showInputMessage="1" showErrorMessage="1" sqref="E4:E19">
      <formula1>数据标签!$B$11:$D$11</formula1>
    </dataValidation>
    <dataValidation type="list" allowBlank="1" showInputMessage="1" showErrorMessage="1" sqref="F4:F7 F10:F14 F16:F17">
      <formula1>INDIRECT(E4)</formula1>
    </dataValidation>
    <dataValidation type="list" allowBlank="1" showInputMessage="1" showErrorMessage="1" sqref="H4:H17">
      <formula1>hh</formula1>
    </dataValidation>
  </dataValidation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H27"/>
  <sheetViews>
    <sheetView topLeftCell="A17" workbookViewId="0">
      <selection activeCell="B26" sqref="B26"/>
    </sheetView>
  </sheetViews>
  <sheetFormatPr defaultColWidth="8.86725663716814" defaultRowHeight="12.75" outlineLevelCol="7"/>
  <cols>
    <col min="1" max="1" width="8.86725663716814" style="1"/>
    <col min="2" max="2" width="26.8672566371681" style="1" customWidth="1"/>
    <col min="3" max="3" width="21.6017699115044" style="1" customWidth="1"/>
    <col min="4" max="7" width="28.6017699115044" style="1" customWidth="1"/>
    <col min="8" max="8" width="27.2654867256637" style="1" customWidth="1"/>
    <col min="9" max="16384" width="8.86725663716814" style="1"/>
  </cols>
  <sheetData>
    <row r="2" ht="25.5" spans="1:8">
      <c r="A2" s="2" t="s">
        <v>55</v>
      </c>
      <c r="B2" s="3" t="s">
        <v>20</v>
      </c>
      <c r="C2" s="3" t="s">
        <v>56</v>
      </c>
      <c r="D2" s="3" t="s">
        <v>50</v>
      </c>
      <c r="E2" s="3" t="s">
        <v>57</v>
      </c>
      <c r="F2" s="3" t="s">
        <v>58</v>
      </c>
      <c r="G2" s="3" t="s">
        <v>28</v>
      </c>
      <c r="H2" s="3" t="s">
        <v>17</v>
      </c>
    </row>
    <row r="3" ht="38.25" spans="1:8">
      <c r="A3" s="2" t="s">
        <v>59</v>
      </c>
      <c r="B3" s="3" t="s">
        <v>37</v>
      </c>
      <c r="C3" s="3" t="s">
        <v>37</v>
      </c>
      <c r="D3" s="3" t="s">
        <v>37</v>
      </c>
      <c r="E3" s="3" t="s">
        <v>60</v>
      </c>
      <c r="F3" s="3" t="s">
        <v>61</v>
      </c>
      <c r="G3" s="3" t="s">
        <v>30</v>
      </c>
      <c r="H3" s="3" t="s">
        <v>62</v>
      </c>
    </row>
    <row r="4" ht="38.25" spans="2:8">
      <c r="B4" s="3" t="s">
        <v>35</v>
      </c>
      <c r="C4" s="3" t="s">
        <v>35</v>
      </c>
      <c r="D4" s="3" t="s">
        <v>35</v>
      </c>
      <c r="E4" s="3" t="s">
        <v>63</v>
      </c>
      <c r="F4" s="4" t="s">
        <v>64</v>
      </c>
      <c r="G4" s="3" t="s">
        <v>65</v>
      </c>
      <c r="H4" s="3" t="s">
        <v>19</v>
      </c>
    </row>
    <row r="5" ht="25.5" spans="2:8">
      <c r="B5" s="3" t="s">
        <v>66</v>
      </c>
      <c r="C5" s="3" t="s">
        <v>66</v>
      </c>
      <c r="D5" s="3" t="s">
        <v>66</v>
      </c>
      <c r="E5" s="3" t="s">
        <v>67</v>
      </c>
      <c r="F5" s="1" t="s">
        <v>18</v>
      </c>
      <c r="G5" s="3" t="s">
        <v>68</v>
      </c>
      <c r="H5" s="3" t="s">
        <v>69</v>
      </c>
    </row>
    <row r="6" ht="25.5" spans="2:8">
      <c r="B6" s="3" t="s">
        <v>70</v>
      </c>
      <c r="C6" s="3" t="s">
        <v>70</v>
      </c>
      <c r="D6" s="3" t="s">
        <v>70</v>
      </c>
      <c r="E6" s="3" t="s">
        <v>71</v>
      </c>
      <c r="G6" s="3" t="s">
        <v>72</v>
      </c>
      <c r="H6" s="3" t="s">
        <v>73</v>
      </c>
    </row>
    <row r="7" ht="38.25" spans="2:8">
      <c r="B7" s="3" t="s">
        <v>24</v>
      </c>
      <c r="C7" s="3" t="s">
        <v>24</v>
      </c>
      <c r="D7" s="3" t="s">
        <v>24</v>
      </c>
      <c r="E7" s="3" t="s">
        <v>74</v>
      </c>
      <c r="G7" s="1" t="s">
        <v>18</v>
      </c>
      <c r="H7" s="3" t="s">
        <v>75</v>
      </c>
    </row>
    <row r="8" spans="2:8">
      <c r="B8" s="1" t="s">
        <v>18</v>
      </c>
      <c r="C8" s="1" t="s">
        <v>18</v>
      </c>
      <c r="D8" s="1" t="s">
        <v>18</v>
      </c>
      <c r="E8" s="5"/>
      <c r="F8" s="4"/>
      <c r="G8" s="5"/>
      <c r="H8" s="6" t="s">
        <v>76</v>
      </c>
    </row>
    <row r="9" spans="3:8">
      <c r="C9" s="5"/>
      <c r="D9" s="5"/>
      <c r="H9" s="1" t="s">
        <v>18</v>
      </c>
    </row>
    <row r="11" spans="1:4">
      <c r="A11" s="1" t="s">
        <v>77</v>
      </c>
      <c r="B11" s="1" t="s">
        <v>22</v>
      </c>
      <c r="C11" s="1" t="s">
        <v>78</v>
      </c>
      <c r="D11" s="1" t="s">
        <v>18</v>
      </c>
    </row>
    <row r="12" ht="51" spans="1:2">
      <c r="A12" s="1" t="s">
        <v>79</v>
      </c>
      <c r="B12" s="3" t="s">
        <v>80</v>
      </c>
    </row>
    <row r="13" ht="38.25" spans="2:4">
      <c r="B13" s="7" t="s">
        <v>23</v>
      </c>
      <c r="C13" s="8" t="s">
        <v>81</v>
      </c>
      <c r="D13" s="8" t="s">
        <v>81</v>
      </c>
    </row>
    <row r="14" ht="25.5" spans="2:4">
      <c r="B14" s="7" t="s">
        <v>82</v>
      </c>
      <c r="C14" s="8" t="s">
        <v>81</v>
      </c>
      <c r="D14" s="8" t="s">
        <v>81</v>
      </c>
    </row>
    <row r="15" ht="51" spans="2:4">
      <c r="B15" s="7" t="s">
        <v>83</v>
      </c>
      <c r="C15" s="8" t="s">
        <v>81</v>
      </c>
      <c r="D15" s="8" t="s">
        <v>81</v>
      </c>
    </row>
    <row r="16" ht="51" spans="2:4">
      <c r="B16" s="7" t="s">
        <v>84</v>
      </c>
      <c r="C16" s="8" t="s">
        <v>81</v>
      </c>
      <c r="D16" s="8" t="s">
        <v>81</v>
      </c>
    </row>
    <row r="17" ht="51" spans="2:4">
      <c r="B17" s="7" t="s">
        <v>85</v>
      </c>
      <c r="C17" s="8" t="s">
        <v>81</v>
      </c>
      <c r="D17" s="8" t="s">
        <v>81</v>
      </c>
    </row>
    <row r="18" ht="51" spans="2:4">
      <c r="B18" s="7" t="s">
        <v>86</v>
      </c>
      <c r="C18" s="8" t="s">
        <v>81</v>
      </c>
      <c r="D18" s="8" t="s">
        <v>81</v>
      </c>
    </row>
    <row r="19" ht="51" spans="2:4">
      <c r="B19" s="7" t="s">
        <v>87</v>
      </c>
      <c r="C19" s="8" t="s">
        <v>81</v>
      </c>
      <c r="D19" s="8" t="s">
        <v>81</v>
      </c>
    </row>
    <row r="20" ht="38.25" spans="2:4">
      <c r="B20" s="7" t="s">
        <v>88</v>
      </c>
      <c r="C20" s="8" t="s">
        <v>81</v>
      </c>
      <c r="D20" s="8" t="s">
        <v>81</v>
      </c>
    </row>
    <row r="21" ht="38.25" spans="2:4">
      <c r="B21" s="7" t="s">
        <v>89</v>
      </c>
      <c r="C21" s="8" t="s">
        <v>81</v>
      </c>
      <c r="D21" s="8" t="s">
        <v>81</v>
      </c>
    </row>
    <row r="22" ht="38.25" spans="2:4">
      <c r="B22" s="7" t="s">
        <v>90</v>
      </c>
      <c r="C22" s="8" t="s">
        <v>81</v>
      </c>
      <c r="D22" s="8" t="s">
        <v>81</v>
      </c>
    </row>
    <row r="23" ht="38.25" spans="2:4">
      <c r="B23" s="7" t="s">
        <v>91</v>
      </c>
      <c r="C23" s="8"/>
      <c r="D23" s="8"/>
    </row>
    <row r="24" ht="76.5" spans="2:4">
      <c r="B24" s="7" t="s">
        <v>29</v>
      </c>
      <c r="C24" s="8" t="s">
        <v>81</v>
      </c>
      <c r="D24" s="8" t="s">
        <v>81</v>
      </c>
    </row>
    <row r="25" ht="38.25" spans="2:4">
      <c r="B25" s="7" t="s">
        <v>92</v>
      </c>
      <c r="C25" s="8" t="s">
        <v>81</v>
      </c>
      <c r="D25" s="8" t="s">
        <v>81</v>
      </c>
    </row>
    <row r="26" ht="38.25" spans="2:4">
      <c r="B26" s="7" t="s">
        <v>93</v>
      </c>
      <c r="C26" s="8" t="s">
        <v>81</v>
      </c>
      <c r="D26" s="8" t="s">
        <v>81</v>
      </c>
    </row>
    <row r="27" ht="25.5" spans="2:4">
      <c r="B27" s="7" t="s">
        <v>94</v>
      </c>
      <c r="C27" s="8" t="s">
        <v>81</v>
      </c>
      <c r="D27" s="8" t="s">
        <v>81</v>
      </c>
    </row>
  </sheetData>
  <pageMargins left="0.7" right="0.7" top="0.75" bottom="0.75" header="0.3" footer="0.3"/>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个人工时记录表</vt:lpstr>
      <vt:lpstr>数据标签</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舟宇</cp:lastModifiedBy>
  <dcterms:created xsi:type="dcterms:W3CDTF">2024-12-10T02:24:00Z</dcterms:created>
  <dcterms:modified xsi:type="dcterms:W3CDTF">2025-01-13T05:02:59Z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