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项目\14.工作记录\"/>
    </mc:Choice>
  </mc:AlternateContent>
  <xr:revisionPtr revIDLastSave="0" documentId="13_ncr:1_{423F135D-8392-4712-B892-354999487A91}" xr6:coauthVersionLast="47" xr6:coauthVersionMax="47" xr10:uidLastSave="{00000000-0000-0000-0000-000000000000}"/>
  <bookViews>
    <workbookView xWindow="-98" yWindow="-98" windowWidth="23596" windowHeight="15076" xr2:uid="{00000000-000D-0000-FFFF-FFFF00000000}"/>
  </bookViews>
  <sheets>
    <sheet name="个人工时记录表" sheetId="1" r:id="rId1"/>
    <sheet name="数据标签" sheetId="2" r:id="rId2"/>
    <sheet name="Sheet1" sheetId="3" r:id="rId3"/>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4" i="3" l="1"/>
  <c r="J33" i="3"/>
  <c r="D33" i="3"/>
  <c r="G30" i="1"/>
</calcChain>
</file>

<file path=xl/sharedStrings.xml><?xml version="1.0" encoding="utf-8"?>
<sst xmlns="http://schemas.openxmlformats.org/spreadsheetml/2006/main" count="399" uniqueCount="169">
  <si>
    <t>Name</t>
  </si>
  <si>
    <t>Deal/Matter Category</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</si>
  <si>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</si>
  <si>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</si>
  <si>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</si>
  <si>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</si>
  <si>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</si>
  <si>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</si>
  <si>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</si>
  <si>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</si>
  <si>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</si>
  <si>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请确认该项事务是否为CTD-投资法务中心的OKR事项
Confirm whether it's a CTD-ILC OKR iteam</t>
  </si>
  <si>
    <t xml:space="preserve">如为CTD-投资法务中心BSC或OKR事项，请相应勾选下拉菜单中的BSC/OKR事项选项
In the case of a CTD-ILC BSC or OKR item, please select the detailed item in the drop-down menu </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</si>
  <si>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</si>
  <si>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</si>
  <si>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</si>
  <si>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zhouyutan</t>
  </si>
  <si>
    <t>Public - Others</t>
  </si>
  <si>
    <t>Others</t>
  </si>
  <si>
    <t>Recording/reviewing deals updates/weekly time reports/other team summaries</t>
  </si>
  <si>
    <t>礼邦医药</t>
  </si>
  <si>
    <t xml:space="preserve">Regulatory Analysis DD </t>
  </si>
  <si>
    <t>Investment Related - M&amp;A Deal</t>
  </si>
  <si>
    <t>C2融资LF审阅</t>
  </si>
  <si>
    <t>Investment Related - IPO</t>
  </si>
  <si>
    <t>终止协议/承诺函</t>
  </si>
  <si>
    <t>宁丹新药</t>
  </si>
  <si>
    <t>IPO材料</t>
  </si>
  <si>
    <t>长鑫科技</t>
  </si>
  <si>
    <t>IPO发行方案等</t>
  </si>
  <si>
    <t>日常决议</t>
  </si>
  <si>
    <t>小电科技</t>
  </si>
  <si>
    <t>并购方案review/沟通</t>
  </si>
  <si>
    <t>英派药业</t>
  </si>
  <si>
    <t>发行方案等</t>
  </si>
  <si>
    <t>成都鬼脸</t>
  </si>
  <si>
    <t>退出文件审阅</t>
  </si>
  <si>
    <t>炼石网络</t>
  </si>
  <si>
    <t xml:space="preserve">Total Hours:  </t>
  </si>
  <si>
    <t>Number of Actual Working Days:</t>
  </si>
  <si>
    <t>C列</t>
  </si>
  <si>
    <t>Investment Related - Corporate Matter</t>
  </si>
  <si>
    <t>Non-Investment Related - Other Departments</t>
  </si>
  <si>
    <t>Public - Infrastructure &amp; Guidance</t>
  </si>
  <si>
    <t>Public - Knowledge Accumulation &amp; Sharing</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</si>
  <si>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</si>
  <si>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</si>
  <si>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</si>
  <si>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</si>
  <si>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</si>
  <si>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</si>
  <si>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</si>
  <si>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</si>
  <si>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Establishing/improving IT systems</t>
  </si>
  <si>
    <t>Providing training sessions/knowledge sharing</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</si>
  <si>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</si>
  <si>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</si>
  <si>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</si>
  <si>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</si>
  <si>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</si>
  <si>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</si>
  <si>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</si>
  <si>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</si>
  <si>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</si>
  <si>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</si>
  <si>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</si>
  <si>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Interacting with regulators</t>
  </si>
  <si>
    <t>E列</t>
  </si>
  <si>
    <t>BSC</t>
  </si>
  <si>
    <t>OKR</t>
  </si>
  <si>
    <t>F列</t>
  </si>
  <si>
    <t>境内外金融业务资质申请 Application for domestic and overseas financial business licenses</t>
  </si>
  <si>
    <t>投资项目全流程法务支持 Full-process legal support for investments</t>
  </si>
  <si>
    <t xml:space="preserve"> </t>
  </si>
  <si>
    <t>敏感投资领域投资指引 Guidance for sensitive investment fields</t>
  </si>
  <si>
    <t>资本市场、投融资活动创新突破 Innovative breakthroughs in investments and capital market transactions</t>
  </si>
  <si>
    <t>境内外主体/办公室合规管理 Compliance management for domestic and overseas entities/offices</t>
  </si>
  <si>
    <t>反洗钱及制裁法务支持 Legal support for anti-money laundering and sanctions compliance</t>
  </si>
  <si>
    <t>资本市场证券交易全流程合规体系建设 Full-process compliance system  for securities trading in capital markets</t>
  </si>
  <si>
    <t>控股和重点投资公司法务风险管理 Legal risk management for controlled and key invested portfolios</t>
  </si>
  <si>
    <t>金融投资公司业务合规管理 Compliance management for  invested financial portfolios</t>
  </si>
  <si>
    <t>海外投资合规管理 Overseas investment compliance management</t>
  </si>
  <si>
    <t>国际业务(投资)监管应对Interaction with regulators for international investments</t>
  </si>
  <si>
    <t>国际监管趋势监测、预判 Monitoring and forecasting international regulatory trends</t>
  </si>
  <si>
    <t>境内投融资资本市场监管发展与重大政策争取与风险应对 Regulatory compliance in domestic investments and capital markets; lobbying for major policies and risk mitigation</t>
  </si>
  <si>
    <t>执业管理平台体系完善 Perfection of the professional management platform</t>
  </si>
  <si>
    <t>优化Hotdesk和专家组制度 Optimization of Hotdesk and expert panel system</t>
  </si>
  <si>
    <t>精细化管理工具搭建 Adoption of refined management tools</t>
  </si>
  <si>
    <t>序号</t>
  </si>
  <si>
    <t>股东名称</t>
  </si>
  <si>
    <t>股权转让后的</t>
  </si>
  <si>
    <t>首期补偿金额</t>
  </si>
  <si>
    <t>第二期补偿金额</t>
  </si>
  <si>
    <r>
      <rPr>
        <b/>
        <sz val="12"/>
        <color rgb="FF000000"/>
        <rFont val="宋体"/>
        <family val="3"/>
        <charset val="134"/>
      </rPr>
      <t>出资额（人民币</t>
    </r>
    <r>
      <rPr>
        <b/>
        <sz val="12"/>
        <color rgb="FF000000"/>
        <rFont val="Times New Roman"/>
        <family val="1"/>
      </rPr>
      <t>/</t>
    </r>
    <r>
      <rPr>
        <b/>
        <sz val="12"/>
        <color rgb="FF000000"/>
        <rFont val="宋体"/>
        <family val="3"/>
        <charset val="134"/>
      </rPr>
      <t>元）</t>
    </r>
  </si>
  <si>
    <r>
      <rPr>
        <b/>
        <sz val="12"/>
        <color rgb="FF000000"/>
        <rFont val="宋体"/>
        <family val="3"/>
        <charset val="134"/>
      </rPr>
      <t>（</t>
    </r>
    <r>
      <rPr>
        <b/>
        <sz val="12"/>
        <color rgb="FF000000"/>
        <rFont val="宋体"/>
        <family val="3"/>
        <charset val="134"/>
      </rPr>
      <t>人民币</t>
    </r>
    <r>
      <rPr>
        <b/>
        <sz val="12"/>
        <color rgb="FF000000"/>
        <rFont val="Times New Roman"/>
        <family val="1"/>
      </rPr>
      <t>/</t>
    </r>
    <r>
      <rPr>
        <b/>
        <sz val="12"/>
        <color rgb="FF000000"/>
        <rFont val="宋体"/>
        <family val="3"/>
        <charset val="134"/>
      </rPr>
      <t>万元）</t>
    </r>
  </si>
  <si>
    <t>1 </t>
  </si>
  <si>
    <t>创想基金</t>
  </si>
  <si>
    <t>2 </t>
  </si>
  <si>
    <t>骅文科技</t>
  </si>
  <si>
    <t>小计</t>
  </si>
  <si>
    <t>股权转让后</t>
  </si>
  <si>
    <r>
      <rPr>
        <b/>
        <sz val="12"/>
        <color rgb="FF000000"/>
        <rFont val="宋体"/>
        <family val="3"/>
        <charset val="134"/>
      </rPr>
      <t>的出资额（人民币</t>
    </r>
    <r>
      <rPr>
        <b/>
        <sz val="12"/>
        <color rgb="FF000000"/>
        <rFont val="Times New Roman"/>
        <family val="1"/>
      </rPr>
      <t>/</t>
    </r>
    <r>
      <rPr>
        <b/>
        <sz val="12"/>
        <color rgb="FF000000"/>
        <rFont val="宋体"/>
        <family val="3"/>
        <charset val="134"/>
      </rPr>
      <t>元）</t>
    </r>
  </si>
  <si>
    <r>
      <rPr>
        <sz val="12"/>
        <color rgb="FF000000"/>
        <rFont val="宋体"/>
        <family val="3"/>
        <charset val="134"/>
      </rPr>
      <t>中电云电</t>
    </r>
    <r>
      <rPr>
        <sz val="12"/>
        <color rgb="FF000000"/>
        <rFont val="宋体"/>
        <family val="3"/>
        <charset val="134"/>
      </rPr>
      <t>基金</t>
    </r>
  </si>
  <si>
    <t>中电海河基金</t>
  </si>
  <si>
    <t>3 </t>
  </si>
  <si>
    <t>中电聚智二号</t>
  </si>
  <si>
    <t>4 </t>
  </si>
  <si>
    <t>网神信息</t>
  </si>
  <si>
    <t>5 </t>
  </si>
  <si>
    <t>奇安信集团</t>
  </si>
  <si>
    <t>6 </t>
  </si>
  <si>
    <t>战新基金</t>
  </si>
  <si>
    <t>7 </t>
  </si>
  <si>
    <t>元禾易连</t>
  </si>
  <si>
    <t>8 </t>
  </si>
  <si>
    <t>智慧互联产业基金</t>
  </si>
  <si>
    <t>9 </t>
  </si>
  <si>
    <t>前海母基金</t>
  </si>
  <si>
    <t>10 </t>
  </si>
  <si>
    <t>创维海河基金</t>
  </si>
  <si>
    <t>11 </t>
  </si>
  <si>
    <t>宁波乾水基金</t>
  </si>
  <si>
    <t>12 </t>
  </si>
  <si>
    <r>
      <rPr>
        <sz val="12"/>
        <color rgb="FF000000"/>
        <rFont val="宋体"/>
        <family val="3"/>
        <charset val="134"/>
      </rPr>
      <t>中电科</t>
    </r>
    <r>
      <rPr>
        <sz val="12"/>
        <color rgb="FF000000"/>
        <rFont val="宋体"/>
        <family val="3"/>
        <charset val="134"/>
      </rPr>
      <t>基金</t>
    </r>
  </si>
  <si>
    <t>13 </t>
  </si>
  <si>
    <t>弘卓资本</t>
  </si>
  <si>
    <t>14 </t>
  </si>
  <si>
    <t>丰甲资本</t>
  </si>
  <si>
    <t>15 </t>
  </si>
  <si>
    <t>浦信熠云基金</t>
  </si>
  <si>
    <t>16 </t>
  </si>
  <si>
    <t>温州祯茂</t>
  </si>
  <si>
    <t>17 </t>
  </si>
  <si>
    <t>辽宁文创二期基金</t>
  </si>
  <si>
    <t>18 </t>
  </si>
  <si>
    <t>嘉兴天府骅胜</t>
  </si>
  <si>
    <t>19 </t>
  </si>
  <si>
    <t>嘉兴骅赛</t>
  </si>
  <si>
    <t>20 </t>
  </si>
  <si>
    <t>林芝利创</t>
  </si>
  <si>
    <t>21 </t>
  </si>
  <si>
    <t>上海光易</t>
  </si>
  <si>
    <t>22 </t>
  </si>
  <si>
    <t>真成基金</t>
  </si>
  <si>
    <t>23 </t>
  </si>
  <si>
    <t>真格天弘</t>
  </si>
  <si>
    <t>24 </t>
  </si>
  <si>
    <t>真成优实</t>
  </si>
  <si>
    <r>
      <rPr>
        <b/>
        <sz val="12"/>
        <color rgb="FF000000"/>
        <rFont val="宋体"/>
        <family val="3"/>
        <charset val="134"/>
      </rPr>
      <t>小</t>
    </r>
    <r>
      <rPr>
        <b/>
        <sz val="12"/>
        <color rgb="FF000000"/>
        <rFont val="宋体"/>
        <family val="3"/>
        <charset val="134"/>
      </rPr>
      <t>计</t>
    </r>
  </si>
  <si>
    <t>【】</t>
  </si>
  <si>
    <t>叠纸游戏</t>
    <phoneticPr fontId="12" type="noConversion"/>
  </si>
  <si>
    <t>paper IV交割</t>
    <phoneticPr fontId="12" type="noConversion"/>
  </si>
  <si>
    <t>Paper V协议</t>
    <phoneticPr fontId="12" type="noConversion"/>
  </si>
  <si>
    <t>合规分析/制裁筛查</t>
    <phoneticPr fontId="12" type="noConversion"/>
  </si>
  <si>
    <t>NDA-林清轩</t>
    <phoneticPr fontId="12" type="noConversion"/>
  </si>
  <si>
    <t>NDA审阅</t>
    <phoneticPr fontId="12" type="noConversion"/>
  </si>
  <si>
    <t>Taskey</t>
    <phoneticPr fontId="12" type="noConversion"/>
  </si>
  <si>
    <t>ESOP</t>
    <phoneticPr fontId="12" type="noConversion"/>
  </si>
  <si>
    <t>小鱼易连</t>
    <phoneticPr fontId="12" type="noConversion"/>
  </si>
  <si>
    <t>游奇</t>
    <phoneticPr fontId="12" type="noConversion"/>
  </si>
  <si>
    <t>重点投资公司例会</t>
    <phoneticPr fontId="12" type="noConversion"/>
  </si>
  <si>
    <t>各种电话</t>
    <phoneticPr fontId="12" type="noConversion"/>
  </si>
  <si>
    <t>CC /DPW /LW engage</t>
    <phoneticPr fontId="12" type="noConversion"/>
  </si>
  <si>
    <t>退出汇报材料</t>
    <phoneticPr fontId="12" type="noConversion"/>
  </si>
  <si>
    <t>C2 DD</t>
    <phoneticPr fontId="12" type="noConversion"/>
  </si>
  <si>
    <t>藤蔓</t>
    <phoneticPr fontId="12" type="noConversion"/>
  </si>
  <si>
    <t>核对应付账款</t>
    <phoneticPr fontId="12" type="noConversion"/>
  </si>
  <si>
    <t>B轮融资LF审阅</t>
    <phoneticPr fontId="12" type="noConversion"/>
  </si>
  <si>
    <t>腾梭</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</si>
</sst>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5" x14ac:knownFonts="1">
    <font>
      <sz val="11"/>
      <color theme="1"/>
      <name val="等线"/>
      <charset val="134"/>
      <scheme val="minor"/>
    </font>
    <font>
      <b/>
      <sz val="12"/>
      <color rgb="FF000000"/>
      <name val="宋体"/>
      <family val="3"/>
      <charset val="134"/>
    </font>
    <font>
      <sz val="12"/>
      <color rgb="FF000000"/>
      <name val="Times New Roman"/>
      <family val="1"/>
    </font>
    <font>
      <sz val="12"/>
      <color rgb="FF000000"/>
      <name val="宋体"/>
      <family val="3"/>
      <charset val="134"/>
    </font>
    <font>
      <b/>
      <sz val="12"/>
      <color rgb="FF000000"/>
      <name val="Times New Roman"/>
      <family val="1"/>
    </font>
    <font>
      <sz val="12"/>
      <color theme="1"/>
      <name val="Times New Roman"/>
      <family val="1"/>
    </font>
    <font>
      <sz val="10"/>
      <color theme="1"/>
      <name val="等线"/>
      <family val="3"/>
      <charset val="134"/>
      <scheme val="minor"/>
    </font>
    <font>
      <sz val="10"/>
      <name val="等线"/>
      <family val="3"/>
      <charset val="134"/>
    </font>
    <font>
      <sz val="10"/>
      <color theme="1"/>
      <name val="等线"/>
      <family val="3"/>
      <charset val="134"/>
    </font>
    <font>
      <b/>
      <sz val="10"/>
      <color theme="4" tint="-0.499984740745262"/>
      <name val="等线"/>
      <family val="3"/>
      <charset val="134"/>
      <scheme val="minor"/>
    </font>
    <font>
      <sz val="8"/>
      <color theme="4" tint="-0.499984740745262"/>
      <name val="等线"/>
      <family val="3"/>
      <charset val="134"/>
      <scheme val="minor"/>
    </font>
    <font>
      <b/>
      <i/>
      <sz val="10"/>
      <color theme="4" tint="-0.499984740745262"/>
      <name val="等线"/>
      <family val="3"/>
      <charset val="134"/>
      <scheme val="minor"/>
    </font>
    <font>
      <sz val="9"/>
      <name val="等线"/>
      <family val="3"/>
      <charset val="134"/>
      <scheme val="minor"/>
    </font>
    <font>
      <sz val="10"/>
      <color theme="1"/>
      <name val="等线"/>
      <family val="3"/>
      <charset val="134"/>
      <scheme val="minor"/>
    </font>
    <font>
      <sz val="9"/>
      <name val="等线"/>
      <family val="3"/>
      <charset val="134"/>
      <scheme val="minor"/>
    </font>
  </fonts>
  <fills count="3">
    <fill>
      <patternFill patternType="none"/>
    </fill>
    <fill>
      <patternFill patternType="gray125"/>
    </fill>
    <fill>
      <patternFill patternType="solid">
        <fgColor theme="8" tint="0.79982909634693444"/>
        <bgColor indexed="64"/>
      </patternFill>
    </fill>
  </fills>
  <borders count="26">
    <border>
      <left/>
      <right/>
      <top/>
      <bottom/>
      <diagonal/>
    </border>
    <border>
      <left style="thick">
        <color auto="1"/>
      </left>
      <right style="medium">
        <color auto="1"/>
      </right>
      <top style="thick">
        <color auto="1"/>
      </top>
      <bottom style="medium">
        <color auto="1"/>
      </bottom>
      <diagonal/>
    </border>
    <border>
      <left style="medium">
        <color auto="1"/>
      </left>
      <right style="medium">
        <color auto="1"/>
      </right>
      <top style="thick">
        <color auto="1"/>
      </top>
      <bottom style="medium">
        <color auto="1"/>
      </bottom>
      <diagonal/>
    </border>
    <border>
      <left style="medium">
        <color auto="1"/>
      </left>
      <right style="medium">
        <color auto="1"/>
      </right>
      <top style="thick">
        <color auto="1"/>
      </top>
      <bottom/>
      <diagonal/>
    </border>
    <border>
      <left style="medium">
        <color auto="1"/>
      </left>
      <right style="thick">
        <color auto="1"/>
      </right>
      <top style="thick">
        <color auto="1"/>
      </top>
      <bottom/>
      <diagonal/>
    </border>
    <border>
      <left style="medium">
        <color auto="1"/>
      </left>
      <right style="medium">
        <color auto="1"/>
      </right>
      <top/>
      <bottom style="medium">
        <color auto="1"/>
      </bottom>
      <diagonal/>
    </border>
    <border>
      <left style="medium">
        <color auto="1"/>
      </left>
      <right style="thick">
        <color auto="1"/>
      </right>
      <top/>
      <bottom style="medium">
        <color auto="1"/>
      </bottom>
      <diagonal/>
    </border>
    <border>
      <left style="thick">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thick">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thick">
        <color auto="1"/>
      </right>
      <top style="medium">
        <color auto="1"/>
      </top>
      <bottom/>
      <diagonal/>
    </border>
    <border>
      <left style="thick">
        <color auto="1"/>
      </left>
      <right style="medium">
        <color auto="1"/>
      </right>
      <top style="medium">
        <color auto="1"/>
      </top>
      <bottom style="thick">
        <color auto="1"/>
      </bottom>
      <diagonal/>
    </border>
    <border>
      <left style="medium">
        <color auto="1"/>
      </left>
      <right style="thick">
        <color auto="1"/>
      </right>
      <top style="medium">
        <color auto="1"/>
      </top>
      <bottom style="thick">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right style="thick">
        <color auto="1"/>
      </right>
      <top/>
      <bottom style="thick">
        <color auto="1"/>
      </bottom>
      <diagonal/>
    </border>
  </borders>
  <cellStyleXfs count="1">
    <xf numFmtId="0" fontId="0" fillId="0" borderId="0">
      <alignment vertical="center"/>
    </xf>
  </cellStyleXfs>
  <cellXfs count="52">
    <xf numFmtId="0" fontId="0" fillId="0" borderId="0" xfId="0">
      <alignment vertical="center"/>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2" fillId="0" borderId="7" xfId="0" applyFont="1" applyBorder="1" applyAlignment="1">
      <alignment horizontal="center" vertical="center" wrapText="1"/>
    </xf>
    <xf numFmtId="0" fontId="3" fillId="0" borderId="8" xfId="0" applyFont="1" applyBorder="1" applyAlignment="1">
      <alignment horizontal="center" vertical="center" wrapText="1"/>
    </xf>
    <xf numFmtId="4" fontId="2" fillId="0" borderId="8" xfId="0" applyNumberFormat="1" applyFont="1" applyBorder="1" applyAlignment="1">
      <alignment horizontal="center" vertical="center" wrapText="1"/>
    </xf>
    <xf numFmtId="0" fontId="2" fillId="0" borderId="9" xfId="0" applyFont="1" applyBorder="1" applyAlignment="1">
      <alignment horizontal="center" vertical="center" wrapText="1"/>
    </xf>
    <xf numFmtId="0" fontId="4"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2" fillId="0" borderId="9" xfId="0" applyFont="1" applyBorder="1" applyAlignment="1">
      <alignment horizontal="center" wrapText="1"/>
    </xf>
    <xf numFmtId="0" fontId="3" fillId="0" borderId="8" xfId="0" applyFont="1" applyBorder="1" applyAlignment="1">
      <alignment horizontal="center" vertical="top" wrapText="1"/>
    </xf>
    <xf numFmtId="0" fontId="1" fillId="0" borderId="13" xfId="0" applyFont="1" applyBorder="1" applyAlignment="1">
      <alignment horizontal="center" vertical="center" wrapText="1"/>
    </xf>
    <xf numFmtId="0" fontId="5" fillId="0" borderId="9" xfId="0" applyFont="1" applyBorder="1" applyAlignment="1">
      <alignment horizontal="center" vertical="center" wrapText="1"/>
    </xf>
    <xf numFmtId="0" fontId="6" fillId="0" borderId="0" xfId="0" applyFont="1">
      <alignment vertical="center"/>
    </xf>
    <xf numFmtId="49" fontId="7" fillId="0" borderId="0" xfId="0" applyNumberFormat="1" applyFont="1" applyAlignment="1">
      <alignment horizontal="center" vertical="center" wrapText="1"/>
    </xf>
    <xf numFmtId="0" fontId="6" fillId="0" borderId="0" xfId="0" applyFont="1" applyAlignment="1">
      <alignment vertical="center" wrapText="1"/>
    </xf>
    <xf numFmtId="0" fontId="8" fillId="0" borderId="0" xfId="0" applyFont="1">
      <alignment vertical="center"/>
    </xf>
    <xf numFmtId="0" fontId="8" fillId="0" borderId="0" xfId="0" applyFont="1" applyAlignment="1">
      <alignment vertical="center" wrapText="1"/>
    </xf>
    <xf numFmtId="0" fontId="8" fillId="0" borderId="0" xfId="0" applyFont="1" applyFill="1" applyAlignment="1">
      <alignment vertical="center" wrapText="1"/>
    </xf>
    <xf numFmtId="0" fontId="6" fillId="0" borderId="0" xfId="0" applyFont="1" applyFill="1" applyAlignment="1">
      <alignment vertical="center" wrapText="1"/>
    </xf>
    <xf numFmtId="49" fontId="6" fillId="0" borderId="0" xfId="0" applyNumberFormat="1" applyFont="1">
      <alignment vertical="center"/>
    </xf>
    <xf numFmtId="0" fontId="0" fillId="0" borderId="0" xfId="0" applyAlignment="1">
      <alignment vertical="center" wrapText="1"/>
    </xf>
    <xf numFmtId="0" fontId="9" fillId="0" borderId="14" xfId="0" applyFont="1" applyBorder="1" applyAlignment="1">
      <alignment horizontal="center" vertical="center" wrapText="1"/>
    </xf>
    <xf numFmtId="0" fontId="9" fillId="0" borderId="15" xfId="0" applyFont="1" applyBorder="1" applyAlignment="1">
      <alignment horizontal="center" vertical="center" wrapText="1"/>
    </xf>
    <xf numFmtId="0" fontId="10" fillId="2" borderId="16" xfId="0" applyFont="1" applyFill="1" applyBorder="1" applyAlignment="1">
      <alignment vertical="center" wrapText="1"/>
    </xf>
    <xf numFmtId="0" fontId="10" fillId="2" borderId="17" xfId="0" applyFont="1" applyFill="1" applyBorder="1" applyAlignment="1">
      <alignment vertical="center" wrapText="1"/>
    </xf>
    <xf numFmtId="0" fontId="6" fillId="0" borderId="17" xfId="0" applyFont="1" applyBorder="1">
      <alignment vertical="center"/>
    </xf>
    <xf numFmtId="0" fontId="6" fillId="0" borderId="17" xfId="0" applyFont="1" applyBorder="1" applyAlignment="1">
      <alignment vertical="center" wrapText="1"/>
    </xf>
    <xf numFmtId="0" fontId="6" fillId="0" borderId="17" xfId="0" applyFont="1" applyBorder="1" applyAlignment="1">
      <alignment horizontal="right" vertical="center"/>
    </xf>
    <xf numFmtId="176" fontId="6" fillId="0" borderId="17" xfId="0" applyNumberFormat="1" applyFont="1" applyBorder="1" applyAlignment="1">
      <alignment horizontal="right" vertical="center"/>
    </xf>
    <xf numFmtId="0" fontId="6" fillId="0" borderId="17" xfId="0" applyFont="1" applyBorder="1" applyAlignment="1">
      <alignment horizontal="right" vertical="center" wrapText="1"/>
    </xf>
    <xf numFmtId="0" fontId="6" fillId="0" borderId="18" xfId="0" applyFont="1" applyBorder="1">
      <alignment vertical="center"/>
    </xf>
    <xf numFmtId="0" fontId="6" fillId="0" borderId="19" xfId="0" applyFont="1" applyBorder="1" applyAlignment="1">
      <alignment vertical="center" wrapText="1"/>
    </xf>
    <xf numFmtId="0" fontId="6" fillId="0" borderId="19" xfId="0" applyFont="1" applyBorder="1">
      <alignment vertical="center"/>
    </xf>
    <xf numFmtId="0" fontId="6" fillId="0" borderId="20" xfId="0" applyFont="1" applyBorder="1" applyAlignment="1">
      <alignment horizontal="right" vertical="center" wrapText="1"/>
    </xf>
    <xf numFmtId="0" fontId="11" fillId="0" borderId="23" xfId="0" applyFont="1" applyBorder="1" applyAlignment="1">
      <alignment horizontal="center" vertical="center"/>
    </xf>
    <xf numFmtId="0" fontId="10" fillId="2" borderId="24" xfId="0" applyFont="1" applyFill="1" applyBorder="1" applyAlignment="1">
      <alignment vertical="center" wrapText="1"/>
    </xf>
    <xf numFmtId="0" fontId="5" fillId="0" borderId="0" xfId="0" applyFont="1">
      <alignment vertical="center"/>
    </xf>
    <xf numFmtId="3" fontId="0" fillId="0" borderId="0" xfId="0" applyNumberFormat="1" applyAlignment="1">
      <alignment vertical="center" wrapText="1"/>
    </xf>
    <xf numFmtId="0" fontId="13" fillId="0" borderId="17" xfId="0" applyFont="1" applyBorder="1">
      <alignment vertical="center"/>
    </xf>
    <xf numFmtId="0" fontId="6" fillId="0" borderId="17" xfId="0" applyFont="1" applyBorder="1" applyAlignment="1">
      <alignment horizontal="left" vertical="center"/>
    </xf>
    <xf numFmtId="0" fontId="6" fillId="0" borderId="21" xfId="0" applyFont="1" applyBorder="1" applyAlignment="1">
      <alignment horizontal="left" vertical="center"/>
    </xf>
    <xf numFmtId="0" fontId="6" fillId="0" borderId="22" xfId="0" applyFont="1" applyBorder="1" applyAlignment="1">
      <alignment horizontal="left" vertical="center"/>
    </xf>
    <xf numFmtId="0" fontId="6" fillId="0" borderId="25" xfId="0" applyFont="1" applyBorder="1" applyAlignment="1">
      <alignment horizontal="left" vertical="center"/>
    </xf>
    <xf numFmtId="0" fontId="1" fillId="0" borderId="7"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8" xfId="0" applyFont="1" applyBorder="1" applyAlignment="1">
      <alignment horizontal="center"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46"/>
  <sheetViews>
    <sheetView tabSelected="1" topLeftCell="C15" workbookViewId="0">
      <selection activeCell="G34" sqref="G34"/>
    </sheetView>
  </sheetViews>
  <sheetFormatPr defaultColWidth="9" defaultRowHeight="13.9" x14ac:dyDescent="0.4"/>
  <cols>
    <col min="3" max="3" width="34.3984375" style="24" customWidth="1"/>
    <col min="4" max="4" width="15.1328125" customWidth="1"/>
    <col min="5" max="5" width="10.59765625" customWidth="1"/>
    <col min="6" max="6" width="29.86328125" style="24" customWidth="1"/>
    <col min="8" max="8" width="41.59765625" style="24" customWidth="1"/>
    <col min="9" max="9" width="39.86328125" customWidth="1"/>
  </cols>
  <sheetData>
    <row r="2" spans="2:9" ht="25.5" x14ac:dyDescent="0.4">
      <c r="B2" s="25" t="s">
        <v>0</v>
      </c>
      <c r="C2" s="26" t="s">
        <v>1</v>
      </c>
      <c r="D2" s="26" t="s">
        <v>2</v>
      </c>
      <c r="E2" s="26" t="s">
        <v>3</v>
      </c>
      <c r="F2" s="26" t="s">
        <v>4</v>
      </c>
      <c r="G2" s="26" t="s">
        <v>5</v>
      </c>
      <c r="H2" s="26" t="s">
        <v>6</v>
      </c>
      <c r="I2" s="38" t="s">
        <v>7</v>
      </c>
    </row>
    <row r="3" spans="2:9" ht="207.95" customHeight="1" x14ac:dyDescent="0.4">
      <c r="B3" s="27" t="s">
        <v>8</v>
      </c>
      <c r="C3" s="28" t="s">
        <v>9</v>
      </c>
      <c r="D3" s="28" t="s">
        <v>10</v>
      </c>
      <c r="E3" s="28" t="s">
        <v>11</v>
      </c>
      <c r="F3" s="28" t="s">
        <v>12</v>
      </c>
      <c r="G3" s="28" t="s">
        <v>13</v>
      </c>
      <c r="H3" s="28" t="s">
        <v>14</v>
      </c>
      <c r="I3" s="39" t="s">
        <v>15</v>
      </c>
    </row>
    <row r="4" spans="2:9" ht="25.5" x14ac:dyDescent="0.4">
      <c r="B4" s="29" t="s">
        <v>16</v>
      </c>
      <c r="C4" s="30" t="s">
        <v>17</v>
      </c>
      <c r="D4" s="29"/>
      <c r="E4" s="29" t="s">
        <v>18</v>
      </c>
      <c r="F4" s="30"/>
      <c r="G4" s="31">
        <v>0.6</v>
      </c>
      <c r="H4" s="30" t="s">
        <v>19</v>
      </c>
      <c r="I4" s="29"/>
    </row>
    <row r="5" spans="2:9" ht="25.5" x14ac:dyDescent="0.4">
      <c r="B5" s="29"/>
      <c r="C5" s="30" t="s">
        <v>22</v>
      </c>
      <c r="D5" s="42" t="s">
        <v>150</v>
      </c>
      <c r="E5" s="29" t="s">
        <v>68</v>
      </c>
      <c r="F5" s="30" t="s">
        <v>72</v>
      </c>
      <c r="G5" s="31">
        <v>0.8</v>
      </c>
      <c r="H5" s="30" t="s">
        <v>46</v>
      </c>
      <c r="I5" s="42" t="s">
        <v>151</v>
      </c>
    </row>
    <row r="6" spans="2:9" ht="25.5" x14ac:dyDescent="0.4">
      <c r="B6" s="29"/>
      <c r="C6" s="30" t="s">
        <v>17</v>
      </c>
      <c r="D6" s="29" t="s">
        <v>20</v>
      </c>
      <c r="E6" s="29" t="s">
        <v>68</v>
      </c>
      <c r="F6" s="30" t="s">
        <v>72</v>
      </c>
      <c r="G6" s="31">
        <v>0.8</v>
      </c>
      <c r="H6" s="30" t="s">
        <v>65</v>
      </c>
      <c r="I6" s="42" t="s">
        <v>162</v>
      </c>
    </row>
    <row r="7" spans="2:9" ht="25.5" x14ac:dyDescent="0.4">
      <c r="B7" s="29"/>
      <c r="C7" s="30" t="s">
        <v>22</v>
      </c>
      <c r="D7" s="29" t="s">
        <v>20</v>
      </c>
      <c r="E7" s="29" t="s">
        <v>68</v>
      </c>
      <c r="F7" s="30" t="s">
        <v>72</v>
      </c>
      <c r="G7" s="31">
        <v>1.3</v>
      </c>
      <c r="H7" s="30" t="s">
        <v>55</v>
      </c>
      <c r="I7" s="29" t="s">
        <v>21</v>
      </c>
    </row>
    <row r="8" spans="2:9" ht="25.5" x14ac:dyDescent="0.4">
      <c r="B8" s="29"/>
      <c r="C8" s="30" t="s">
        <v>22</v>
      </c>
      <c r="D8" s="29" t="s">
        <v>20</v>
      </c>
      <c r="E8" s="29" t="s">
        <v>68</v>
      </c>
      <c r="F8" s="30" t="s">
        <v>72</v>
      </c>
      <c r="G8" s="31">
        <v>3.2</v>
      </c>
      <c r="H8" s="30" t="s">
        <v>46</v>
      </c>
      <c r="I8" s="29" t="s">
        <v>23</v>
      </c>
    </row>
    <row r="9" spans="2:9" ht="25.5" x14ac:dyDescent="0.4">
      <c r="B9" s="29"/>
      <c r="C9" s="30" t="s">
        <v>22</v>
      </c>
      <c r="D9" s="29" t="s">
        <v>20</v>
      </c>
      <c r="E9" s="29" t="s">
        <v>68</v>
      </c>
      <c r="F9" s="30" t="s">
        <v>72</v>
      </c>
      <c r="G9" s="31">
        <v>0.9</v>
      </c>
      <c r="H9" s="30" t="s">
        <v>51</v>
      </c>
      <c r="I9" s="42" t="s">
        <v>164</v>
      </c>
    </row>
    <row r="10" spans="2:9" ht="25.5" x14ac:dyDescent="0.4">
      <c r="B10" s="29"/>
      <c r="C10" s="30" t="s">
        <v>24</v>
      </c>
      <c r="D10" s="29" t="s">
        <v>20</v>
      </c>
      <c r="E10" s="29" t="s">
        <v>68</v>
      </c>
      <c r="F10" s="30" t="s">
        <v>72</v>
      </c>
      <c r="G10" s="31">
        <v>1.8</v>
      </c>
      <c r="H10" s="30" t="s">
        <v>46</v>
      </c>
      <c r="I10" s="29" t="s">
        <v>25</v>
      </c>
    </row>
    <row r="11" spans="2:9" ht="25.5" x14ac:dyDescent="0.4">
      <c r="B11" s="29"/>
      <c r="C11" s="30" t="s">
        <v>24</v>
      </c>
      <c r="D11" s="29" t="s">
        <v>20</v>
      </c>
      <c r="E11" s="29" t="s">
        <v>68</v>
      </c>
      <c r="F11" s="30" t="s">
        <v>72</v>
      </c>
      <c r="G11" s="31">
        <v>1.4</v>
      </c>
      <c r="H11" s="30" t="s">
        <v>18</v>
      </c>
      <c r="I11" s="42" t="s">
        <v>161</v>
      </c>
    </row>
    <row r="12" spans="2:9" ht="25.5" x14ac:dyDescent="0.4">
      <c r="B12" s="29"/>
      <c r="C12" s="30" t="s">
        <v>24</v>
      </c>
      <c r="D12" s="29" t="s">
        <v>26</v>
      </c>
      <c r="E12" s="29" t="s">
        <v>68</v>
      </c>
      <c r="F12" s="30" t="s">
        <v>72</v>
      </c>
      <c r="G12" s="31">
        <v>0.8</v>
      </c>
      <c r="H12" s="30" t="s">
        <v>46</v>
      </c>
      <c r="I12" s="29" t="s">
        <v>27</v>
      </c>
    </row>
    <row r="13" spans="2:9" ht="25.5" x14ac:dyDescent="0.4">
      <c r="B13" s="29"/>
      <c r="C13" s="30" t="s">
        <v>24</v>
      </c>
      <c r="D13" s="29" t="s">
        <v>28</v>
      </c>
      <c r="E13" s="29" t="s">
        <v>68</v>
      </c>
      <c r="F13" s="30" t="s">
        <v>72</v>
      </c>
      <c r="G13" s="32">
        <v>0.6</v>
      </c>
      <c r="H13" s="30" t="s">
        <v>46</v>
      </c>
      <c r="I13" s="29" t="s">
        <v>29</v>
      </c>
    </row>
    <row r="14" spans="2:9" ht="25.5" x14ac:dyDescent="0.4">
      <c r="B14" s="29"/>
      <c r="C14" s="30" t="s">
        <v>41</v>
      </c>
      <c r="D14" s="29" t="s">
        <v>28</v>
      </c>
      <c r="E14" s="29" t="s">
        <v>68</v>
      </c>
      <c r="F14" s="30" t="s">
        <v>72</v>
      </c>
      <c r="G14" s="31">
        <v>0.8</v>
      </c>
      <c r="H14" s="30" t="s">
        <v>46</v>
      </c>
      <c r="I14" s="29" t="s">
        <v>30</v>
      </c>
    </row>
    <row r="15" spans="2:9" ht="25.5" x14ac:dyDescent="0.4">
      <c r="B15" s="29"/>
      <c r="C15" s="30" t="s">
        <v>22</v>
      </c>
      <c r="D15" s="29" t="s">
        <v>31</v>
      </c>
      <c r="E15" s="29" t="s">
        <v>68</v>
      </c>
      <c r="F15" s="30" t="s">
        <v>72</v>
      </c>
      <c r="G15" s="31">
        <v>1.2</v>
      </c>
      <c r="H15" s="30" t="s">
        <v>46</v>
      </c>
      <c r="I15" s="29" t="s">
        <v>32</v>
      </c>
    </row>
    <row r="16" spans="2:9" ht="25.5" x14ac:dyDescent="0.4">
      <c r="B16" s="29"/>
      <c r="C16" s="30" t="s">
        <v>22</v>
      </c>
      <c r="D16" s="29" t="s">
        <v>31</v>
      </c>
      <c r="E16" s="29" t="s">
        <v>68</v>
      </c>
      <c r="F16" s="30" t="s">
        <v>72</v>
      </c>
      <c r="G16" s="31">
        <v>1.3</v>
      </c>
      <c r="H16" s="30" t="s">
        <v>63</v>
      </c>
      <c r="I16" s="42" t="s">
        <v>163</v>
      </c>
    </row>
    <row r="17" spans="2:9" ht="25.5" x14ac:dyDescent="0.4">
      <c r="B17" s="29"/>
      <c r="C17" s="30" t="s">
        <v>24</v>
      </c>
      <c r="D17" s="29" t="s">
        <v>33</v>
      </c>
      <c r="E17" s="29" t="s">
        <v>68</v>
      </c>
      <c r="F17" s="30" t="s">
        <v>72</v>
      </c>
      <c r="G17" s="31">
        <v>1.1000000000000001</v>
      </c>
      <c r="H17" s="30" t="s">
        <v>46</v>
      </c>
      <c r="I17" s="29" t="s">
        <v>34</v>
      </c>
    </row>
    <row r="18" spans="2:9" ht="25.5" x14ac:dyDescent="0.4">
      <c r="B18" s="29"/>
      <c r="C18" s="30" t="s">
        <v>41</v>
      </c>
      <c r="D18" s="29" t="s">
        <v>35</v>
      </c>
      <c r="E18" s="29" t="s">
        <v>68</v>
      </c>
      <c r="F18" s="30" t="s">
        <v>72</v>
      </c>
      <c r="G18" s="31">
        <v>0.9</v>
      </c>
      <c r="H18" s="30" t="s">
        <v>46</v>
      </c>
      <c r="I18" s="29" t="s">
        <v>36</v>
      </c>
    </row>
    <row r="19" spans="2:9" ht="25.5" x14ac:dyDescent="0.4">
      <c r="B19" s="29"/>
      <c r="C19" s="30" t="s">
        <v>41</v>
      </c>
      <c r="D19" s="42" t="s">
        <v>165</v>
      </c>
      <c r="E19" s="29" t="s">
        <v>68</v>
      </c>
      <c r="F19" s="30" t="s">
        <v>72</v>
      </c>
      <c r="G19" s="31">
        <v>0.3</v>
      </c>
      <c r="H19" s="30" t="s">
        <v>46</v>
      </c>
      <c r="I19" s="29" t="s">
        <v>30</v>
      </c>
    </row>
    <row r="20" spans="2:9" ht="25.5" x14ac:dyDescent="0.4">
      <c r="B20" s="29"/>
      <c r="C20" s="30" t="s">
        <v>22</v>
      </c>
      <c r="D20" s="29" t="s">
        <v>37</v>
      </c>
      <c r="E20" s="29" t="s">
        <v>68</v>
      </c>
      <c r="F20" s="30" t="s">
        <v>72</v>
      </c>
      <c r="G20" s="31">
        <v>5.2</v>
      </c>
      <c r="H20" s="30" t="s">
        <v>46</v>
      </c>
      <c r="I20" s="42" t="s">
        <v>167</v>
      </c>
    </row>
    <row r="21" spans="2:9" ht="25.5" x14ac:dyDescent="0.4">
      <c r="B21" s="29"/>
      <c r="C21" s="30" t="s">
        <v>22</v>
      </c>
      <c r="D21" s="29" t="s">
        <v>37</v>
      </c>
      <c r="E21" s="29" t="s">
        <v>68</v>
      </c>
      <c r="F21" s="30" t="s">
        <v>72</v>
      </c>
      <c r="G21" s="31">
        <v>1.1000000000000001</v>
      </c>
      <c r="H21" s="30" t="s">
        <v>63</v>
      </c>
      <c r="I21" s="42" t="s">
        <v>161</v>
      </c>
    </row>
    <row r="22" spans="2:9" ht="25.5" x14ac:dyDescent="0.4">
      <c r="B22" s="29"/>
      <c r="C22" s="30" t="s">
        <v>22</v>
      </c>
      <c r="D22" s="42" t="s">
        <v>150</v>
      </c>
      <c r="E22" s="29" t="s">
        <v>68</v>
      </c>
      <c r="F22" s="30" t="s">
        <v>72</v>
      </c>
      <c r="G22" s="31">
        <v>0.6</v>
      </c>
      <c r="H22" s="30" t="s">
        <v>46</v>
      </c>
      <c r="I22" s="42" t="s">
        <v>152</v>
      </c>
    </row>
    <row r="23" spans="2:9" ht="25.5" x14ac:dyDescent="0.4">
      <c r="B23" s="29"/>
      <c r="C23" s="30" t="s">
        <v>22</v>
      </c>
      <c r="D23" s="42" t="s">
        <v>150</v>
      </c>
      <c r="E23" s="29" t="s">
        <v>68</v>
      </c>
      <c r="F23" s="30" t="s">
        <v>72</v>
      </c>
      <c r="G23" s="31">
        <v>0.9</v>
      </c>
      <c r="H23" s="30" t="s">
        <v>63</v>
      </c>
      <c r="I23" s="42" t="s">
        <v>153</v>
      </c>
    </row>
    <row r="24" spans="2:9" ht="25.5" x14ac:dyDescent="0.4">
      <c r="B24" s="29"/>
      <c r="C24" s="30" t="s">
        <v>22</v>
      </c>
      <c r="D24" s="42" t="s">
        <v>154</v>
      </c>
      <c r="E24" s="29" t="s">
        <v>68</v>
      </c>
      <c r="F24" s="30" t="s">
        <v>72</v>
      </c>
      <c r="G24" s="31">
        <v>0.8</v>
      </c>
      <c r="H24" s="30" t="s">
        <v>46</v>
      </c>
      <c r="I24" s="42" t="s">
        <v>155</v>
      </c>
    </row>
    <row r="25" spans="2:9" ht="25.5" x14ac:dyDescent="0.4">
      <c r="B25" s="29"/>
      <c r="C25" s="30" t="s">
        <v>41</v>
      </c>
      <c r="D25" s="42" t="s">
        <v>156</v>
      </c>
      <c r="E25" s="29" t="s">
        <v>68</v>
      </c>
      <c r="F25" s="30" t="s">
        <v>72</v>
      </c>
      <c r="G25" s="31">
        <v>0.9</v>
      </c>
      <c r="H25" s="30" t="s">
        <v>46</v>
      </c>
      <c r="I25" s="42" t="s">
        <v>157</v>
      </c>
    </row>
    <row r="26" spans="2:9" ht="25.5" x14ac:dyDescent="0.4">
      <c r="B26" s="29"/>
      <c r="C26" s="30" t="s">
        <v>17</v>
      </c>
      <c r="D26" s="42" t="s">
        <v>158</v>
      </c>
      <c r="E26" s="29" t="s">
        <v>68</v>
      </c>
      <c r="F26" s="30" t="s">
        <v>72</v>
      </c>
      <c r="G26" s="31">
        <v>1.2</v>
      </c>
      <c r="H26" s="30" t="s">
        <v>50</v>
      </c>
      <c r="I26" s="29"/>
    </row>
    <row r="27" spans="2:9" ht="25.5" x14ac:dyDescent="0.4">
      <c r="B27" s="29"/>
      <c r="C27" s="30" t="s">
        <v>41</v>
      </c>
      <c r="D27" s="42" t="s">
        <v>159</v>
      </c>
      <c r="E27" s="29" t="s">
        <v>68</v>
      </c>
      <c r="F27" s="30" t="s">
        <v>72</v>
      </c>
      <c r="G27" s="31">
        <v>1.3</v>
      </c>
      <c r="H27" s="30" t="s">
        <v>46</v>
      </c>
      <c r="I27" s="42" t="s">
        <v>166</v>
      </c>
    </row>
    <row r="28" spans="2:9" ht="25.5" x14ac:dyDescent="0.4">
      <c r="B28" s="29"/>
      <c r="C28" s="30" t="s">
        <v>17</v>
      </c>
      <c r="D28" s="42" t="s">
        <v>160</v>
      </c>
      <c r="E28" s="29" t="s">
        <v>18</v>
      </c>
      <c r="F28" s="30" t="s">
        <v>72</v>
      </c>
      <c r="G28" s="31">
        <v>2</v>
      </c>
      <c r="H28" s="30" t="s">
        <v>50</v>
      </c>
      <c r="I28" s="29"/>
    </row>
    <row r="29" spans="2:9" ht="25.5" x14ac:dyDescent="0.4">
      <c r="B29" s="29"/>
      <c r="C29" s="30" t="s">
        <v>41</v>
      </c>
      <c r="D29" s="42" t="s">
        <v>168</v>
      </c>
      <c r="E29" s="29" t="s">
        <v>68</v>
      </c>
      <c r="F29" s="30" t="s">
        <v>72</v>
      </c>
      <c r="G29" s="31">
        <v>0.5</v>
      </c>
      <c r="H29" s="30" t="s">
        <v>18</v>
      </c>
      <c r="I29" s="42"/>
    </row>
    <row r="30" spans="2:9" x14ac:dyDescent="0.4">
      <c r="B30" s="29"/>
      <c r="C30" s="30"/>
      <c r="D30" s="29"/>
      <c r="E30" s="29"/>
      <c r="F30" s="33" t="s">
        <v>38</v>
      </c>
      <c r="G30" s="43">
        <f>SUM(G4:G29)</f>
        <v>32.299999999999997</v>
      </c>
      <c r="H30" s="43"/>
      <c r="I30" s="43"/>
    </row>
    <row r="31" spans="2:9" x14ac:dyDescent="0.4">
      <c r="B31" s="34"/>
      <c r="C31" s="35"/>
      <c r="D31" s="36"/>
      <c r="E31" s="36"/>
      <c r="F31" s="37" t="s">
        <v>39</v>
      </c>
      <c r="G31" s="44">
        <v>4</v>
      </c>
      <c r="H31" s="45"/>
      <c r="I31" s="46"/>
    </row>
    <row r="38" spans="6:8" ht="15.4" x14ac:dyDescent="0.4">
      <c r="F38" s="40"/>
    </row>
    <row r="39" spans="6:8" ht="15.4" x14ac:dyDescent="0.4">
      <c r="F39" s="40"/>
    </row>
    <row r="40" spans="6:8" ht="15.4" x14ac:dyDescent="0.4">
      <c r="F40" s="40"/>
      <c r="H40" s="41"/>
    </row>
    <row r="41" spans="6:8" x14ac:dyDescent="0.4">
      <c r="H41" s="41"/>
    </row>
    <row r="43" spans="6:8" x14ac:dyDescent="0.4">
      <c r="F43" s="41"/>
    </row>
    <row r="44" spans="6:8" x14ac:dyDescent="0.4">
      <c r="F44" s="41"/>
    </row>
    <row r="45" spans="6:8" x14ac:dyDescent="0.4">
      <c r="F45" s="41"/>
    </row>
    <row r="46" spans="6:8" x14ac:dyDescent="0.4">
      <c r="F46" s="41"/>
    </row>
  </sheetData>
  <mergeCells count="2">
    <mergeCell ref="G30:I30"/>
    <mergeCell ref="G31:I31"/>
  </mergeCells>
  <phoneticPr fontId="12" type="noConversion"/>
  <dataValidations count="2">
    <dataValidation type="list" allowBlank="1" showInputMessage="1" showErrorMessage="1" sqref="H4:H29" xr:uid="{00000000-0002-0000-0000-000003000000}">
      <formula1>hh</formula1>
    </dataValidation>
    <dataValidation type="list" allowBlank="1" showInputMessage="1" showErrorMessage="1" sqref="F4:F29" xr:uid="{00000000-0002-0000-0000-000002000000}">
      <formula1>INDIRECT(E4)</formula1>
    </dataValidation>
  </dataValidations>
  <pageMargins left="0.7" right="0.7" top="0.75" bottom="0.75" header="0.3" footer="0.3"/>
  <pageSetup paperSize="9" orientation="portrait"/>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0000000}">
          <x14:formula1>
            <xm:f>数据标签!$B$2:$H$2</xm:f>
          </x14:formula1>
          <xm:sqref>C4:C31</xm:sqref>
        </x14:dataValidation>
        <x14:dataValidation type="list" allowBlank="1" showInputMessage="1" showErrorMessage="1" xr:uid="{00000000-0002-0000-0000-000001000000}">
          <x14:formula1>
            <xm:f>数据标签!$B$11:$D$11</xm:f>
          </x14:formula1>
          <xm:sqref>E4:E31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7" workbookViewId="0">
      <selection activeCell="I14" sqref="I14"/>
    </sheetView>
  </sheetViews>
  <sheetFormatPr defaultColWidth="8.86328125" defaultRowHeight="12.75" x14ac:dyDescent="0.4"/>
  <cols>
    <col min="1" max="1" width="8.86328125" style="16"/>
    <col min="2" max="2" width="26.86328125" style="16" customWidth="1"/>
    <col min="3" max="3" width="21.59765625" style="16" customWidth="1"/>
    <col min="4" max="7" width="28.59765625" style="16" customWidth="1"/>
    <col min="8" max="8" width="27.265625" style="16" customWidth="1"/>
    <col min="9" max="16384" width="8.86328125" style="16"/>
  </cols>
  <sheetData>
    <row r="2" spans="1:8" ht="25.5" x14ac:dyDescent="0.4">
      <c r="A2" s="17" t="s">
        <v>40</v>
      </c>
      <c r="B2" s="18" t="s">
        <v>22</v>
      </c>
      <c r="C2" s="18" t="s">
        <v>24</v>
      </c>
      <c r="D2" s="18" t="s">
        <v>41</v>
      </c>
      <c r="E2" s="18" t="s">
        <v>42</v>
      </c>
      <c r="F2" s="18" t="s">
        <v>43</v>
      </c>
      <c r="G2" s="18" t="s">
        <v>44</v>
      </c>
      <c r="H2" s="18" t="s">
        <v>17</v>
      </c>
    </row>
    <row r="3" spans="1:8" ht="38.25" x14ac:dyDescent="0.4">
      <c r="A3" s="17" t="s">
        <v>45</v>
      </c>
      <c r="B3" s="18" t="s">
        <v>46</v>
      </c>
      <c r="C3" s="18" t="s">
        <v>46</v>
      </c>
      <c r="D3" s="18" t="s">
        <v>46</v>
      </c>
      <c r="E3" s="18" t="s">
        <v>47</v>
      </c>
      <c r="F3" s="18" t="s">
        <v>48</v>
      </c>
      <c r="G3" s="18" t="s">
        <v>49</v>
      </c>
      <c r="H3" s="18" t="s">
        <v>50</v>
      </c>
    </row>
    <row r="4" spans="1:8" ht="38.25" x14ac:dyDescent="0.4">
      <c r="B4" s="18" t="s">
        <v>51</v>
      </c>
      <c r="C4" s="18" t="s">
        <v>51</v>
      </c>
      <c r="D4" s="18" t="s">
        <v>51</v>
      </c>
      <c r="E4" s="18" t="s">
        <v>52</v>
      </c>
      <c r="F4" s="19" t="s">
        <v>53</v>
      </c>
      <c r="G4" s="18" t="s">
        <v>54</v>
      </c>
      <c r="H4" s="18" t="s">
        <v>19</v>
      </c>
    </row>
    <row r="5" spans="1:8" ht="25.5" x14ac:dyDescent="0.4">
      <c r="B5" s="18" t="s">
        <v>55</v>
      </c>
      <c r="C5" s="18" t="s">
        <v>55</v>
      </c>
      <c r="D5" s="18" t="s">
        <v>55</v>
      </c>
      <c r="E5" s="18" t="s">
        <v>56</v>
      </c>
      <c r="F5" s="16" t="s">
        <v>18</v>
      </c>
      <c r="G5" s="18" t="s">
        <v>57</v>
      </c>
      <c r="H5" s="18" t="s">
        <v>58</v>
      </c>
    </row>
    <row r="6" spans="1:8" ht="25.5" x14ac:dyDescent="0.4">
      <c r="B6" s="18" t="s">
        <v>59</v>
      </c>
      <c r="C6" s="18" t="s">
        <v>59</v>
      </c>
      <c r="D6" s="18" t="s">
        <v>59</v>
      </c>
      <c r="E6" s="18" t="s">
        <v>60</v>
      </c>
      <c r="G6" s="18" t="s">
        <v>61</v>
      </c>
      <c r="H6" s="18" t="s">
        <v>62</v>
      </c>
    </row>
    <row r="7" spans="1:8" ht="38.25" x14ac:dyDescent="0.4">
      <c r="B7" s="18" t="s">
        <v>63</v>
      </c>
      <c r="C7" s="18" t="s">
        <v>63</v>
      </c>
      <c r="D7" s="18" t="s">
        <v>63</v>
      </c>
      <c r="E7" s="18" t="s">
        <v>64</v>
      </c>
      <c r="G7" s="16" t="s">
        <v>18</v>
      </c>
      <c r="H7" s="18" t="s">
        <v>65</v>
      </c>
    </row>
    <row r="8" spans="1:8" x14ac:dyDescent="0.4">
      <c r="B8" s="16" t="s">
        <v>18</v>
      </c>
      <c r="C8" s="16" t="s">
        <v>18</v>
      </c>
      <c r="D8" s="16" t="s">
        <v>18</v>
      </c>
      <c r="E8" s="20"/>
      <c r="F8" s="19"/>
      <c r="G8" s="20"/>
      <c r="H8" s="21" t="s">
        <v>66</v>
      </c>
    </row>
    <row r="9" spans="1:8" x14ac:dyDescent="0.4">
      <c r="C9" s="20"/>
      <c r="D9" s="20"/>
      <c r="H9" s="16" t="s">
        <v>18</v>
      </c>
    </row>
    <row r="11" spans="1:8" x14ac:dyDescent="0.4">
      <c r="A11" s="16" t="s">
        <v>67</v>
      </c>
      <c r="B11" s="16" t="s">
        <v>68</v>
      </c>
      <c r="C11" s="16" t="s">
        <v>69</v>
      </c>
      <c r="D11" s="16" t="s">
        <v>18</v>
      </c>
    </row>
    <row r="12" spans="1:8" ht="51" x14ac:dyDescent="0.4">
      <c r="A12" s="16" t="s">
        <v>70</v>
      </c>
      <c r="B12" s="18" t="s">
        <v>71</v>
      </c>
    </row>
    <row r="13" spans="1:8" ht="38.25" x14ac:dyDescent="0.4">
      <c r="B13" s="22" t="s">
        <v>72</v>
      </c>
      <c r="C13" s="23" t="s">
        <v>73</v>
      </c>
      <c r="D13" s="23" t="s">
        <v>73</v>
      </c>
    </row>
    <row r="14" spans="1:8" ht="25.5" x14ac:dyDescent="0.4">
      <c r="B14" s="22" t="s">
        <v>74</v>
      </c>
      <c r="C14" s="23" t="s">
        <v>73</v>
      </c>
      <c r="D14" s="23" t="s">
        <v>73</v>
      </c>
    </row>
    <row r="15" spans="1:8" ht="51" x14ac:dyDescent="0.4">
      <c r="B15" s="22" t="s">
        <v>75</v>
      </c>
      <c r="C15" s="23" t="s">
        <v>73</v>
      </c>
      <c r="D15" s="23" t="s">
        <v>73</v>
      </c>
    </row>
    <row r="16" spans="1:8" ht="51" x14ac:dyDescent="0.4">
      <c r="B16" s="22" t="s">
        <v>76</v>
      </c>
      <c r="C16" s="23" t="s">
        <v>73</v>
      </c>
      <c r="D16" s="23" t="s">
        <v>73</v>
      </c>
    </row>
    <row r="17" spans="2:4" ht="51" x14ac:dyDescent="0.4">
      <c r="B17" s="22" t="s">
        <v>77</v>
      </c>
      <c r="C17" s="23" t="s">
        <v>73</v>
      </c>
      <c r="D17" s="23" t="s">
        <v>73</v>
      </c>
    </row>
    <row r="18" spans="2:4" ht="51" x14ac:dyDescent="0.4">
      <c r="B18" s="22" t="s">
        <v>78</v>
      </c>
      <c r="C18" s="23" t="s">
        <v>73</v>
      </c>
      <c r="D18" s="23" t="s">
        <v>73</v>
      </c>
    </row>
    <row r="19" spans="2:4" ht="51" x14ac:dyDescent="0.4">
      <c r="B19" s="22" t="s">
        <v>79</v>
      </c>
      <c r="C19" s="23" t="s">
        <v>73</v>
      </c>
      <c r="D19" s="23" t="s">
        <v>73</v>
      </c>
    </row>
    <row r="20" spans="2:4" ht="38.25" x14ac:dyDescent="0.4">
      <c r="B20" s="22" t="s">
        <v>80</v>
      </c>
      <c r="C20" s="23" t="s">
        <v>73</v>
      </c>
      <c r="D20" s="23" t="s">
        <v>73</v>
      </c>
    </row>
    <row r="21" spans="2:4" ht="38.25" x14ac:dyDescent="0.4">
      <c r="B21" s="22" t="s">
        <v>81</v>
      </c>
      <c r="C21" s="23" t="s">
        <v>73</v>
      </c>
      <c r="D21" s="23" t="s">
        <v>73</v>
      </c>
    </row>
    <row r="22" spans="2:4" ht="38.25" x14ac:dyDescent="0.4">
      <c r="B22" s="22" t="s">
        <v>82</v>
      </c>
      <c r="C22" s="23" t="s">
        <v>73</v>
      </c>
      <c r="D22" s="23" t="s">
        <v>73</v>
      </c>
    </row>
    <row r="23" spans="2:4" ht="38.25" x14ac:dyDescent="0.4">
      <c r="B23" s="22" t="s">
        <v>83</v>
      </c>
      <c r="C23" s="23"/>
      <c r="D23" s="23"/>
    </row>
    <row r="24" spans="2:4" ht="76.5" x14ac:dyDescent="0.4">
      <c r="B24" s="22" t="s">
        <v>84</v>
      </c>
      <c r="C24" s="23" t="s">
        <v>73</v>
      </c>
      <c r="D24" s="23" t="s">
        <v>73</v>
      </c>
    </row>
    <row r="25" spans="2:4" ht="38.25" x14ac:dyDescent="0.4">
      <c r="B25" s="22" t="s">
        <v>85</v>
      </c>
      <c r="C25" s="23" t="s">
        <v>73</v>
      </c>
      <c r="D25" s="23" t="s">
        <v>73</v>
      </c>
    </row>
    <row r="26" spans="2:4" ht="38.25" x14ac:dyDescent="0.4">
      <c r="B26" s="22" t="s">
        <v>86</v>
      </c>
      <c r="C26" s="23" t="s">
        <v>73</v>
      </c>
      <c r="D26" s="23" t="s">
        <v>73</v>
      </c>
    </row>
    <row r="27" spans="2:4" ht="25.5" x14ac:dyDescent="0.4">
      <c r="B27" s="22" t="s">
        <v>87</v>
      </c>
      <c r="C27" s="23" t="s">
        <v>73</v>
      </c>
      <c r="D27" s="23" t="s">
        <v>73</v>
      </c>
    </row>
  </sheetData>
  <phoneticPr fontId="14"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4"/>
  <sheetViews>
    <sheetView topLeftCell="A22" workbookViewId="0">
      <selection activeCell="I14" sqref="I14"/>
    </sheetView>
  </sheetViews>
  <sheetFormatPr defaultColWidth="9" defaultRowHeight="13.9" x14ac:dyDescent="0.4"/>
  <cols>
    <col min="4" max="4" width="25.19921875" customWidth="1"/>
    <col min="10" max="10" width="29.9296875" customWidth="1"/>
  </cols>
  <sheetData>
    <row r="1" spans="1:10" ht="48.75" customHeight="1" x14ac:dyDescent="0.4">
      <c r="A1" s="49" t="s">
        <v>88</v>
      </c>
      <c r="B1" s="50" t="s">
        <v>89</v>
      </c>
      <c r="C1" s="1" t="s">
        <v>90</v>
      </c>
      <c r="D1" s="2" t="s">
        <v>91</v>
      </c>
      <c r="G1" s="49" t="s">
        <v>88</v>
      </c>
      <c r="H1" s="50" t="s">
        <v>89</v>
      </c>
      <c r="I1" s="1" t="s">
        <v>90</v>
      </c>
      <c r="J1" s="2" t="s">
        <v>92</v>
      </c>
    </row>
    <row r="2" spans="1:10" ht="47.25" x14ac:dyDescent="0.4">
      <c r="A2" s="49"/>
      <c r="B2" s="50"/>
      <c r="C2" s="3" t="s">
        <v>93</v>
      </c>
      <c r="D2" s="4" t="s">
        <v>94</v>
      </c>
      <c r="G2" s="49"/>
      <c r="H2" s="50"/>
      <c r="I2" s="3" t="s">
        <v>93</v>
      </c>
      <c r="J2" s="4" t="s">
        <v>94</v>
      </c>
    </row>
    <row r="3" spans="1:10" ht="31.5" x14ac:dyDescent="0.4">
      <c r="A3" s="5" t="s">
        <v>95</v>
      </c>
      <c r="B3" s="6" t="s">
        <v>96</v>
      </c>
      <c r="C3" s="7">
        <v>29553.11</v>
      </c>
      <c r="D3" s="8">
        <v>166.66669999999999</v>
      </c>
      <c r="G3" s="5" t="s">
        <v>95</v>
      </c>
      <c r="H3" s="6" t="s">
        <v>96</v>
      </c>
      <c r="I3" s="7">
        <v>29553.11</v>
      </c>
      <c r="J3" s="15">
        <v>138.33330000000001</v>
      </c>
    </row>
    <row r="4" spans="1:10" ht="31.5" x14ac:dyDescent="0.4">
      <c r="A4" s="5" t="s">
        <v>97</v>
      </c>
      <c r="B4" s="6" t="s">
        <v>98</v>
      </c>
      <c r="C4" s="7">
        <v>29553.11</v>
      </c>
      <c r="D4" s="8">
        <v>166.66669999999999</v>
      </c>
      <c r="G4" s="5" t="s">
        <v>97</v>
      </c>
      <c r="H4" s="6" t="s">
        <v>98</v>
      </c>
      <c r="I4" s="7">
        <v>29553.11</v>
      </c>
      <c r="J4" s="15">
        <v>138.33330000000001</v>
      </c>
    </row>
    <row r="5" spans="1:10" ht="18" customHeight="1" x14ac:dyDescent="0.4">
      <c r="A5" s="47" t="s">
        <v>99</v>
      </c>
      <c r="B5" s="47"/>
      <c r="C5" s="47"/>
      <c r="D5" s="9">
        <v>333.33339999999998</v>
      </c>
      <c r="G5" s="47" t="s">
        <v>99</v>
      </c>
      <c r="H5" s="47"/>
      <c r="I5" s="47"/>
      <c r="J5" s="9">
        <v>276.66660000000002</v>
      </c>
    </row>
    <row r="6" spans="1:10" ht="48" customHeight="1" x14ac:dyDescent="0.4">
      <c r="A6" s="47" t="s">
        <v>88</v>
      </c>
      <c r="B6" s="51" t="s">
        <v>89</v>
      </c>
      <c r="C6" s="10" t="s">
        <v>90</v>
      </c>
      <c r="D6" s="11" t="s">
        <v>91</v>
      </c>
      <c r="G6" s="47" t="s">
        <v>88</v>
      </c>
      <c r="H6" s="51" t="s">
        <v>89</v>
      </c>
      <c r="I6" s="10" t="s">
        <v>100</v>
      </c>
      <c r="J6" s="11" t="s">
        <v>92</v>
      </c>
    </row>
    <row r="7" spans="1:10" ht="63" x14ac:dyDescent="0.4">
      <c r="A7" s="47"/>
      <c r="B7" s="51"/>
      <c r="C7" s="3" t="s">
        <v>93</v>
      </c>
      <c r="D7" s="4" t="s">
        <v>94</v>
      </c>
      <c r="G7" s="47"/>
      <c r="H7" s="51"/>
      <c r="I7" s="3" t="s">
        <v>101</v>
      </c>
      <c r="J7" s="4" t="s">
        <v>94</v>
      </c>
    </row>
    <row r="8" spans="1:10" ht="31.5" x14ac:dyDescent="0.45">
      <c r="A8" s="5" t="s">
        <v>95</v>
      </c>
      <c r="B8" s="6" t="s">
        <v>102</v>
      </c>
      <c r="C8" s="7">
        <v>688518.37</v>
      </c>
      <c r="D8" s="12">
        <v>48.996200000000002</v>
      </c>
      <c r="G8" s="5" t="s">
        <v>95</v>
      </c>
      <c r="H8" s="6" t="s">
        <v>102</v>
      </c>
      <c r="I8" s="7">
        <v>688518.37</v>
      </c>
      <c r="J8" s="12">
        <v>41.646700000000003</v>
      </c>
    </row>
    <row r="9" spans="1:10" ht="31.5" x14ac:dyDescent="0.45">
      <c r="A9" s="5" t="s">
        <v>97</v>
      </c>
      <c r="B9" s="6" t="s">
        <v>103</v>
      </c>
      <c r="C9" s="7">
        <v>305160.5</v>
      </c>
      <c r="D9" s="12">
        <v>21.715800000000002</v>
      </c>
      <c r="G9" s="5" t="s">
        <v>97</v>
      </c>
      <c r="H9" s="6" t="s">
        <v>103</v>
      </c>
      <c r="I9" s="7">
        <v>305160.5</v>
      </c>
      <c r="J9" s="12">
        <v>18.458400000000001</v>
      </c>
    </row>
    <row r="10" spans="1:10" ht="31.5" x14ac:dyDescent="0.45">
      <c r="A10" s="5" t="s">
        <v>104</v>
      </c>
      <c r="B10" s="6" t="s">
        <v>105</v>
      </c>
      <c r="C10" s="7">
        <v>3051.61</v>
      </c>
      <c r="D10" s="12">
        <v>0.2172</v>
      </c>
      <c r="G10" s="5" t="s">
        <v>104</v>
      </c>
      <c r="H10" s="6" t="s">
        <v>105</v>
      </c>
      <c r="I10" s="7">
        <v>3051.61</v>
      </c>
      <c r="J10" s="12">
        <v>0.18459999999999999</v>
      </c>
    </row>
    <row r="11" spans="1:10" ht="31.5" x14ac:dyDescent="0.45">
      <c r="A11" s="5" t="s">
        <v>106</v>
      </c>
      <c r="B11" s="13" t="s">
        <v>107</v>
      </c>
      <c r="C11" s="7">
        <v>562917.42000000004</v>
      </c>
      <c r="D11" s="12">
        <v>40.058199999999999</v>
      </c>
      <c r="G11" s="5" t="s">
        <v>106</v>
      </c>
      <c r="H11" s="13" t="s">
        <v>107</v>
      </c>
      <c r="I11" s="7">
        <v>562917.42000000004</v>
      </c>
      <c r="J11" s="12">
        <v>34.049399999999999</v>
      </c>
    </row>
    <row r="12" spans="1:10" ht="31.5" x14ac:dyDescent="0.45">
      <c r="A12" s="5" t="s">
        <v>108</v>
      </c>
      <c r="B12" s="13" t="s">
        <v>109</v>
      </c>
      <c r="C12" s="7">
        <v>140729.35999999999</v>
      </c>
      <c r="D12" s="12">
        <v>10.0145</v>
      </c>
      <c r="G12" s="5" t="s">
        <v>108</v>
      </c>
      <c r="H12" s="13" t="s">
        <v>109</v>
      </c>
      <c r="I12" s="7">
        <v>140729.35999999999</v>
      </c>
      <c r="J12" s="12">
        <v>8.5123999999999995</v>
      </c>
    </row>
    <row r="13" spans="1:10" ht="31.5" x14ac:dyDescent="0.45">
      <c r="A13" s="5" t="s">
        <v>110</v>
      </c>
      <c r="B13" s="6" t="s">
        <v>111</v>
      </c>
      <c r="C13" s="7">
        <v>537926.47</v>
      </c>
      <c r="D13" s="12">
        <v>38.279800000000002</v>
      </c>
      <c r="G13" s="5" t="s">
        <v>110</v>
      </c>
      <c r="H13" s="6" t="s">
        <v>111</v>
      </c>
      <c r="I13" s="7">
        <v>537926.47</v>
      </c>
      <c r="J13" s="12">
        <v>32.537799999999997</v>
      </c>
    </row>
    <row r="14" spans="1:10" ht="31.5" x14ac:dyDescent="0.45">
      <c r="A14" s="5" t="s">
        <v>112</v>
      </c>
      <c r="B14" s="6" t="s">
        <v>113</v>
      </c>
      <c r="C14" s="7">
        <v>362378.16</v>
      </c>
      <c r="D14" s="12">
        <v>25.787500000000001</v>
      </c>
      <c r="G14" s="5" t="s">
        <v>112</v>
      </c>
      <c r="H14" s="6" t="s">
        <v>113</v>
      </c>
      <c r="I14" s="7">
        <v>362378.16</v>
      </c>
      <c r="J14" s="12">
        <v>21.9193</v>
      </c>
    </row>
    <row r="15" spans="1:10" ht="47.25" x14ac:dyDescent="0.45">
      <c r="A15" s="5" t="s">
        <v>114</v>
      </c>
      <c r="B15" s="6" t="s">
        <v>115</v>
      </c>
      <c r="C15" s="7">
        <v>305160.5</v>
      </c>
      <c r="D15" s="12">
        <v>21.715699999999998</v>
      </c>
      <c r="G15" s="5" t="s">
        <v>114</v>
      </c>
      <c r="H15" s="6" t="s">
        <v>115</v>
      </c>
      <c r="I15" s="7">
        <v>305160.5</v>
      </c>
      <c r="J15" s="12">
        <v>18.458400000000001</v>
      </c>
    </row>
    <row r="16" spans="1:10" ht="31.5" x14ac:dyDescent="0.45">
      <c r="A16" s="5" t="s">
        <v>116</v>
      </c>
      <c r="B16" s="6" t="s">
        <v>117</v>
      </c>
      <c r="C16" s="7">
        <v>152580.25</v>
      </c>
      <c r="D16" s="12">
        <v>10.857900000000001</v>
      </c>
      <c r="G16" s="5" t="s">
        <v>116</v>
      </c>
      <c r="H16" s="6" t="s">
        <v>117</v>
      </c>
      <c r="I16" s="7">
        <v>152580.25</v>
      </c>
      <c r="J16" s="12">
        <v>9.2292000000000005</v>
      </c>
    </row>
    <row r="17" spans="1:10" ht="31.5" x14ac:dyDescent="0.45">
      <c r="A17" s="5" t="s">
        <v>118</v>
      </c>
      <c r="B17" s="13" t="s">
        <v>119</v>
      </c>
      <c r="C17" s="7">
        <v>253664.67</v>
      </c>
      <c r="D17" s="12">
        <v>18.051200000000001</v>
      </c>
      <c r="G17" s="5" t="s">
        <v>118</v>
      </c>
      <c r="H17" s="13" t="s">
        <v>119</v>
      </c>
      <c r="I17" s="7">
        <v>253664.67</v>
      </c>
      <c r="J17" s="12">
        <v>15.343500000000001</v>
      </c>
    </row>
    <row r="18" spans="1:10" ht="31.5" x14ac:dyDescent="0.45">
      <c r="A18" s="5" t="s">
        <v>120</v>
      </c>
      <c r="B18" s="13" t="s">
        <v>121</v>
      </c>
      <c r="C18" s="7">
        <v>108713.34</v>
      </c>
      <c r="D18" s="12">
        <v>7.7362000000000002</v>
      </c>
      <c r="G18" s="5" t="s">
        <v>120</v>
      </c>
      <c r="H18" s="13" t="s">
        <v>121</v>
      </c>
      <c r="I18" s="7">
        <v>108713.34</v>
      </c>
      <c r="J18" s="12">
        <v>6.5758000000000001</v>
      </c>
    </row>
    <row r="19" spans="1:10" ht="31.5" x14ac:dyDescent="0.45">
      <c r="A19" s="5" t="s">
        <v>122</v>
      </c>
      <c r="B19" s="6" t="s">
        <v>123</v>
      </c>
      <c r="C19" s="7">
        <v>189580.97</v>
      </c>
      <c r="D19" s="12">
        <v>13.4909</v>
      </c>
      <c r="G19" s="5" t="s">
        <v>122</v>
      </c>
      <c r="H19" s="6" t="s">
        <v>123</v>
      </c>
      <c r="I19" s="7">
        <v>189580.97</v>
      </c>
      <c r="J19" s="12">
        <v>11.4673</v>
      </c>
    </row>
    <row r="20" spans="1:10" ht="31.5" x14ac:dyDescent="0.45">
      <c r="A20" s="5" t="s">
        <v>124</v>
      </c>
      <c r="B20" s="6" t="s">
        <v>125</v>
      </c>
      <c r="C20" s="7">
        <v>181189.05</v>
      </c>
      <c r="D20" s="12">
        <v>12.893700000000001</v>
      </c>
      <c r="G20" s="5" t="s">
        <v>124</v>
      </c>
      <c r="H20" s="6" t="s">
        <v>125</v>
      </c>
      <c r="I20" s="7">
        <v>181189.05</v>
      </c>
      <c r="J20" s="12">
        <v>10.9597</v>
      </c>
    </row>
    <row r="21" spans="1:10" ht="31.5" x14ac:dyDescent="0.45">
      <c r="A21" s="5" t="s">
        <v>126</v>
      </c>
      <c r="B21" s="6" t="s">
        <v>127</v>
      </c>
      <c r="C21" s="7">
        <v>181189.05</v>
      </c>
      <c r="D21" s="12">
        <v>12.893700000000001</v>
      </c>
      <c r="G21" s="5" t="s">
        <v>126</v>
      </c>
      <c r="H21" s="6" t="s">
        <v>127</v>
      </c>
      <c r="I21" s="7">
        <v>181189.05</v>
      </c>
      <c r="J21" s="12">
        <v>10.9597</v>
      </c>
    </row>
    <row r="22" spans="1:10" ht="31.5" x14ac:dyDescent="0.45">
      <c r="A22" s="5" t="s">
        <v>128</v>
      </c>
      <c r="B22" s="6" t="s">
        <v>129</v>
      </c>
      <c r="C22" s="7">
        <v>108713.43</v>
      </c>
      <c r="D22" s="12">
        <v>7.7362000000000002</v>
      </c>
      <c r="G22" s="5" t="s">
        <v>128</v>
      </c>
      <c r="H22" s="6" t="s">
        <v>129</v>
      </c>
      <c r="I22" s="7">
        <v>108713.43</v>
      </c>
      <c r="J22" s="12">
        <v>6.5758000000000001</v>
      </c>
    </row>
    <row r="23" spans="1:10" ht="31.5" x14ac:dyDescent="0.45">
      <c r="A23" s="5" t="s">
        <v>130</v>
      </c>
      <c r="B23" s="6" t="s">
        <v>131</v>
      </c>
      <c r="C23" s="7">
        <v>108713.44</v>
      </c>
      <c r="D23" s="12">
        <v>7.7362000000000002</v>
      </c>
      <c r="G23" s="5" t="s">
        <v>130</v>
      </c>
      <c r="H23" s="6" t="s">
        <v>131</v>
      </c>
      <c r="I23" s="7">
        <v>108713.44</v>
      </c>
      <c r="J23" s="12">
        <v>6.5758000000000001</v>
      </c>
    </row>
    <row r="24" spans="1:10" ht="47.25" x14ac:dyDescent="0.4">
      <c r="A24" s="5" t="s">
        <v>132</v>
      </c>
      <c r="B24" s="6" t="s">
        <v>133</v>
      </c>
      <c r="C24" s="7">
        <v>76221.570000000007</v>
      </c>
      <c r="D24" s="8">
        <v>5.4241000000000001</v>
      </c>
      <c r="G24" s="5" t="s">
        <v>132</v>
      </c>
      <c r="H24" s="6" t="s">
        <v>133</v>
      </c>
      <c r="I24" s="7">
        <v>76221.570000000007</v>
      </c>
      <c r="J24" s="8">
        <v>4.6104000000000003</v>
      </c>
    </row>
    <row r="25" spans="1:10" ht="31.5" x14ac:dyDescent="0.45">
      <c r="A25" s="5" t="s">
        <v>134</v>
      </c>
      <c r="B25" s="13" t="s">
        <v>135</v>
      </c>
      <c r="C25" s="7">
        <v>72475.62</v>
      </c>
      <c r="D25" s="12">
        <v>5.1574999999999998</v>
      </c>
      <c r="G25" s="5" t="s">
        <v>134</v>
      </c>
      <c r="H25" s="13" t="s">
        <v>135</v>
      </c>
      <c r="I25" s="7">
        <v>72475.62</v>
      </c>
      <c r="J25" s="12">
        <v>4.3838999999999997</v>
      </c>
    </row>
    <row r="26" spans="1:10" ht="31.5" x14ac:dyDescent="0.45">
      <c r="A26" s="5" t="s">
        <v>136</v>
      </c>
      <c r="B26" s="13" t="s">
        <v>137</v>
      </c>
      <c r="C26" s="7">
        <v>72475.62</v>
      </c>
      <c r="D26" s="12">
        <v>5.1574999999999998</v>
      </c>
      <c r="G26" s="5" t="s">
        <v>136</v>
      </c>
      <c r="H26" s="13" t="s">
        <v>137</v>
      </c>
      <c r="I26" s="7">
        <v>72475.62</v>
      </c>
      <c r="J26" s="12">
        <v>4.3838999999999997</v>
      </c>
    </row>
    <row r="27" spans="1:10" ht="31.5" x14ac:dyDescent="0.45">
      <c r="A27" s="5" t="s">
        <v>138</v>
      </c>
      <c r="B27" s="6" t="s">
        <v>139</v>
      </c>
      <c r="C27" s="7">
        <v>1557733.67</v>
      </c>
      <c r="D27" s="12">
        <v>110.851</v>
      </c>
      <c r="G27" s="5" t="s">
        <v>138</v>
      </c>
      <c r="H27" s="6" t="s">
        <v>139</v>
      </c>
      <c r="I27" s="7">
        <v>1557733.67</v>
      </c>
      <c r="J27" s="12">
        <v>94.223399999999998</v>
      </c>
    </row>
    <row r="28" spans="1:10" ht="31.5" x14ac:dyDescent="0.45">
      <c r="A28" s="5" t="s">
        <v>140</v>
      </c>
      <c r="B28" s="6" t="s">
        <v>141</v>
      </c>
      <c r="C28" s="7">
        <v>323137</v>
      </c>
      <c r="D28" s="12">
        <v>22.995000000000001</v>
      </c>
      <c r="G28" s="5" t="s">
        <v>140</v>
      </c>
      <c r="H28" s="6" t="s">
        <v>141</v>
      </c>
      <c r="I28" s="7">
        <v>323137</v>
      </c>
      <c r="J28" s="12">
        <v>19.5457</v>
      </c>
    </row>
    <row r="29" spans="1:10" ht="31.5" x14ac:dyDescent="0.45">
      <c r="A29" s="5" t="s">
        <v>142</v>
      </c>
      <c r="B29" s="6" t="s">
        <v>143</v>
      </c>
      <c r="C29" s="7">
        <v>380735.3</v>
      </c>
      <c r="D29" s="12">
        <v>27.093800000000002</v>
      </c>
      <c r="G29" s="5" t="s">
        <v>142</v>
      </c>
      <c r="H29" s="6" t="s">
        <v>143</v>
      </c>
      <c r="I29" s="7">
        <v>380735.3</v>
      </c>
      <c r="J29" s="12">
        <v>23.029699999999998</v>
      </c>
    </row>
    <row r="30" spans="1:10" ht="31.5" x14ac:dyDescent="0.45">
      <c r="A30" s="5" t="s">
        <v>144</v>
      </c>
      <c r="B30" s="6" t="s">
        <v>145</v>
      </c>
      <c r="C30" s="7">
        <v>173367.3</v>
      </c>
      <c r="D30" s="12">
        <v>12.3371</v>
      </c>
      <c r="G30" s="5" t="s">
        <v>144</v>
      </c>
      <c r="H30" s="6" t="s">
        <v>145</v>
      </c>
      <c r="I30" s="7">
        <v>173367.3</v>
      </c>
      <c r="J30" s="12">
        <v>10.486499999999999</v>
      </c>
    </row>
    <row r="31" spans="1:10" ht="31.5" x14ac:dyDescent="0.45">
      <c r="A31" s="5" t="s">
        <v>146</v>
      </c>
      <c r="B31" s="6" t="s">
        <v>147</v>
      </c>
      <c r="C31" s="7">
        <v>71203</v>
      </c>
      <c r="D31" s="12">
        <v>5.0669000000000004</v>
      </c>
      <c r="G31" s="5" t="s">
        <v>146</v>
      </c>
      <c r="H31" s="6" t="s">
        <v>147</v>
      </c>
      <c r="I31" s="7">
        <v>71203</v>
      </c>
      <c r="J31" s="12">
        <v>4.3068999999999997</v>
      </c>
    </row>
    <row r="32" spans="1:10" ht="18" customHeight="1" x14ac:dyDescent="0.4">
      <c r="A32" s="48" t="s">
        <v>148</v>
      </c>
      <c r="B32" s="48"/>
      <c r="C32" s="48"/>
      <c r="D32" s="14" t="s">
        <v>149</v>
      </c>
      <c r="G32" s="48" t="s">
        <v>148</v>
      </c>
      <c r="H32" s="48"/>
      <c r="I32" s="48"/>
      <c r="J32" s="14" t="s">
        <v>149</v>
      </c>
    </row>
    <row r="33" spans="4:10" x14ac:dyDescent="0.4">
      <c r="D33">
        <f>SUM(D8:D31)</f>
        <v>492.2638</v>
      </c>
      <c r="J33">
        <f>SUM(J8:J31)</f>
        <v>418.42419999999998</v>
      </c>
    </row>
    <row r="34" spans="4:10" x14ac:dyDescent="0.4">
      <c r="D34">
        <f>D33+J33+D5+J5</f>
        <v>1520.6880000000001</v>
      </c>
    </row>
  </sheetData>
  <mergeCells count="12">
    <mergeCell ref="A5:C5"/>
    <mergeCell ref="G5:I5"/>
    <mergeCell ref="A32:C32"/>
    <mergeCell ref="G32:I32"/>
    <mergeCell ref="A1:A2"/>
    <mergeCell ref="A6:A7"/>
    <mergeCell ref="B1:B2"/>
    <mergeCell ref="B6:B7"/>
    <mergeCell ref="G1:G2"/>
    <mergeCell ref="G6:G7"/>
    <mergeCell ref="H1:H2"/>
    <mergeCell ref="H6:H7"/>
  </mergeCells>
  <phoneticPr fontId="14"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4</vt:i4>
      </vt:variant>
    </vt:vector>
  </HeadingPairs>
  <TitlesOfParts>
    <vt:vector size="7" baseType="lpstr">
      <vt:lpstr>个人工时记录表</vt:lpstr>
      <vt:lpstr>数据标签</vt:lpstr>
      <vt:lpstr>Sheet1</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2025-09-22T02:23:07Z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2052-12.1.0.22215</vt:lpwstr>
  </property>
</Properties>
</file>