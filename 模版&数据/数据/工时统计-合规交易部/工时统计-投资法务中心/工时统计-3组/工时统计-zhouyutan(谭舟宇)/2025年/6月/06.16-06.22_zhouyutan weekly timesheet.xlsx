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400" windowHeight="11655"/>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<sst xmlns="http://schemas.openxmlformats.org/spreadsheetml/2006/main" count="387" uniqueCount="161">
  <si>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</si>
  <si>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</si>
  <si>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</si>
  <si>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</si>
  <si>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</si>
  <si>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</si>
  <si>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</si>
  <si>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</si>
  <si>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</si>
  <si>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</si>
  <si>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</si>
  <si>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</si>
  <si>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</si>
  <si>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</si>
  <si>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</si>
  <si>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</si>
  <si>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</si>
  <si>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</si>
  <si>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</si>
  <si>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</si>
  <si>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</si>
  <si>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智岩科技</t>
  </si>
  <si>
    <t>BSC</t>
  </si>
  <si>
    <t>投资项目全流程法务支持 Full-process legal support for investments</t>
  </si>
  <si>
    <t>Drafting/reviewing/negotiating legal documents</t>
  </si>
  <si>
    <t>AI访谈</t>
  </si>
  <si>
    <t>LF</t>
  </si>
  <si>
    <t>Reverting to inquiries</t>
  </si>
  <si>
    <t>和跟投方沟通</t>
  </si>
  <si>
    <t>Conducting legal researches</t>
  </si>
  <si>
    <t>FDI/CFUIS/AML/DSP研究</t>
  </si>
  <si>
    <t>Conducting LDD/reviewing LDD results</t>
  </si>
  <si>
    <t>DD LIST电话沟通</t>
  </si>
  <si>
    <t>内部汇报写邮件</t>
  </si>
  <si>
    <t>签字页、和内部沟通</t>
  </si>
  <si>
    <t>Dow Jones筛查</t>
  </si>
  <si>
    <t>Investment Related - IPO</t>
  </si>
  <si>
    <t>云豹</t>
  </si>
  <si>
    <t>会议</t>
  </si>
  <si>
    <t>Investment Related - Corporate Matter</t>
  </si>
  <si>
    <t>ESOP</t>
  </si>
  <si>
    <t>宁丹新药</t>
  </si>
  <si>
    <t>2024年度会议决议</t>
  </si>
  <si>
    <t>腾梭</t>
  </si>
  <si>
    <t>整理资料/写汇报邮件</t>
  </si>
  <si>
    <t>和CSIG/内审沟通</t>
  </si>
  <si>
    <t>老乡鸡</t>
  </si>
  <si>
    <t>Relevant matters related to engagement of law firms/team's legal fees summary</t>
  </si>
  <si>
    <t>聘用律师</t>
  </si>
  <si>
    <t>review LF</t>
  </si>
  <si>
    <t>SKP</t>
  </si>
  <si>
    <t>贷款协议/加入协议</t>
  </si>
  <si>
    <t>英派药业</t>
  </si>
  <si>
    <t>例会</t>
  </si>
  <si>
    <t>Participating regular team meetings</t>
  </si>
  <si>
    <t>擎盾</t>
  </si>
  <si>
    <t>藤蔓</t>
  </si>
  <si>
    <t>贷款协议</t>
  </si>
  <si>
    <t xml:space="preserve">Total Hours:  </t>
  </si>
  <si>
    <t>Number of Actual Working Days:</t>
  </si>
  <si>
    <t>C列</t>
  </si>
  <si>
    <t>Non-Investment Related - Other Departments</t>
  </si>
  <si>
    <t>Public - Infrastructure &amp; Guidance</t>
  </si>
  <si>
    <t>Public - Knowledge Accumulation &amp; Sharing</t>
  </si>
  <si>
    <t>H列</t>
  </si>
  <si>
    <t>CTD (合规交易部 - 公司事务及国际监管法务中心)</t>
  </si>
  <si>
    <t>Preparing policies/procedures/guidance/booklet</t>
  </si>
  <si>
    <t>Preparing knowhow/memo/client alert</t>
  </si>
  <si>
    <t>AMLSC (反洗钱与制裁合规部)</t>
  </si>
  <si>
    <t>Establishing/improving IT systems</t>
  </si>
  <si>
    <t>Providing training sessions/knowledge sharing</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</si>
  <si>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</si>
  <si>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</si>
  <si>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</si>
  <si>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</si>
  <si>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</si>
  <si>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</si>
  <si>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</si>
  <si>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</si>
  <si>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</si>
  <si>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</si>
  <si>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</si>
  <si>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</si>
  <si>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</si>
  <si>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</si>
  <si>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</si>
  <si>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</si>
  <si>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</si>
  <si>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</si>
  <si>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</si>
  <si>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</si>
  <si>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</si>
  <si>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</si>
  <si>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</si>
  <si>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</si>
  <si>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</si>
  <si>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</si>
  <si>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</si>
  <si>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</si>
  <si>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序号</t>
  </si>
  <si>
    <t>股东名称</t>
  </si>
  <si>
    <t>股权转让后的</t>
  </si>
  <si>
    <t>首期补偿金额</t>
  </si>
  <si>
    <t>第二期补偿金额</t>
  </si>
  <si>
    <r>
      <rPr>
        <b/>
        <sz val="12"/>
        <color rgb="FF000000"/>
        <rFont val="宋体"/>
        <charset val="134"/>
      </rPr>
      <t>出资额（人民币</t>
    </r>
    <r>
      <rPr>
        <b/>
        <sz val="12"/>
        <color rgb="FF000000"/>
        <rFont val="Times New Roman"/>
        <charset val="134"/>
      </rPr>
      <t>/</t>
    </r>
    <r>
      <rPr>
        <b/>
        <sz val="12"/>
        <color rgb="FF000000"/>
        <rFont val="宋体"/>
        <charset val="134"/>
      </rPr>
      <t>元）</t>
    </r>
  </si>
  <si>
    <r>
      <rPr>
        <b/>
        <sz val="12"/>
        <color rgb="FF000000"/>
        <rFont val="宋体"/>
        <charset val="134"/>
      </rPr>
      <t>（</t>
    </r>
    <r>
      <rPr>
        <b/>
        <sz val="12"/>
        <color rgb="FF000000"/>
        <rFont val="宋体"/>
        <charset val="134"/>
      </rPr>
      <t>人民币</t>
    </r>
    <r>
      <rPr>
        <b/>
        <sz val="12"/>
        <color rgb="FF000000"/>
        <rFont val="Times New Roman"/>
        <charset val="134"/>
      </rPr>
      <t>/</t>
    </r>
    <r>
      <rPr>
        <b/>
        <sz val="12"/>
        <color rgb="FF000000"/>
        <rFont val="宋体"/>
        <charset val="134"/>
      </rPr>
      <t>万元）</t>
    </r>
  </si>
  <si>
    <t>1 </t>
  </si>
  <si>
    <t>创想基金</t>
  </si>
  <si>
    <t>2 </t>
  </si>
  <si>
    <t>骅文科技</t>
  </si>
  <si>
    <t>小计</t>
  </si>
  <si>
    <t>股权转让后</t>
  </si>
  <si>
    <r>
      <rPr>
        <b/>
        <sz val="12"/>
        <color rgb="FF000000"/>
        <rFont val="宋体"/>
        <charset val="134"/>
      </rPr>
      <t>的出资额（人民币</t>
    </r>
    <r>
      <rPr>
        <b/>
        <sz val="12"/>
        <color rgb="FF000000"/>
        <rFont val="Times New Roman"/>
        <charset val="134"/>
      </rPr>
      <t>/</t>
    </r>
    <r>
      <rPr>
        <b/>
        <sz val="12"/>
        <color rgb="FF000000"/>
        <rFont val="宋体"/>
        <charset val="134"/>
      </rPr>
      <t>元）</t>
    </r>
  </si>
  <si>
    <r>
      <rPr>
        <sz val="12"/>
        <color rgb="FF000000"/>
        <rFont val="宋体"/>
        <charset val="134"/>
      </rPr>
      <t>中电云电</t>
    </r>
    <r>
      <rPr>
        <sz val="12"/>
        <color rgb="FF000000"/>
        <rFont val="宋体"/>
        <charset val="134"/>
      </rPr>
      <t>基金</t>
    </r>
  </si>
  <si>
    <t>中电海河基金</t>
  </si>
  <si>
    <t>3 </t>
  </si>
  <si>
    <t>中电聚智二号</t>
  </si>
  <si>
    <t>4 </t>
  </si>
  <si>
    <t>网神信息</t>
  </si>
  <si>
    <t>5 </t>
  </si>
  <si>
    <t>奇安信集团</t>
  </si>
  <si>
    <t>6 </t>
  </si>
  <si>
    <t>战新基金</t>
  </si>
  <si>
    <t>7 </t>
  </si>
  <si>
    <t>元禾易连</t>
  </si>
  <si>
    <t>8 </t>
  </si>
  <si>
    <t>智慧互联产业基金</t>
  </si>
  <si>
    <t>9 </t>
  </si>
  <si>
    <t>前海母基金</t>
  </si>
  <si>
    <t>10 </t>
  </si>
  <si>
    <t>创维海河基金</t>
  </si>
  <si>
    <t>11 </t>
  </si>
  <si>
    <t>宁波乾水基金</t>
  </si>
  <si>
    <t>12 </t>
  </si>
  <si>
    <r>
      <rPr>
        <sz val="12"/>
        <color rgb="FF000000"/>
        <rFont val="宋体"/>
        <charset val="134"/>
      </rPr>
      <t>中电科</t>
    </r>
    <r>
      <rPr>
        <sz val="12"/>
        <color rgb="FF000000"/>
        <rFont val="宋体"/>
        <charset val="134"/>
      </rPr>
      <t>基金</t>
    </r>
  </si>
  <si>
    <t>13 </t>
  </si>
  <si>
    <t>弘卓资本</t>
  </si>
  <si>
    <t>14 </t>
  </si>
  <si>
    <t>丰甲资本</t>
  </si>
  <si>
    <t>15 </t>
  </si>
  <si>
    <t>浦信熠云基金</t>
  </si>
  <si>
    <t>16 </t>
  </si>
  <si>
    <t>温州祯茂</t>
  </si>
  <si>
    <t>17 </t>
  </si>
  <si>
    <t>辽宁文创二期基金</t>
  </si>
  <si>
    <t>18 </t>
  </si>
  <si>
    <t>嘉兴天府骅胜</t>
  </si>
  <si>
    <t>19 </t>
  </si>
  <si>
    <t>嘉兴骅赛</t>
  </si>
  <si>
    <t>20 </t>
  </si>
  <si>
    <t>林芝利创</t>
  </si>
  <si>
    <t>21 </t>
  </si>
  <si>
    <t>上海光易</t>
  </si>
  <si>
    <t>22 </t>
  </si>
  <si>
    <t>真成基金</t>
  </si>
  <si>
    <t>23 </t>
  </si>
  <si>
    <t>真格天弘</t>
  </si>
  <si>
    <t>24 </t>
  </si>
  <si>
    <t>真成优实</t>
  </si>
  <si>
    <r>
      <rPr>
        <b/>
        <sz val="12"/>
        <color rgb="FF000000"/>
        <rFont val="宋体"/>
        <charset val="134"/>
      </rPr>
      <t>小</t>
    </r>
    <r>
      <rPr>
        <b/>
        <sz val="12"/>
        <color rgb="FF000000"/>
        <rFont val="宋体"/>
        <charset val="134"/>
      </rPr>
      <t>计</t>
    </r>
  </si>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</sst>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31">
    <font>
      <sz val="11"/>
      <color theme="1"/>
      <name val="等线"/>
      <charset val="134"/>
      <scheme val="minor"/>
    </font>
    <font>
      <b/>
      <sz val="12"/>
      <color rgb="FF000000"/>
      <name val="宋体"/>
      <charset val="134"/>
    </font>
    <font>
      <sz val="12"/>
      <color rgb="FF000000"/>
      <name val="Times New Roman"/>
      <charset val="134"/>
    </font>
    <font>
      <sz val="12"/>
      <color rgb="FF000000"/>
      <name val="宋体"/>
      <charset val="134"/>
    </font>
    <font>
      <b/>
      <sz val="12"/>
      <color rgb="FF000000"/>
      <name val="Times New Roman"/>
      <charset val="134"/>
    </font>
    <font>
      <sz val="12"/>
      <color theme="1"/>
      <name val="Times New Roman"/>
      <charset val="134"/>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medium">
        <color auto="1"/>
      </right>
      <top style="thick">
        <color auto="1"/>
      </top>
      <bottom/>
      <diagonal/>
    </border>
    <border>
      <left style="medium">
        <color auto="1"/>
      </left>
      <right style="thick">
        <color auto="1"/>
      </right>
      <top style="thick">
        <color auto="1"/>
      </top>
      <bottom/>
      <diagonal/>
    </border>
    <border>
      <left style="medium">
        <color auto="1"/>
      </left>
      <right style="medium">
        <color auto="1"/>
      </right>
      <top/>
      <bottom style="medium">
        <color auto="1"/>
      </bottom>
      <diagonal/>
    </border>
    <border>
      <left style="medium">
        <color auto="1"/>
      </left>
      <right style="thick">
        <color auto="1"/>
      </right>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7" applyNumberFormat="0" applyFill="0" applyAlignment="0" applyProtection="0">
      <alignment vertical="center"/>
    </xf>
    <xf numFmtId="0" fontId="18" fillId="0" borderId="27" applyNumberFormat="0" applyFill="0" applyAlignment="0" applyProtection="0">
      <alignment vertical="center"/>
    </xf>
    <xf numFmtId="0" fontId="19" fillId="0" borderId="28" applyNumberFormat="0" applyFill="0" applyAlignment="0" applyProtection="0">
      <alignment vertical="center"/>
    </xf>
    <xf numFmtId="0" fontId="19" fillId="0" borderId="0" applyNumberFormat="0" applyFill="0" applyBorder="0" applyAlignment="0" applyProtection="0">
      <alignment vertical="center"/>
    </xf>
    <xf numFmtId="0" fontId="20" fillId="4" borderId="29" applyNumberFormat="0" applyAlignment="0" applyProtection="0">
      <alignment vertical="center"/>
    </xf>
    <xf numFmtId="0" fontId="21" fillId="5" borderId="30" applyNumberFormat="0" applyAlignment="0" applyProtection="0">
      <alignment vertical="center"/>
    </xf>
    <xf numFmtId="0" fontId="22" fillId="5" borderId="29" applyNumberFormat="0" applyAlignment="0" applyProtection="0">
      <alignment vertical="center"/>
    </xf>
    <xf numFmtId="0" fontId="23" fillId="6" borderId="31" applyNumberFormat="0" applyAlignment="0" applyProtection="0">
      <alignment vertical="center"/>
    </xf>
    <xf numFmtId="0" fontId="24" fillId="0" borderId="32" applyNumberFormat="0" applyFill="0" applyAlignment="0" applyProtection="0">
      <alignment vertical="center"/>
    </xf>
    <xf numFmtId="0" fontId="25" fillId="0" borderId="3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2">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0" fontId="2" fillId="0" borderId="9" xfId="0" applyFont="1" applyBorder="1" applyAlignment="1">
      <alignment horizontal="center" vertical="center" wrapText="1"/>
    </xf>
    <xf numFmtId="0" fontId="1" fillId="0" borderId="7" xfId="0" applyFont="1" applyBorder="1" applyAlignment="1">
      <alignment horizontal="center" vertical="center" wrapText="1"/>
    </xf>
    <xf numFmtId="0" fontId="4" fillId="0" borderId="9"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9" xfId="0" applyFont="1" applyBorder="1" applyAlignment="1">
      <alignment horizontal="center" wrapText="1"/>
    </xf>
    <xf numFmtId="0" fontId="3" fillId="0" borderId="8" xfId="0" applyFont="1" applyBorder="1" applyAlignment="1">
      <alignment horizontal="center" vertical="top"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6" fillId="0" borderId="0" xfId="0" applyFont="1">
      <alignment vertical="center"/>
    </xf>
    <xf numFmtId="49" fontId="7" fillId="0" borderId="0" xfId="0" applyNumberFormat="1" applyFont="1" applyAlignment="1">
      <alignment horizontal="center" vertical="center" wrapText="1"/>
    </xf>
    <xf numFmtId="0" fontId="6" fillId="0" borderId="0" xfId="0" applyFont="1" applyAlignment="1">
      <alignment vertical="center" wrapText="1"/>
    </xf>
    <xf numFmtId="0" fontId="8" fillId="0" borderId="0" xfId="0" applyFont="1">
      <alignment vertical="center"/>
    </xf>
    <xf numFmtId="0" fontId="8" fillId="0" borderId="0" xfId="0" applyFont="1" applyAlignment="1">
      <alignment vertical="center" wrapText="1"/>
    </xf>
    <xf numFmtId="0" fontId="8" fillId="0" borderId="0" xfId="0" applyFont="1" applyFill="1" applyAlignment="1">
      <alignment vertical="center" wrapText="1"/>
    </xf>
    <xf numFmtId="0" fontId="6" fillId="0" borderId="0" xfId="0" applyFont="1" applyFill="1" applyAlignment="1">
      <alignment vertical="center" wrapText="1"/>
    </xf>
    <xf numFmtId="49" fontId="6" fillId="0" borderId="0" xfId="0" applyNumberFormat="1" applyFont="1">
      <alignment vertical="center"/>
    </xf>
    <xf numFmtId="0" fontId="0" fillId="0" borderId="0" xfId="0" applyAlignment="1">
      <alignment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6" fillId="0" borderId="17" xfId="0" applyFont="1" applyBorder="1">
      <alignment vertical="center"/>
    </xf>
    <xf numFmtId="0" fontId="6" fillId="0" borderId="17" xfId="0" applyFont="1" applyBorder="1" applyAlignment="1">
      <alignment vertical="center" wrapText="1"/>
    </xf>
    <xf numFmtId="0" fontId="6" fillId="0" borderId="17" xfId="0" applyFont="1" applyBorder="1" applyAlignment="1">
      <alignment horizontal="right" vertical="center"/>
    </xf>
    <xf numFmtId="176" fontId="6" fillId="0" borderId="17" xfId="0" applyNumberFormat="1" applyFont="1" applyBorder="1" applyAlignment="1">
      <alignment horizontal="right" vertical="center"/>
    </xf>
    <xf numFmtId="176" fontId="6" fillId="0" borderId="17" xfId="0" applyNumberFormat="1" applyFont="1" applyBorder="1">
      <alignment vertical="center"/>
    </xf>
    <xf numFmtId="0" fontId="6" fillId="0" borderId="17" xfId="0" applyFont="1" applyBorder="1" applyAlignment="1">
      <alignment horizontal="right" vertical="center" wrapText="1"/>
    </xf>
    <xf numFmtId="0" fontId="6" fillId="0" borderId="17" xfId="0" applyFont="1" applyBorder="1" applyAlignment="1">
      <alignment horizontal="left" vertical="center"/>
    </xf>
    <xf numFmtId="0" fontId="6" fillId="0" borderId="18" xfId="0" applyFont="1" applyBorder="1">
      <alignment vertical="center"/>
    </xf>
    <xf numFmtId="0" fontId="6" fillId="0" borderId="19" xfId="0" applyFont="1" applyBorder="1" applyAlignment="1">
      <alignment vertical="center" wrapText="1"/>
    </xf>
    <xf numFmtId="0" fontId="6" fillId="0" borderId="19" xfId="0" applyFont="1" applyBorder="1">
      <alignment vertical="center"/>
    </xf>
    <xf numFmtId="0" fontId="6" fillId="0" borderId="20" xfId="0" applyFont="1" applyBorder="1" applyAlignment="1">
      <alignment horizontal="right" vertical="center" wrapText="1"/>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5" fillId="0" borderId="0" xfId="0" applyFont="1">
      <alignment vertical="center"/>
    </xf>
    <xf numFmtId="3" fontId="0" fillId="0" borderId="0" xfId="0" applyNumberFormat="1" applyAlignment="1">
      <alignment vertical="center" wrapText="1"/>
    </xf>
    <xf numFmtId="0" fontId="11" fillId="0" borderId="23" xfId="0" applyFont="1" applyBorder="1" applyAlignment="1">
      <alignment horizontal="center" vertical="center"/>
    </xf>
    <xf numFmtId="0" fontId="10" fillId="2" borderId="24" xfId="0" applyFont="1" applyFill="1" applyBorder="1" applyAlignment="1">
      <alignment vertical="center" wrapText="1"/>
    </xf>
    <xf numFmtId="0" fontId="6" fillId="0" borderId="25"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41"/>
  <sheetViews>
    <sheetView tabSelected="1" topLeftCell="B3" workbookViewId="0">
      <selection activeCell="H24" sqref="H24"/>
    </sheetView>
  </sheetViews>
  <sheetFormatPr defaultColWidth="9" defaultRowHeight="13.85"/>
  <cols>
    <col min="3" max="3" width="34.3982300884956" style="29" customWidth="1"/>
    <col min="4" max="4" width="15.1327433628319" customWidth="1"/>
    <col min="5" max="5" width="10.6017699115044" customWidth="1"/>
    <col min="6" max="6" width="29.8672566371681" style="29" customWidth="1"/>
    <col min="8" max="8" width="41.6017699115044" style="29" customWidth="1"/>
    <col min="9" max="9" width="39.8672566371681" customWidth="1"/>
  </cols>
  <sheetData>
    <row r="1" ht="14.6"/>
    <row r="2" ht="26.25" spans="2:9">
      <c r="B2" s="30" t="s">
        <v>0</v>
      </c>
      <c r="C2" s="31" t="s">
        <v>1</v>
      </c>
      <c r="D2" s="31" t="s">
        <v>2</v>
      </c>
      <c r="E2" s="31" t="s">
        <v>3</v>
      </c>
      <c r="F2" s="31" t="s">
        <v>4</v>
      </c>
      <c r="G2" s="31" t="s">
        <v>5</v>
      </c>
      <c r="H2" s="31" t="s">
        <v>6</v>
      </c>
      <c r="I2" s="49" t="s">
        <v>7</v>
      </c>
    </row>
    <row r="3" ht="207.95" customHeight="1" spans="2:9">
      <c r="B3" s="32" t="s">
        <v>8</v>
      </c>
      <c r="C3" s="33" t="s">
        <v>9</v>
      </c>
      <c r="D3" s="33" t="s">
        <v>10</v>
      </c>
      <c r="E3" s="33" t="s">
        <v>11</v>
      </c>
      <c r="F3" s="33" t="s">
        <v>12</v>
      </c>
      <c r="G3" s="33" t="s">
        <v>13</v>
      </c>
      <c r="H3" s="33" t="s">
        <v>14</v>
      </c>
      <c r="I3" s="50" t="s">
        <v>15</v>
      </c>
    </row>
    <row r="4" ht="25.5" spans="2:9">
      <c r="B4" s="34" t="s">
        <v>16</v>
      </c>
      <c r="C4" s="35" t="s">
        <v>17</v>
      </c>
      <c r="D4" s="34"/>
      <c r="E4" s="34" t="s">
        <v>18</v>
      </c>
      <c r="F4" s="35"/>
      <c r="G4" s="36">
        <v>0.6</v>
      </c>
      <c r="H4" s="35" t="s">
        <v>19</v>
      </c>
      <c r="I4" s="34"/>
    </row>
    <row r="5" customFormat="1" ht="25.5" spans="2:9">
      <c r="B5" s="34" t="s">
        <v>16</v>
      </c>
      <c r="C5" s="35" t="s">
        <v>20</v>
      </c>
      <c r="D5" s="34" t="s">
        <v>21</v>
      </c>
      <c r="E5" s="34" t="s">
        <v>22</v>
      </c>
      <c r="F5" s="35" t="s">
        <v>23</v>
      </c>
      <c r="G5" s="36">
        <v>0.8</v>
      </c>
      <c r="H5" s="35" t="s">
        <v>24</v>
      </c>
      <c r="I5" s="34" t="s">
        <v>25</v>
      </c>
    </row>
    <row r="6" customFormat="1" ht="25.5" spans="2:9">
      <c r="B6" s="34" t="s">
        <v>16</v>
      </c>
      <c r="C6" s="35" t="s">
        <v>20</v>
      </c>
      <c r="D6" s="34" t="s">
        <v>21</v>
      </c>
      <c r="E6" s="34" t="s">
        <v>22</v>
      </c>
      <c r="F6" s="35" t="s">
        <v>23</v>
      </c>
      <c r="G6" s="36">
        <v>9.5</v>
      </c>
      <c r="H6" s="35" t="s">
        <v>24</v>
      </c>
      <c r="I6" s="34" t="s">
        <v>26</v>
      </c>
    </row>
    <row r="7" customFormat="1" ht="25.5" spans="2:9">
      <c r="B7" s="34" t="s">
        <v>16</v>
      </c>
      <c r="C7" s="35" t="s">
        <v>20</v>
      </c>
      <c r="D7" s="34" t="s">
        <v>21</v>
      </c>
      <c r="E7" s="34" t="s">
        <v>22</v>
      </c>
      <c r="F7" s="35" t="s">
        <v>23</v>
      </c>
      <c r="G7" s="36">
        <v>0.6</v>
      </c>
      <c r="H7" s="35" t="s">
        <v>27</v>
      </c>
      <c r="I7" s="34" t="s">
        <v>28</v>
      </c>
    </row>
    <row r="8" customFormat="1" ht="25.5" spans="2:9">
      <c r="B8" s="34" t="s">
        <v>16</v>
      </c>
      <c r="C8" s="35" t="s">
        <v>20</v>
      </c>
      <c r="D8" s="34" t="s">
        <v>21</v>
      </c>
      <c r="E8" s="34" t="s">
        <v>22</v>
      </c>
      <c r="F8" s="35" t="s">
        <v>23</v>
      </c>
      <c r="G8" s="36">
        <v>1.6</v>
      </c>
      <c r="H8" s="35" t="s">
        <v>29</v>
      </c>
      <c r="I8" s="34" t="s">
        <v>30</v>
      </c>
    </row>
    <row r="9" customFormat="1" ht="25.5" spans="2:9">
      <c r="B9" s="34" t="s">
        <v>16</v>
      </c>
      <c r="C9" s="35" t="s">
        <v>20</v>
      </c>
      <c r="D9" s="34" t="s">
        <v>21</v>
      </c>
      <c r="E9" s="34" t="s">
        <v>22</v>
      </c>
      <c r="F9" s="35" t="s">
        <v>23</v>
      </c>
      <c r="G9" s="36">
        <v>2.1</v>
      </c>
      <c r="H9" s="35" t="s">
        <v>31</v>
      </c>
      <c r="I9" s="34" t="s">
        <v>32</v>
      </c>
    </row>
    <row r="10" customFormat="1" ht="25.5" spans="2:9">
      <c r="B10" s="34" t="s">
        <v>16</v>
      </c>
      <c r="C10" s="35" t="s">
        <v>20</v>
      </c>
      <c r="D10" s="34" t="s">
        <v>21</v>
      </c>
      <c r="E10" s="34" t="s">
        <v>22</v>
      </c>
      <c r="F10" s="35" t="s">
        <v>23</v>
      </c>
      <c r="G10" s="36">
        <v>2.7</v>
      </c>
      <c r="H10" s="35" t="s">
        <v>18</v>
      </c>
      <c r="I10" s="34" t="s">
        <v>33</v>
      </c>
    </row>
    <row r="11" customFormat="1" ht="25.5" spans="2:9">
      <c r="B11" s="34" t="s">
        <v>16</v>
      </c>
      <c r="C11" s="35" t="s">
        <v>20</v>
      </c>
      <c r="D11" s="34" t="s">
        <v>21</v>
      </c>
      <c r="E11" s="34" t="s">
        <v>22</v>
      </c>
      <c r="F11" s="35" t="s">
        <v>23</v>
      </c>
      <c r="G11" s="37">
        <v>1</v>
      </c>
      <c r="H11" s="35" t="s">
        <v>18</v>
      </c>
      <c r="I11" s="34" t="s">
        <v>34</v>
      </c>
    </row>
    <row r="12" customFormat="1" ht="25.5" spans="2:9">
      <c r="B12" s="34" t="s">
        <v>16</v>
      </c>
      <c r="C12" s="35" t="s">
        <v>20</v>
      </c>
      <c r="D12" s="34" t="s">
        <v>21</v>
      </c>
      <c r="E12" s="34" t="s">
        <v>22</v>
      </c>
      <c r="F12" s="35" t="s">
        <v>23</v>
      </c>
      <c r="G12" s="37">
        <v>0.4</v>
      </c>
      <c r="H12" s="35" t="s">
        <v>29</v>
      </c>
      <c r="I12" s="34" t="s">
        <v>35</v>
      </c>
    </row>
    <row r="13" customFormat="1" ht="25.5" spans="2:9">
      <c r="B13" s="34" t="s">
        <v>16</v>
      </c>
      <c r="C13" s="35" t="s">
        <v>36</v>
      </c>
      <c r="D13" s="34" t="s">
        <v>37</v>
      </c>
      <c r="E13" s="34" t="s">
        <v>22</v>
      </c>
      <c r="F13" s="35" t="s">
        <v>23</v>
      </c>
      <c r="G13" s="36">
        <v>1.6</v>
      </c>
      <c r="H13" s="35" t="s">
        <v>18</v>
      </c>
      <c r="I13" s="34" t="s">
        <v>38</v>
      </c>
    </row>
    <row r="14" customFormat="1" ht="25.5" spans="2:9">
      <c r="B14" s="34" t="s">
        <v>16</v>
      </c>
      <c r="C14" s="35" t="s">
        <v>39</v>
      </c>
      <c r="D14" s="34" t="s">
        <v>37</v>
      </c>
      <c r="E14" s="34" t="s">
        <v>22</v>
      </c>
      <c r="F14" s="35" t="s">
        <v>23</v>
      </c>
      <c r="G14" s="36">
        <v>0.8</v>
      </c>
      <c r="H14" s="35" t="s">
        <v>24</v>
      </c>
      <c r="I14" s="34" t="s">
        <v>40</v>
      </c>
    </row>
    <row r="15" customFormat="1" ht="25.5" spans="2:9">
      <c r="B15" s="34" t="s">
        <v>16</v>
      </c>
      <c r="C15" s="35" t="s">
        <v>36</v>
      </c>
      <c r="D15" s="34" t="s">
        <v>41</v>
      </c>
      <c r="E15" s="34" t="s">
        <v>22</v>
      </c>
      <c r="F15" s="35" t="s">
        <v>23</v>
      </c>
      <c r="G15" s="36">
        <v>1.2</v>
      </c>
      <c r="H15" s="35" t="s">
        <v>18</v>
      </c>
      <c r="I15" s="34" t="s">
        <v>42</v>
      </c>
    </row>
    <row r="16" customFormat="1" ht="25.5" spans="2:9">
      <c r="B16" s="34" t="s">
        <v>16</v>
      </c>
      <c r="C16" s="35" t="s">
        <v>39</v>
      </c>
      <c r="D16" s="34" t="s">
        <v>43</v>
      </c>
      <c r="E16" s="34" t="s">
        <v>22</v>
      </c>
      <c r="F16" s="35" t="s">
        <v>23</v>
      </c>
      <c r="G16" s="36">
        <v>5.8</v>
      </c>
      <c r="H16" s="35" t="s">
        <v>27</v>
      </c>
      <c r="I16" s="34" t="s">
        <v>44</v>
      </c>
    </row>
    <row r="17" customFormat="1" ht="25.5" spans="2:9">
      <c r="B17" s="34" t="s">
        <v>16</v>
      </c>
      <c r="C17" s="35" t="s">
        <v>39</v>
      </c>
      <c r="D17" s="34" t="s">
        <v>43</v>
      </c>
      <c r="E17" s="34" t="s">
        <v>22</v>
      </c>
      <c r="F17" s="35" t="s">
        <v>23</v>
      </c>
      <c r="G17" s="36">
        <v>1.5</v>
      </c>
      <c r="H17" s="35" t="s">
        <v>27</v>
      </c>
      <c r="I17" s="34" t="s">
        <v>45</v>
      </c>
    </row>
    <row r="18" customFormat="1" ht="25.5" spans="2:9">
      <c r="B18" s="34" t="s">
        <v>16</v>
      </c>
      <c r="C18" s="35" t="s">
        <v>17</v>
      </c>
      <c r="D18" s="34" t="s">
        <v>46</v>
      </c>
      <c r="E18" s="34" t="s">
        <v>18</v>
      </c>
      <c r="F18" s="35"/>
      <c r="G18" s="36">
        <v>0.3</v>
      </c>
      <c r="H18" s="35" t="s">
        <v>47</v>
      </c>
      <c r="I18" s="34" t="s">
        <v>48</v>
      </c>
    </row>
    <row r="19" customFormat="1" ht="25.5" spans="2:9">
      <c r="B19" s="34" t="s">
        <v>16</v>
      </c>
      <c r="C19" s="35" t="s">
        <v>20</v>
      </c>
      <c r="D19" s="34" t="s">
        <v>46</v>
      </c>
      <c r="E19" s="34" t="s">
        <v>22</v>
      </c>
      <c r="F19" s="35" t="s">
        <v>23</v>
      </c>
      <c r="G19" s="36">
        <v>0.2</v>
      </c>
      <c r="H19" s="35" t="s">
        <v>24</v>
      </c>
      <c r="I19" s="34" t="s">
        <v>49</v>
      </c>
    </row>
    <row r="20" customFormat="1" ht="25.5" spans="2:9">
      <c r="B20" s="34" t="s">
        <v>16</v>
      </c>
      <c r="C20" s="35" t="s">
        <v>20</v>
      </c>
      <c r="D20" s="34" t="s">
        <v>50</v>
      </c>
      <c r="E20" s="34" t="s">
        <v>22</v>
      </c>
      <c r="F20" s="35" t="s">
        <v>23</v>
      </c>
      <c r="G20" s="36">
        <v>1.9</v>
      </c>
      <c r="H20" s="35" t="s">
        <v>24</v>
      </c>
      <c r="I20" s="34" t="s">
        <v>51</v>
      </c>
    </row>
    <row r="21" customFormat="1" ht="25.5" spans="2:9">
      <c r="B21" s="34" t="s">
        <v>16</v>
      </c>
      <c r="C21" s="35" t="s">
        <v>36</v>
      </c>
      <c r="D21" s="34" t="s">
        <v>52</v>
      </c>
      <c r="E21" s="34" t="s">
        <v>22</v>
      </c>
      <c r="F21" s="35" t="s">
        <v>23</v>
      </c>
      <c r="G21" s="36">
        <v>0.8</v>
      </c>
      <c r="H21" s="35" t="s">
        <v>24</v>
      </c>
      <c r="I21" s="34"/>
    </row>
    <row r="22" customFormat="1" spans="2:9">
      <c r="B22" s="34" t="s">
        <v>16</v>
      </c>
      <c r="C22" s="35" t="s">
        <v>17</v>
      </c>
      <c r="D22" s="34" t="s">
        <v>53</v>
      </c>
      <c r="E22" s="34" t="s">
        <v>18</v>
      </c>
      <c r="F22" s="35"/>
      <c r="G22" s="37">
        <v>1</v>
      </c>
      <c r="H22" s="35" t="s">
        <v>54</v>
      </c>
      <c r="I22" s="34"/>
    </row>
    <row r="23" customFormat="1" ht="25.5" spans="2:9">
      <c r="B23" s="34" t="s">
        <v>16</v>
      </c>
      <c r="C23" s="35" t="s">
        <v>39</v>
      </c>
      <c r="D23" s="34" t="s">
        <v>55</v>
      </c>
      <c r="E23" s="34" t="s">
        <v>22</v>
      </c>
      <c r="F23" s="35" t="s">
        <v>23</v>
      </c>
      <c r="G23" s="38">
        <v>1.4</v>
      </c>
      <c r="H23" s="35" t="s">
        <v>31</v>
      </c>
      <c r="I23" s="34"/>
    </row>
    <row r="24" customFormat="1" ht="25.5" spans="2:9">
      <c r="B24" s="34" t="s">
        <v>16</v>
      </c>
      <c r="C24" s="35" t="s">
        <v>20</v>
      </c>
      <c r="D24" s="34" t="s">
        <v>56</v>
      </c>
      <c r="E24" s="34" t="s">
        <v>22</v>
      </c>
      <c r="F24" s="35" t="s">
        <v>23</v>
      </c>
      <c r="G24" s="38">
        <v>1.2</v>
      </c>
      <c r="H24" s="35" t="s">
        <v>24</v>
      </c>
      <c r="I24" s="34" t="s">
        <v>57</v>
      </c>
    </row>
    <row r="25" spans="2:9">
      <c r="B25" s="34"/>
      <c r="C25" s="35"/>
      <c r="D25" s="34"/>
      <c r="E25" s="34"/>
      <c r="F25" s="39" t="s">
        <v>58</v>
      </c>
      <c r="G25" s="40">
        <f>SUM(G4:G24)</f>
        <v>37</v>
      </c>
      <c r="H25" s="40"/>
      <c r="I25" s="40"/>
    </row>
    <row r="26" spans="2:9">
      <c r="B26" s="41"/>
      <c r="C26" s="42"/>
      <c r="D26" s="43"/>
      <c r="E26" s="43"/>
      <c r="F26" s="44" t="s">
        <v>59</v>
      </c>
      <c r="G26" s="45">
        <v>5</v>
      </c>
      <c r="H26" s="46"/>
      <c r="I26" s="51"/>
    </row>
    <row r="33" ht="15.35" spans="6:6">
      <c r="F33" s="47"/>
    </row>
    <row r="34" ht="15.35" spans="6:6">
      <c r="F34" s="47"/>
    </row>
    <row r="35" ht="15.35" spans="6:8">
      <c r="F35" s="47"/>
      <c r="H35" s="48">
        <v>7388246</v>
      </c>
    </row>
    <row r="36" spans="8:8">
      <c r="H36" s="48">
        <v>61783380</v>
      </c>
    </row>
    <row r="37" spans="8:8">
      <c r="H37" s="29">
        <f>SUM(H35:H36)</f>
        <v>69171626</v>
      </c>
    </row>
    <row r="38" spans="6:6">
      <c r="F38" s="48"/>
    </row>
    <row r="39" spans="6:6">
      <c r="F39" s="48"/>
    </row>
    <row r="40" spans="6:6">
      <c r="F40" s="48"/>
    </row>
    <row r="41" spans="6:6">
      <c r="F41" s="48"/>
    </row>
  </sheetData>
  <mergeCells count="2">
    <mergeCell ref="G25:I25"/>
    <mergeCell ref="G26:I26"/>
  </mergeCells>
  <dataValidations count="4">
    <dataValidation type="list" allowBlank="1" showInputMessage="1" showErrorMessage="1" sqref="C4 C5:C22 C23:C24 C25:C26">
      <formula1>数据标签!$B$2:$H$2</formula1>
    </dataValidation>
    <dataValidation type="list" allowBlank="1" showInputMessage="1" showErrorMessage="1" sqref="E4 E5:E24 E25:E26">
      <formula1>数据标签!$B$11:$D$11</formula1>
    </dataValidation>
    <dataValidation type="list" allowBlank="1" showInputMessage="1" showErrorMessage="1" sqref="F4 F22 F5:F21 F23:F24">
      <formula1>INDIRECT(E4)</formula1>
    </dataValidation>
    <dataValidation type="list" allowBlank="1" showInputMessage="1" showErrorMessage="1" sqref="H4:H22 H23:H24">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21"/>
    <col min="2" max="2" width="26.8672566371681" style="21" customWidth="1"/>
    <col min="3" max="3" width="21.6017699115044" style="21" customWidth="1"/>
    <col min="4" max="7" width="28.6017699115044" style="21" customWidth="1"/>
    <col min="8" max="8" width="27.2654867256637" style="21" customWidth="1"/>
    <col min="9" max="16384" width="8.86725663716814" style="21"/>
  </cols>
  <sheetData>
    <row r="2" ht="25.5" spans="1:8">
      <c r="A2" s="22" t="s">
        <v>60</v>
      </c>
      <c r="B2" s="23" t="s">
        <v>20</v>
      </c>
      <c r="C2" s="23" t="s">
        <v>36</v>
      </c>
      <c r="D2" s="23" t="s">
        <v>39</v>
      </c>
      <c r="E2" s="23" t="s">
        <v>61</v>
      </c>
      <c r="F2" s="23" t="s">
        <v>62</v>
      </c>
      <c r="G2" s="23" t="s">
        <v>63</v>
      </c>
      <c r="H2" s="23" t="s">
        <v>17</v>
      </c>
    </row>
    <row r="3" ht="38.25" spans="1:8">
      <c r="A3" s="22" t="s">
        <v>64</v>
      </c>
      <c r="B3" s="23" t="s">
        <v>24</v>
      </c>
      <c r="C3" s="23" t="s">
        <v>24</v>
      </c>
      <c r="D3" s="23" t="s">
        <v>24</v>
      </c>
      <c r="E3" s="23" t="s">
        <v>65</v>
      </c>
      <c r="F3" s="23" t="s">
        <v>66</v>
      </c>
      <c r="G3" s="23" t="s">
        <v>67</v>
      </c>
      <c r="H3" s="23" t="s">
        <v>54</v>
      </c>
    </row>
    <row r="4" ht="38.25" spans="2:8">
      <c r="B4" s="23" t="s">
        <v>31</v>
      </c>
      <c r="C4" s="23" t="s">
        <v>31</v>
      </c>
      <c r="D4" s="23" t="s">
        <v>31</v>
      </c>
      <c r="E4" s="23" t="s">
        <v>68</v>
      </c>
      <c r="F4" s="24" t="s">
        <v>69</v>
      </c>
      <c r="G4" s="23" t="s">
        <v>70</v>
      </c>
      <c r="H4" s="23" t="s">
        <v>19</v>
      </c>
    </row>
    <row r="5" ht="25.5" spans="2:8">
      <c r="B5" s="23" t="s">
        <v>29</v>
      </c>
      <c r="C5" s="23" t="s">
        <v>29</v>
      </c>
      <c r="D5" s="23" t="s">
        <v>29</v>
      </c>
      <c r="E5" s="23" t="s">
        <v>71</v>
      </c>
      <c r="F5" s="21" t="s">
        <v>18</v>
      </c>
      <c r="G5" s="23" t="s">
        <v>72</v>
      </c>
      <c r="H5" s="23" t="s">
        <v>73</v>
      </c>
    </row>
    <row r="6" ht="25.5" spans="2:8">
      <c r="B6" s="23" t="s">
        <v>74</v>
      </c>
      <c r="C6" s="23" t="s">
        <v>74</v>
      </c>
      <c r="D6" s="23" t="s">
        <v>74</v>
      </c>
      <c r="E6" s="23" t="s">
        <v>75</v>
      </c>
      <c r="G6" s="23" t="s">
        <v>76</v>
      </c>
      <c r="H6" s="23" t="s">
        <v>77</v>
      </c>
    </row>
    <row r="7" ht="38.25" spans="2:8">
      <c r="B7" s="23" t="s">
        <v>27</v>
      </c>
      <c r="C7" s="23" t="s">
        <v>27</v>
      </c>
      <c r="D7" s="23" t="s">
        <v>27</v>
      </c>
      <c r="E7" s="23" t="s">
        <v>78</v>
      </c>
      <c r="G7" s="21" t="s">
        <v>18</v>
      </c>
      <c r="H7" s="23" t="s">
        <v>47</v>
      </c>
    </row>
    <row r="8" spans="2:8">
      <c r="B8" s="21" t="s">
        <v>18</v>
      </c>
      <c r="C8" s="21" t="s">
        <v>18</v>
      </c>
      <c r="D8" s="21" t="s">
        <v>18</v>
      </c>
      <c r="E8" s="25"/>
      <c r="F8" s="24"/>
      <c r="G8" s="25"/>
      <c r="H8" s="26" t="s">
        <v>79</v>
      </c>
    </row>
    <row r="9" spans="3:8">
      <c r="C9" s="25"/>
      <c r="D9" s="25"/>
      <c r="H9" s="21" t="s">
        <v>18</v>
      </c>
    </row>
    <row r="11" spans="1:4">
      <c r="A11" s="21" t="s">
        <v>80</v>
      </c>
      <c r="B11" s="21" t="s">
        <v>22</v>
      </c>
      <c r="C11" s="21" t="s">
        <v>81</v>
      </c>
      <c r="D11" s="21" t="s">
        <v>18</v>
      </c>
    </row>
    <row r="12" ht="51" spans="1:2">
      <c r="A12" s="21" t="s">
        <v>82</v>
      </c>
      <c r="B12" s="23" t="s">
        <v>83</v>
      </c>
    </row>
    <row r="13" ht="38.25" spans="2:4">
      <c r="B13" s="27" t="s">
        <v>23</v>
      </c>
      <c r="C13" s="28" t="s">
        <v>84</v>
      </c>
      <c r="D13" s="28" t="s">
        <v>84</v>
      </c>
    </row>
    <row r="14" ht="25.5" spans="2:4">
      <c r="B14" s="27" t="s">
        <v>85</v>
      </c>
      <c r="C14" s="28" t="s">
        <v>84</v>
      </c>
      <c r="D14" s="28" t="s">
        <v>84</v>
      </c>
    </row>
    <row r="15" ht="51" spans="2:4">
      <c r="B15" s="27" t="s">
        <v>86</v>
      </c>
      <c r="C15" s="28" t="s">
        <v>84</v>
      </c>
      <c r="D15" s="28" t="s">
        <v>84</v>
      </c>
    </row>
    <row r="16" ht="51" spans="2:4">
      <c r="B16" s="27" t="s">
        <v>87</v>
      </c>
      <c r="C16" s="28" t="s">
        <v>84</v>
      </c>
      <c r="D16" s="28" t="s">
        <v>84</v>
      </c>
    </row>
    <row r="17" ht="51" spans="2:4">
      <c r="B17" s="27" t="s">
        <v>88</v>
      </c>
      <c r="C17" s="28" t="s">
        <v>84</v>
      </c>
      <c r="D17" s="28" t="s">
        <v>84</v>
      </c>
    </row>
    <row r="18" ht="51" spans="2:4">
      <c r="B18" s="27" t="s">
        <v>89</v>
      </c>
      <c r="C18" s="28" t="s">
        <v>84</v>
      </c>
      <c r="D18" s="28" t="s">
        <v>84</v>
      </c>
    </row>
    <row r="19" ht="51" spans="2:4">
      <c r="B19" s="27" t="s">
        <v>90</v>
      </c>
      <c r="C19" s="28" t="s">
        <v>84</v>
      </c>
      <c r="D19" s="28" t="s">
        <v>84</v>
      </c>
    </row>
    <row r="20" ht="38.25" spans="2:4">
      <c r="B20" s="27" t="s">
        <v>91</v>
      </c>
      <c r="C20" s="28" t="s">
        <v>84</v>
      </c>
      <c r="D20" s="28" t="s">
        <v>84</v>
      </c>
    </row>
    <row r="21" ht="38.25" spans="2:4">
      <c r="B21" s="27" t="s">
        <v>92</v>
      </c>
      <c r="C21" s="28" t="s">
        <v>84</v>
      </c>
      <c r="D21" s="28" t="s">
        <v>84</v>
      </c>
    </row>
    <row r="22" ht="38.25" spans="2:4">
      <c r="B22" s="27" t="s">
        <v>93</v>
      </c>
      <c r="C22" s="28" t="s">
        <v>84</v>
      </c>
      <c r="D22" s="28" t="s">
        <v>84</v>
      </c>
    </row>
    <row r="23" ht="38.25" spans="2:4">
      <c r="B23" s="27" t="s">
        <v>94</v>
      </c>
      <c r="C23" s="28"/>
      <c r="D23" s="28"/>
    </row>
    <row r="24" ht="76.5" spans="2:4">
      <c r="B24" s="27" t="s">
        <v>95</v>
      </c>
      <c r="C24" s="28" t="s">
        <v>84</v>
      </c>
      <c r="D24" s="28" t="s">
        <v>84</v>
      </c>
    </row>
    <row r="25" ht="38.25" spans="2:4">
      <c r="B25" s="27" t="s">
        <v>96</v>
      </c>
      <c r="C25" s="28" t="s">
        <v>84</v>
      </c>
      <c r="D25" s="28" t="s">
        <v>84</v>
      </c>
    </row>
    <row r="26" ht="38.25" spans="2:4">
      <c r="B26" s="27" t="s">
        <v>97</v>
      </c>
      <c r="C26" s="28" t="s">
        <v>84</v>
      </c>
      <c r="D26" s="28" t="s">
        <v>84</v>
      </c>
    </row>
    <row r="27" ht="25.5" spans="2:4">
      <c r="B27" s="27" t="s">
        <v>98</v>
      </c>
      <c r="C27" s="28" t="s">
        <v>84</v>
      </c>
      <c r="D27" s="28" t="s">
        <v>84</v>
      </c>
    </row>
  </sheetData>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4"/>
  <sheetViews>
    <sheetView topLeftCell="A22" workbookViewId="0">
      <selection activeCell="D34" sqref="D34"/>
    </sheetView>
  </sheetViews>
  <sheetFormatPr defaultColWidth="9.02654867256637" defaultRowHeight="13.85"/>
  <cols>
    <col min="4" max="4" width="25.2300884955752" customWidth="1"/>
    <col min="10" max="10" width="29.9380530973451" customWidth="1"/>
  </cols>
  <sheetData>
    <row r="1" ht="48.75" customHeight="1" spans="1:10">
      <c r="A1" s="1" t="s">
        <v>99</v>
      </c>
      <c r="B1" s="2" t="s">
        <v>100</v>
      </c>
      <c r="C1" s="3" t="s">
        <v>101</v>
      </c>
      <c r="D1" s="4" t="s">
        <v>102</v>
      </c>
      <c r="G1" s="1" t="s">
        <v>99</v>
      </c>
      <c r="H1" s="2" t="s">
        <v>100</v>
      </c>
      <c r="I1" s="3" t="s">
        <v>101</v>
      </c>
      <c r="J1" s="4" t="s">
        <v>103</v>
      </c>
    </row>
    <row r="2" ht="48.75" spans="1:10">
      <c r="A2" s="1"/>
      <c r="B2" s="2"/>
      <c r="C2" s="5" t="s">
        <v>104</v>
      </c>
      <c r="D2" s="6" t="s">
        <v>105</v>
      </c>
      <c r="G2" s="1"/>
      <c r="H2" s="2"/>
      <c r="I2" s="5" t="s">
        <v>104</v>
      </c>
      <c r="J2" s="6" t="s">
        <v>105</v>
      </c>
    </row>
    <row r="3" ht="32.25" spans="1:10">
      <c r="A3" s="7" t="s">
        <v>106</v>
      </c>
      <c r="B3" s="8" t="s">
        <v>107</v>
      </c>
      <c r="C3" s="9">
        <v>29553.11</v>
      </c>
      <c r="D3" s="10">
        <v>166.6667</v>
      </c>
      <c r="G3" s="7" t="s">
        <v>106</v>
      </c>
      <c r="H3" s="8" t="s">
        <v>107</v>
      </c>
      <c r="I3" s="9">
        <v>29553.11</v>
      </c>
      <c r="J3" s="20">
        <v>138.3333</v>
      </c>
    </row>
    <row r="4" ht="32.25" spans="1:10">
      <c r="A4" s="7" t="s">
        <v>108</v>
      </c>
      <c r="B4" s="8" t="s">
        <v>109</v>
      </c>
      <c r="C4" s="9">
        <v>29553.11</v>
      </c>
      <c r="D4" s="10">
        <v>166.6667</v>
      </c>
      <c r="G4" s="7" t="s">
        <v>108</v>
      </c>
      <c r="H4" s="8" t="s">
        <v>109</v>
      </c>
      <c r="I4" s="9">
        <v>29553.11</v>
      </c>
      <c r="J4" s="20">
        <v>138.3333</v>
      </c>
    </row>
    <row r="5" ht="18" customHeight="1" spans="1:10">
      <c r="A5" s="11" t="s">
        <v>110</v>
      </c>
      <c r="B5" s="11"/>
      <c r="C5" s="11"/>
      <c r="D5" s="12">
        <v>333.3334</v>
      </c>
      <c r="G5" s="11" t="s">
        <v>110</v>
      </c>
      <c r="H5" s="11"/>
      <c r="I5" s="11"/>
      <c r="J5" s="12">
        <v>276.6666</v>
      </c>
    </row>
    <row r="6" ht="48" customHeight="1" spans="1:10">
      <c r="A6" s="11" t="s">
        <v>99</v>
      </c>
      <c r="B6" s="13" t="s">
        <v>100</v>
      </c>
      <c r="C6" s="14" t="s">
        <v>101</v>
      </c>
      <c r="D6" s="15" t="s">
        <v>102</v>
      </c>
      <c r="G6" s="11" t="s">
        <v>99</v>
      </c>
      <c r="H6" s="13" t="s">
        <v>100</v>
      </c>
      <c r="I6" s="14" t="s">
        <v>111</v>
      </c>
      <c r="J6" s="15" t="s">
        <v>103</v>
      </c>
    </row>
    <row r="7" ht="63.75" spans="1:10">
      <c r="A7" s="11"/>
      <c r="B7" s="13"/>
      <c r="C7" s="5" t="s">
        <v>104</v>
      </c>
      <c r="D7" s="6" t="s">
        <v>105</v>
      </c>
      <c r="G7" s="11"/>
      <c r="H7" s="13"/>
      <c r="I7" s="5" t="s">
        <v>112</v>
      </c>
      <c r="J7" s="6" t="s">
        <v>105</v>
      </c>
    </row>
    <row r="8" ht="32.25" spans="1:10">
      <c r="A8" s="7" t="s">
        <v>106</v>
      </c>
      <c r="B8" s="8" t="s">
        <v>113</v>
      </c>
      <c r="C8" s="9">
        <v>688518.37</v>
      </c>
      <c r="D8" s="16">
        <v>48.9962</v>
      </c>
      <c r="G8" s="7" t="s">
        <v>106</v>
      </c>
      <c r="H8" s="8" t="s">
        <v>113</v>
      </c>
      <c r="I8" s="9">
        <v>688518.37</v>
      </c>
      <c r="J8" s="16">
        <v>41.6467</v>
      </c>
    </row>
    <row r="9" ht="32.25" spans="1:10">
      <c r="A9" s="7" t="s">
        <v>108</v>
      </c>
      <c r="B9" s="8" t="s">
        <v>114</v>
      </c>
      <c r="C9" s="9">
        <v>305160.5</v>
      </c>
      <c r="D9" s="16">
        <v>21.7158</v>
      </c>
      <c r="G9" s="7" t="s">
        <v>108</v>
      </c>
      <c r="H9" s="8" t="s">
        <v>114</v>
      </c>
      <c r="I9" s="9">
        <v>305160.5</v>
      </c>
      <c r="J9" s="16">
        <v>18.4584</v>
      </c>
    </row>
    <row r="10" ht="32.25" spans="1:10">
      <c r="A10" s="7" t="s">
        <v>115</v>
      </c>
      <c r="B10" s="8" t="s">
        <v>116</v>
      </c>
      <c r="C10" s="9">
        <v>3051.61</v>
      </c>
      <c r="D10" s="16">
        <v>0.2172</v>
      </c>
      <c r="G10" s="7" t="s">
        <v>115</v>
      </c>
      <c r="H10" s="8" t="s">
        <v>116</v>
      </c>
      <c r="I10" s="9">
        <v>3051.61</v>
      </c>
      <c r="J10" s="16">
        <v>0.1846</v>
      </c>
    </row>
    <row r="11" ht="32.25" spans="1:10">
      <c r="A11" s="7" t="s">
        <v>117</v>
      </c>
      <c r="B11" s="17" t="s">
        <v>118</v>
      </c>
      <c r="C11" s="9">
        <v>562917.42</v>
      </c>
      <c r="D11" s="16">
        <v>40.0582</v>
      </c>
      <c r="G11" s="7" t="s">
        <v>117</v>
      </c>
      <c r="H11" s="17" t="s">
        <v>118</v>
      </c>
      <c r="I11" s="9">
        <v>562917.42</v>
      </c>
      <c r="J11" s="16">
        <v>34.0494</v>
      </c>
    </row>
    <row r="12" ht="32.25" spans="1:10">
      <c r="A12" s="7" t="s">
        <v>119</v>
      </c>
      <c r="B12" s="17" t="s">
        <v>120</v>
      </c>
      <c r="C12" s="9">
        <v>140729.36</v>
      </c>
      <c r="D12" s="16">
        <v>10.0145</v>
      </c>
      <c r="G12" s="7" t="s">
        <v>119</v>
      </c>
      <c r="H12" s="17" t="s">
        <v>120</v>
      </c>
      <c r="I12" s="9">
        <v>140729.36</v>
      </c>
      <c r="J12" s="16">
        <v>8.5124</v>
      </c>
    </row>
    <row r="13" ht="32.25" spans="1:10">
      <c r="A13" s="7" t="s">
        <v>121</v>
      </c>
      <c r="B13" s="8" t="s">
        <v>122</v>
      </c>
      <c r="C13" s="9">
        <v>537926.47</v>
      </c>
      <c r="D13" s="16">
        <v>38.2798</v>
      </c>
      <c r="G13" s="7" t="s">
        <v>121</v>
      </c>
      <c r="H13" s="8" t="s">
        <v>122</v>
      </c>
      <c r="I13" s="9">
        <v>537926.47</v>
      </c>
      <c r="J13" s="16">
        <v>32.5378</v>
      </c>
    </row>
    <row r="14" ht="32.25" spans="1:10">
      <c r="A14" s="7" t="s">
        <v>123</v>
      </c>
      <c r="B14" s="8" t="s">
        <v>124</v>
      </c>
      <c r="C14" s="9">
        <v>362378.16</v>
      </c>
      <c r="D14" s="16">
        <v>25.7875</v>
      </c>
      <c r="G14" s="7" t="s">
        <v>123</v>
      </c>
      <c r="H14" s="8" t="s">
        <v>124</v>
      </c>
      <c r="I14" s="9">
        <v>362378.16</v>
      </c>
      <c r="J14" s="16">
        <v>21.9193</v>
      </c>
    </row>
    <row r="15" ht="48" spans="1:10">
      <c r="A15" s="7" t="s">
        <v>125</v>
      </c>
      <c r="B15" s="8" t="s">
        <v>126</v>
      </c>
      <c r="C15" s="9">
        <v>305160.5</v>
      </c>
      <c r="D15" s="16">
        <v>21.7157</v>
      </c>
      <c r="G15" s="7" t="s">
        <v>125</v>
      </c>
      <c r="H15" s="8" t="s">
        <v>126</v>
      </c>
      <c r="I15" s="9">
        <v>305160.5</v>
      </c>
      <c r="J15" s="16">
        <v>18.4584</v>
      </c>
    </row>
    <row r="16" ht="32.25" spans="1:10">
      <c r="A16" s="7" t="s">
        <v>127</v>
      </c>
      <c r="B16" s="8" t="s">
        <v>128</v>
      </c>
      <c r="C16" s="9">
        <v>152580.25</v>
      </c>
      <c r="D16" s="16">
        <v>10.8579</v>
      </c>
      <c r="G16" s="7" t="s">
        <v>127</v>
      </c>
      <c r="H16" s="8" t="s">
        <v>128</v>
      </c>
      <c r="I16" s="9">
        <v>152580.25</v>
      </c>
      <c r="J16" s="16">
        <v>9.2292</v>
      </c>
    </row>
    <row r="17" ht="32.25" spans="1:10">
      <c r="A17" s="7" t="s">
        <v>129</v>
      </c>
      <c r="B17" s="17" t="s">
        <v>130</v>
      </c>
      <c r="C17" s="9">
        <v>253664.67</v>
      </c>
      <c r="D17" s="16">
        <v>18.0512</v>
      </c>
      <c r="G17" s="7" t="s">
        <v>129</v>
      </c>
      <c r="H17" s="17" t="s">
        <v>130</v>
      </c>
      <c r="I17" s="9">
        <v>253664.67</v>
      </c>
      <c r="J17" s="16">
        <v>15.3435</v>
      </c>
    </row>
    <row r="18" ht="32.25" spans="1:10">
      <c r="A18" s="7" t="s">
        <v>131</v>
      </c>
      <c r="B18" s="17" t="s">
        <v>132</v>
      </c>
      <c r="C18" s="9">
        <v>108713.34</v>
      </c>
      <c r="D18" s="16">
        <v>7.7362</v>
      </c>
      <c r="G18" s="7" t="s">
        <v>131</v>
      </c>
      <c r="H18" s="17" t="s">
        <v>132</v>
      </c>
      <c r="I18" s="9">
        <v>108713.34</v>
      </c>
      <c r="J18" s="16">
        <v>6.5758</v>
      </c>
    </row>
    <row r="19" ht="32.25" spans="1:10">
      <c r="A19" s="7" t="s">
        <v>133</v>
      </c>
      <c r="B19" s="8" t="s">
        <v>134</v>
      </c>
      <c r="C19" s="9">
        <v>189580.97</v>
      </c>
      <c r="D19" s="16">
        <v>13.4909</v>
      </c>
      <c r="G19" s="7" t="s">
        <v>133</v>
      </c>
      <c r="H19" s="8" t="s">
        <v>134</v>
      </c>
      <c r="I19" s="9">
        <v>189580.97</v>
      </c>
      <c r="J19" s="16">
        <v>11.4673</v>
      </c>
    </row>
    <row r="20" ht="32.25" spans="1:10">
      <c r="A20" s="7" t="s">
        <v>135</v>
      </c>
      <c r="B20" s="8" t="s">
        <v>136</v>
      </c>
      <c r="C20" s="9">
        <v>181189.05</v>
      </c>
      <c r="D20" s="16">
        <v>12.8937</v>
      </c>
      <c r="G20" s="7" t="s">
        <v>135</v>
      </c>
      <c r="H20" s="8" t="s">
        <v>136</v>
      </c>
      <c r="I20" s="9">
        <v>181189.05</v>
      </c>
      <c r="J20" s="16">
        <v>10.9597</v>
      </c>
    </row>
    <row r="21" ht="32.25" spans="1:10">
      <c r="A21" s="7" t="s">
        <v>137</v>
      </c>
      <c r="B21" s="8" t="s">
        <v>138</v>
      </c>
      <c r="C21" s="9">
        <v>181189.05</v>
      </c>
      <c r="D21" s="16">
        <v>12.8937</v>
      </c>
      <c r="G21" s="7" t="s">
        <v>137</v>
      </c>
      <c r="H21" s="8" t="s">
        <v>138</v>
      </c>
      <c r="I21" s="9">
        <v>181189.05</v>
      </c>
      <c r="J21" s="16">
        <v>10.9597</v>
      </c>
    </row>
    <row r="22" ht="32.25" spans="1:10">
      <c r="A22" s="7" t="s">
        <v>139</v>
      </c>
      <c r="B22" s="8" t="s">
        <v>140</v>
      </c>
      <c r="C22" s="9">
        <v>108713.43</v>
      </c>
      <c r="D22" s="16">
        <v>7.7362</v>
      </c>
      <c r="G22" s="7" t="s">
        <v>139</v>
      </c>
      <c r="H22" s="8" t="s">
        <v>140</v>
      </c>
      <c r="I22" s="9">
        <v>108713.43</v>
      </c>
      <c r="J22" s="16">
        <v>6.5758</v>
      </c>
    </row>
    <row r="23" ht="32.25" spans="1:10">
      <c r="A23" s="7" t="s">
        <v>141</v>
      </c>
      <c r="B23" s="8" t="s">
        <v>142</v>
      </c>
      <c r="C23" s="9">
        <v>108713.44</v>
      </c>
      <c r="D23" s="16">
        <v>7.7362</v>
      </c>
      <c r="G23" s="7" t="s">
        <v>141</v>
      </c>
      <c r="H23" s="8" t="s">
        <v>142</v>
      </c>
      <c r="I23" s="9">
        <v>108713.44</v>
      </c>
      <c r="J23" s="16">
        <v>6.5758</v>
      </c>
    </row>
    <row r="24" ht="48" spans="1:10">
      <c r="A24" s="7" t="s">
        <v>143</v>
      </c>
      <c r="B24" s="8" t="s">
        <v>144</v>
      </c>
      <c r="C24" s="9">
        <v>76221.57</v>
      </c>
      <c r="D24" s="10">
        <v>5.4241</v>
      </c>
      <c r="G24" s="7" t="s">
        <v>143</v>
      </c>
      <c r="H24" s="8" t="s">
        <v>144</v>
      </c>
      <c r="I24" s="9">
        <v>76221.57</v>
      </c>
      <c r="J24" s="10">
        <v>4.6104</v>
      </c>
    </row>
    <row r="25" ht="32.25" spans="1:10">
      <c r="A25" s="7" t="s">
        <v>145</v>
      </c>
      <c r="B25" s="17" t="s">
        <v>146</v>
      </c>
      <c r="C25" s="9">
        <v>72475.62</v>
      </c>
      <c r="D25" s="16">
        <v>5.1575</v>
      </c>
      <c r="G25" s="7" t="s">
        <v>145</v>
      </c>
      <c r="H25" s="17" t="s">
        <v>146</v>
      </c>
      <c r="I25" s="9">
        <v>72475.62</v>
      </c>
      <c r="J25" s="16">
        <v>4.3839</v>
      </c>
    </row>
    <row r="26" ht="32.25" spans="1:10">
      <c r="A26" s="7" t="s">
        <v>147</v>
      </c>
      <c r="B26" s="17" t="s">
        <v>148</v>
      </c>
      <c r="C26" s="9">
        <v>72475.62</v>
      </c>
      <c r="D26" s="16">
        <v>5.1575</v>
      </c>
      <c r="G26" s="7" t="s">
        <v>147</v>
      </c>
      <c r="H26" s="17" t="s">
        <v>148</v>
      </c>
      <c r="I26" s="9">
        <v>72475.62</v>
      </c>
      <c r="J26" s="16">
        <v>4.3839</v>
      </c>
    </row>
    <row r="27" ht="32.25" spans="1:10">
      <c r="A27" s="7" t="s">
        <v>149</v>
      </c>
      <c r="B27" s="8" t="s">
        <v>150</v>
      </c>
      <c r="C27" s="9">
        <v>1557733.67</v>
      </c>
      <c r="D27" s="16">
        <v>110.851</v>
      </c>
      <c r="G27" s="7" t="s">
        <v>149</v>
      </c>
      <c r="H27" s="8" t="s">
        <v>150</v>
      </c>
      <c r="I27" s="9">
        <v>1557733.67</v>
      </c>
      <c r="J27" s="16">
        <v>94.2234</v>
      </c>
    </row>
    <row r="28" ht="32.25" spans="1:10">
      <c r="A28" s="7" t="s">
        <v>151</v>
      </c>
      <c r="B28" s="8" t="s">
        <v>152</v>
      </c>
      <c r="C28" s="9">
        <v>323137</v>
      </c>
      <c r="D28" s="16">
        <v>22.995</v>
      </c>
      <c r="G28" s="7" t="s">
        <v>151</v>
      </c>
      <c r="H28" s="8" t="s">
        <v>152</v>
      </c>
      <c r="I28" s="9">
        <v>323137</v>
      </c>
      <c r="J28" s="16">
        <v>19.5457</v>
      </c>
    </row>
    <row r="29" ht="32.25" spans="1:10">
      <c r="A29" s="7" t="s">
        <v>153</v>
      </c>
      <c r="B29" s="8" t="s">
        <v>154</v>
      </c>
      <c r="C29" s="9">
        <v>380735.3</v>
      </c>
      <c r="D29" s="16">
        <v>27.0938</v>
      </c>
      <c r="G29" s="7" t="s">
        <v>153</v>
      </c>
      <c r="H29" s="8" t="s">
        <v>154</v>
      </c>
      <c r="I29" s="9">
        <v>380735.3</v>
      </c>
      <c r="J29" s="16">
        <v>23.0297</v>
      </c>
    </row>
    <row r="30" ht="32.25" spans="1:10">
      <c r="A30" s="7" t="s">
        <v>155</v>
      </c>
      <c r="B30" s="8" t="s">
        <v>156</v>
      </c>
      <c r="C30" s="9">
        <v>173367.3</v>
      </c>
      <c r="D30" s="16">
        <v>12.3371</v>
      </c>
      <c r="G30" s="7" t="s">
        <v>155</v>
      </c>
      <c r="H30" s="8" t="s">
        <v>156</v>
      </c>
      <c r="I30" s="9">
        <v>173367.3</v>
      </c>
      <c r="J30" s="16">
        <v>10.4865</v>
      </c>
    </row>
    <row r="31" ht="32.25" spans="1:10">
      <c r="A31" s="7" t="s">
        <v>157</v>
      </c>
      <c r="B31" s="8" t="s">
        <v>158</v>
      </c>
      <c r="C31" s="9">
        <v>71203</v>
      </c>
      <c r="D31" s="16">
        <v>5.0669</v>
      </c>
      <c r="G31" s="7" t="s">
        <v>157</v>
      </c>
      <c r="H31" s="8" t="s">
        <v>158</v>
      </c>
      <c r="I31" s="9">
        <v>71203</v>
      </c>
      <c r="J31" s="16">
        <v>4.3069</v>
      </c>
    </row>
    <row r="32" ht="18" customHeight="1" spans="1:10">
      <c r="A32" s="18" t="s">
        <v>159</v>
      </c>
      <c r="B32" s="18"/>
      <c r="C32" s="18"/>
      <c r="D32" s="19" t="s">
        <v>160</v>
      </c>
      <c r="G32" s="18" t="s">
        <v>159</v>
      </c>
      <c r="H32" s="18"/>
      <c r="I32" s="18"/>
      <c r="J32" s="19" t="s">
        <v>160</v>
      </c>
    </row>
    <row r="33" ht="14.6" spans="4:10">
      <c r="D33">
        <f>SUM(D8:D31)</f>
        <v>492.2638</v>
      </c>
      <c r="J33">
        <f>SUM(J8:J31)</f>
        <v>418.4242</v>
      </c>
    </row>
    <row r="34" spans="4:4">
      <c r="D34">
        <f>D33+J33+D5+J5</f>
        <v>1520.688</v>
      </c>
    </row>
  </sheetData>
  <mergeCells count="12">
    <mergeCell ref="A5:C5"/>
    <mergeCell ref="G5:I5"/>
    <mergeCell ref="A32:C32"/>
    <mergeCell ref="G32:I32"/>
    <mergeCell ref="A1:A2"/>
    <mergeCell ref="A6:A7"/>
    <mergeCell ref="B1:B2"/>
    <mergeCell ref="B6:B7"/>
    <mergeCell ref="G1:G2"/>
    <mergeCell ref="G6:G7"/>
    <mergeCell ref="H1:H2"/>
    <mergeCell ref="H6:H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个人工时记录表</vt:lpstr>
      <vt:lpstr>数据标签</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2025-07-01T09:45:14Z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2052-12.1.0.21541</vt:lpwstr>
  </property>
</Properties>
</file>