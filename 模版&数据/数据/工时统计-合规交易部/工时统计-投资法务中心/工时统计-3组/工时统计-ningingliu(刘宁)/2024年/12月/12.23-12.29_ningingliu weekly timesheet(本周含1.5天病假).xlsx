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ning/Documents/- CTD /# Timeshit/2. Weipan version/"/>
    </mc:Choice>
  </mc:AlternateContent>
  <xr:revisionPtr revIDLastSave="0" documentId="13_ncr:1_{15180DBA-A685-9249-9ECB-161ADD4BE003}" xr6:coauthVersionLast="47" xr6:coauthVersionMax="47" xr10:uidLastSave="{00000000-0000-0000-0000-000000000000}"/>
  <bookViews>
    <workbookView xWindow="45340" yWindow="-5820" windowWidth="36100" windowHeight="28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<sst xmlns="http://schemas.openxmlformats.org/spreadsheetml/2006/main" count="187" uniqueCount="93">
  <si>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</si>
  <si>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</si>
  <si>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</si>
  <si>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</si>
  <si>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</si>
  <si>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</si>
  <si>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</si>
  <si>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</si>
  <si>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</si>
  <si>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</si>
  <si>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</si>
  <si>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</si>
  <si>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</si>
  <si>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</si>
  <si>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</si>
  <si>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</si>
  <si>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</si>
  <si>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</si>
  <si>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</si>
  <si>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</si>
  <si>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</si>
  <si>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</si>
  <si>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</si>
  <si>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</si>
  <si>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</si>
  <si>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</si>
  <si>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</si>
  <si>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</si>
  <si>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</si>
  <si>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</si>
  <si>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</si>
  <si>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</si>
  <si>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</si>
  <si>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</si>
  <si>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</si>
  <si>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</si>
  <si>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</si>
  <si>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</si>
  <si>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</si>
  <si>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</si>
  <si>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</si>
  <si>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</si>
  <si>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</si>
  <si>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</si>
  <si>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</si>
  <si>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</si>
  <si>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</si>
  <si>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</si>
  <si>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</si>
  <si>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</si>
  <si>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</si>
  <si>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</si>
  <si>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</si>
  <si>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</si>
  <si>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</si>
  <si>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</si>
  <si>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</si>
  <si>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</si>
  <si>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</si>
  <si>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</si>
  <si>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</si>
  <si>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</si>
  <si>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</si>
  <si>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</si>
  <si>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</si>
  <si>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</si>
  <si>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</si>
  <si>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</si>
  <si>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</si>
  <si>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</si>
  <si>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</si>
  <si>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</si>
  <si>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</si>
  <si>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</si>
  <si>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杏泽人民币四期</t>
    <phoneticPr fontId="7" type="noConversion"/>
  </si>
  <si>
    <t>SV Angel X</t>
  </si>
  <si>
    <t xml:space="preserve">
IPI Partners III</t>
    <phoneticPr fontId="7" type="noConversion"/>
  </si>
  <si>
    <t>股东会决议</t>
  </si>
  <si>
    <t>夜莺</t>
    <phoneticPr fontId="7" type="noConversion"/>
  </si>
  <si>
    <t>更美</t>
    <phoneticPr fontId="7" type="noConversion"/>
  </si>
  <si>
    <t>上周沟通后续跟进</t>
    <phoneticPr fontId="7" type="noConversion"/>
  </si>
  <si>
    <t>KIL内部版审阅待定问题讨论、签署和交割</t>
    <phoneticPr fontId="7" type="noConversion"/>
  </si>
  <si>
    <t>定稿文件和最终待定问题沟通</t>
  </si>
  <si>
    <t>内部沟通和推进。</t>
    <phoneticPr fontId="7" type="noConversion"/>
  </si>
  <si>
    <t>峰瑞人民币基金</t>
    <phoneticPr fontId="7" type="noConversion"/>
  </si>
  <si>
    <t>股权转让安排和文件审阅。</t>
    <phoneticPr fontId="7" type="noConversion"/>
  </si>
  <si>
    <t>保腾盛基金决议</t>
  </si>
  <si>
    <t>银基</t>
    <phoneticPr fontId="7" type="noConversion"/>
  </si>
  <si>
    <t>与Mia沟通项目情况。</t>
    <phoneticPr fontId="7" type="noConversion"/>
  </si>
  <si>
    <t>回购函起草和电子邮件发出。</t>
    <phoneticPr fontId="7" type="noConversion"/>
  </si>
  <si>
    <t>反洗钱及制裁法务支持 Legal support for anti-money laundering and sanctions compliance</t>
  </si>
  <si>
    <t xml:space="preserve"> 反洗钱制度审阅和反馈。</t>
    <phoneticPr fontId="7" type="noConversion"/>
  </si>
  <si>
    <t>小时单和deals update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</si>
</sst>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I22" sqref="I22"/>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74.3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7" t="s">
        <v>76</v>
      </c>
      <c r="E4" s="8" t="s">
        <v>40</v>
      </c>
      <c r="F4" s="12" t="s">
        <v>73</v>
      </c>
      <c r="G4" s="8">
        <v>5.8</v>
      </c>
      <c r="H4" s="12" t="s">
        <v>20</v>
      </c>
      <c r="I4" s="25" t="s">
        <v>81</v>
      </c>
    </row>
    <row r="5" spans="2:9" ht="28">
      <c r="B5" s="14" t="s">
        <v>72</v>
      </c>
      <c r="C5" s="12" t="s">
        <v>14</v>
      </c>
      <c r="D5" s="26" t="s">
        <v>74</v>
      </c>
      <c r="E5" s="8" t="s">
        <v>40</v>
      </c>
      <c r="F5" s="12" t="s">
        <v>73</v>
      </c>
      <c r="G5" s="8">
        <v>8.5</v>
      </c>
      <c r="H5" s="12" t="s">
        <v>20</v>
      </c>
      <c r="I5" s="25" t="s">
        <v>82</v>
      </c>
    </row>
    <row r="6" spans="2:9" ht="28">
      <c r="B6" s="14" t="s">
        <v>72</v>
      </c>
      <c r="C6" s="12" t="s">
        <v>14</v>
      </c>
      <c r="D6" s="26" t="s">
        <v>75</v>
      </c>
      <c r="E6" s="8" t="s">
        <v>40</v>
      </c>
      <c r="F6" s="12" t="s">
        <v>73</v>
      </c>
      <c r="G6" s="8">
        <v>4.3</v>
      </c>
      <c r="H6" s="12" t="s">
        <v>20</v>
      </c>
      <c r="I6" s="25" t="s">
        <v>83</v>
      </c>
    </row>
    <row r="7" spans="2:9" ht="28">
      <c r="B7" s="14" t="s">
        <v>72</v>
      </c>
      <c r="C7" s="12" t="s">
        <v>14</v>
      </c>
      <c r="D7" s="26" t="s">
        <v>84</v>
      </c>
      <c r="E7" s="8" t="s">
        <v>40</v>
      </c>
      <c r="F7" s="12" t="s">
        <v>73</v>
      </c>
      <c r="G7" s="8">
        <v>3.5</v>
      </c>
      <c r="H7" s="12" t="s">
        <v>20</v>
      </c>
      <c r="I7" s="25" t="s">
        <v>85</v>
      </c>
    </row>
    <row r="8" spans="2:9" ht="28">
      <c r="B8" s="14" t="s">
        <v>72</v>
      </c>
      <c r="C8" s="12" t="s">
        <v>14</v>
      </c>
      <c r="D8" s="26" t="s">
        <v>86</v>
      </c>
      <c r="E8" s="8" t="s">
        <v>40</v>
      </c>
      <c r="F8" s="12" t="s">
        <v>73</v>
      </c>
      <c r="G8" s="8">
        <v>0.9</v>
      </c>
      <c r="H8" s="12" t="s">
        <v>20</v>
      </c>
      <c r="I8" s="25" t="s">
        <v>77</v>
      </c>
    </row>
    <row r="9" spans="2:9" ht="28">
      <c r="B9" s="14" t="s">
        <v>72</v>
      </c>
      <c r="C9" s="12" t="s">
        <v>14</v>
      </c>
      <c r="D9" s="26" t="s">
        <v>87</v>
      </c>
      <c r="E9" s="8" t="s">
        <v>40</v>
      </c>
      <c r="F9" s="12" t="s">
        <v>73</v>
      </c>
      <c r="G9" s="8">
        <v>0.8</v>
      </c>
      <c r="H9" s="12" t="s">
        <v>20</v>
      </c>
      <c r="I9" s="25" t="s">
        <v>77</v>
      </c>
    </row>
    <row r="10" spans="2:9" ht="28">
      <c r="B10" s="14" t="s">
        <v>72</v>
      </c>
      <c r="C10" s="12" t="s">
        <v>14</v>
      </c>
      <c r="D10" s="26"/>
      <c r="E10" s="8" t="s">
        <v>40</v>
      </c>
      <c r="F10" s="12" t="s">
        <v>73</v>
      </c>
      <c r="G10" s="8">
        <v>1</v>
      </c>
      <c r="H10" s="12" t="s">
        <v>27</v>
      </c>
      <c r="I10" s="25" t="s">
        <v>88</v>
      </c>
    </row>
    <row r="11" spans="2:9" ht="28">
      <c r="B11" s="14" t="s">
        <v>72</v>
      </c>
      <c r="C11" s="12" t="s">
        <v>14</v>
      </c>
      <c r="D11" s="26" t="s">
        <v>78</v>
      </c>
      <c r="E11" s="8" t="s">
        <v>40</v>
      </c>
      <c r="F11" s="12" t="s">
        <v>73</v>
      </c>
      <c r="G11" s="8">
        <v>2</v>
      </c>
      <c r="H11" s="12" t="s">
        <v>20</v>
      </c>
      <c r="I11" s="25" t="s">
        <v>89</v>
      </c>
    </row>
    <row r="12" spans="2:9" ht="28">
      <c r="B12" s="14" t="s">
        <v>72</v>
      </c>
      <c r="C12" s="12" t="s">
        <v>14</v>
      </c>
      <c r="D12" s="26" t="s">
        <v>79</v>
      </c>
      <c r="E12" s="8" t="s">
        <v>40</v>
      </c>
      <c r="F12" s="12" t="s">
        <v>73</v>
      </c>
      <c r="G12" s="8">
        <v>0.6</v>
      </c>
      <c r="H12" s="12" t="s">
        <v>27</v>
      </c>
      <c r="I12" s="25" t="s">
        <v>80</v>
      </c>
    </row>
    <row r="13" spans="2:9" ht="42">
      <c r="B13" s="14" t="s">
        <v>72</v>
      </c>
      <c r="C13" s="12" t="s">
        <v>14</v>
      </c>
      <c r="D13" s="8"/>
      <c r="E13" s="8" t="s">
        <v>40</v>
      </c>
      <c r="F13" s="12" t="s">
        <v>90</v>
      </c>
      <c r="G13" s="8">
        <v>2.5</v>
      </c>
      <c r="H13" s="12" t="s">
        <v>20</v>
      </c>
      <c r="I13" s="25" t="s">
        <v>91</v>
      </c>
    </row>
    <row r="14" spans="2:9">
      <c r="B14" s="14" t="s">
        <v>72</v>
      </c>
      <c r="C14" s="27" t="s">
        <v>18</v>
      </c>
      <c r="D14" s="26"/>
      <c r="E14" s="8" t="s">
        <v>27</v>
      </c>
      <c r="F14" s="27"/>
      <c r="G14" s="26">
        <v>1</v>
      </c>
      <c r="H14" s="27" t="s">
        <v>27</v>
      </c>
      <c r="I14" s="25" t="s">
        <v>92</v>
      </c>
    </row>
    <row r="15" spans="2:9">
      <c r="B15" s="20"/>
      <c r="C15" s="21"/>
      <c r="D15" s="22"/>
      <c r="E15" s="22"/>
      <c r="F15" s="24" t="s">
        <v>67</v>
      </c>
      <c r="G15" s="31">
        <f>SUM(G3:G14)</f>
        <v>30.900000000000002</v>
      </c>
      <c r="H15" s="32"/>
      <c r="I15" s="33"/>
    </row>
    <row r="16" spans="2:9" ht="16" thickBot="1">
      <c r="B16" s="17"/>
      <c r="C16" s="18"/>
      <c r="D16" s="19"/>
      <c r="E16" s="19"/>
      <c r="F16" s="23" t="s">
        <v>68</v>
      </c>
      <c r="G16" s="28"/>
      <c r="H16" s="29"/>
      <c r="I16" s="30"/>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C4:C13 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2024-12-27T09:07:47Z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