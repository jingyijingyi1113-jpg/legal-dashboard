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ning/Documents/- CTD /# Timeshit/2. Weipan version/"/>
    </mc:Choice>
  </mc:AlternateContent>
  <xr:revisionPtr revIDLastSave="0" documentId="13_ncr:1_{109E1F54-D31F-BA4C-B09B-41BFE69AFA5B}" xr6:coauthVersionLast="47" xr6:coauthVersionMax="47" xr10:uidLastSave="{00000000-0000-0000-0000-000000000000}"/>
  <bookViews>
    <workbookView xWindow="0" yWindow="760" windowWidth="24180" windowHeight="17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<sst xmlns="http://schemas.openxmlformats.org/spreadsheetml/2006/main" count="158" uniqueCount="84">
  <si>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</si>
  <si>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</si>
  <si>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</si>
  <si>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</si>
  <si>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</si>
  <si>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</si>
  <si>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</si>
  <si>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</si>
  <si>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</si>
  <si>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</si>
  <si>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</si>
  <si>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</si>
  <si>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</si>
  <si>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</si>
  <si>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</si>
  <si>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</si>
  <si>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</si>
  <si>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</si>
  <si>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</si>
  <si>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</si>
  <si>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</si>
  <si>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</si>
  <si>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</si>
  <si>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</si>
  <si>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</si>
  <si>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</si>
  <si>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</si>
  <si>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</si>
  <si>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</si>
  <si>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</si>
  <si>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</si>
  <si>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</si>
  <si>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</si>
  <si>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</si>
  <si>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</si>
  <si>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</si>
  <si>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</si>
  <si>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</si>
  <si>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</si>
  <si>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</si>
  <si>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</si>
  <si>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</si>
  <si>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</si>
  <si>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</si>
  <si>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</si>
  <si>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</si>
  <si>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</si>
  <si>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</si>
  <si>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</si>
  <si>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</si>
  <si>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</si>
  <si>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</si>
  <si>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</si>
  <si>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</si>
  <si>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</si>
  <si>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</si>
  <si>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</si>
  <si>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</si>
  <si>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</si>
  <si>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</si>
  <si>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</si>
  <si>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</si>
  <si>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</si>
  <si>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</si>
  <si>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</si>
  <si>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</si>
  <si>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</si>
  <si>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</si>
  <si>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</si>
  <si>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</si>
  <si>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</si>
  <si>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</si>
  <si>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</si>
  <si>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</si>
  <si>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小时单</t>
    <phoneticPr fontId="7" type="noConversion"/>
  </si>
  <si>
    <t>Talking Data</t>
    <phoneticPr fontId="7" type="noConversion"/>
  </si>
  <si>
    <t>新融资文件审阅。</t>
    <phoneticPr fontId="7" type="noConversion"/>
  </si>
  <si>
    <t>Signia Venture Partners, L.P.</t>
  </si>
  <si>
    <t xml:space="preserve">#24 capital call notice </t>
  </si>
  <si>
    <t>更美</t>
    <phoneticPr fontId="7" type="noConversion"/>
  </si>
  <si>
    <t>CMC清单核查汉坤</t>
    <phoneticPr fontId="7" type="noConversion"/>
  </si>
  <si>
    <t>与Jia讨论内部项目。</t>
    <phoneticPr fontId="7" type="noConversion"/>
  </si>
  <si>
    <t xml:space="preserve">cfius fund guidance </t>
  </si>
  <si>
    <t>内部沟通合并审阅意见反馈公司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</si>
</sst>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G12" sqref="G12:I12"/>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74.3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6" t="s">
        <v>75</v>
      </c>
      <c r="E4" s="8" t="s">
        <v>40</v>
      </c>
      <c r="F4" s="12" t="s">
        <v>73</v>
      </c>
      <c r="G4" s="8">
        <v>6</v>
      </c>
      <c r="H4" s="12" t="s">
        <v>20</v>
      </c>
      <c r="I4" s="25" t="s">
        <v>76</v>
      </c>
    </row>
    <row r="5" spans="2:9" ht="28">
      <c r="B5" s="14" t="s">
        <v>72</v>
      </c>
      <c r="C5" s="12" t="s">
        <v>14</v>
      </c>
      <c r="D5" s="26" t="s">
        <v>77</v>
      </c>
      <c r="E5" s="8" t="s">
        <v>40</v>
      </c>
      <c r="F5" s="12" t="s">
        <v>73</v>
      </c>
      <c r="G5" s="8">
        <v>0.5</v>
      </c>
      <c r="H5" s="12" t="s">
        <v>20</v>
      </c>
      <c r="I5" s="25" t="s">
        <v>78</v>
      </c>
    </row>
    <row r="6" spans="2:9" ht="28">
      <c r="B6" s="14" t="s">
        <v>72</v>
      </c>
      <c r="C6" s="12" t="s">
        <v>14</v>
      </c>
      <c r="D6" s="26" t="s">
        <v>79</v>
      </c>
      <c r="E6" s="8" t="s">
        <v>40</v>
      </c>
      <c r="F6" s="12" t="s">
        <v>73</v>
      </c>
      <c r="G6" s="8">
        <v>1</v>
      </c>
      <c r="H6" s="12" t="s">
        <v>20</v>
      </c>
      <c r="I6" s="25" t="s">
        <v>83</v>
      </c>
    </row>
    <row r="7" spans="2:9" ht="28">
      <c r="B7" s="14" t="s">
        <v>72</v>
      </c>
      <c r="C7" s="12" t="s">
        <v>14</v>
      </c>
      <c r="D7" s="26"/>
      <c r="E7" s="8" t="s">
        <v>40</v>
      </c>
      <c r="F7" s="12" t="s">
        <v>73</v>
      </c>
      <c r="G7" s="8">
        <v>11.1</v>
      </c>
      <c r="H7" s="12" t="s">
        <v>27</v>
      </c>
      <c r="I7" s="25" t="s">
        <v>80</v>
      </c>
    </row>
    <row r="8" spans="2:9" ht="28">
      <c r="B8" s="14" t="s">
        <v>72</v>
      </c>
      <c r="C8" s="12" t="s">
        <v>14</v>
      </c>
      <c r="D8" s="26"/>
      <c r="E8" s="8" t="s">
        <v>40</v>
      </c>
      <c r="F8" s="12" t="s">
        <v>73</v>
      </c>
      <c r="G8" s="8">
        <v>2.5</v>
      </c>
      <c r="H8" s="12" t="s">
        <v>27</v>
      </c>
      <c r="I8" s="25" t="s">
        <v>81</v>
      </c>
    </row>
    <row r="9" spans="2:9" ht="28">
      <c r="B9" s="14" t="s">
        <v>72</v>
      </c>
      <c r="C9" s="12" t="s">
        <v>14</v>
      </c>
      <c r="D9" s="26"/>
      <c r="E9" s="8" t="s">
        <v>40</v>
      </c>
      <c r="F9" s="12" t="s">
        <v>73</v>
      </c>
      <c r="G9" s="8">
        <v>2</v>
      </c>
      <c r="H9" s="12" t="s">
        <v>27</v>
      </c>
      <c r="I9" s="25" t="s">
        <v>82</v>
      </c>
    </row>
    <row r="10" spans="2:9">
      <c r="B10" s="14" t="s">
        <v>72</v>
      </c>
      <c r="C10" s="27" t="s">
        <v>18</v>
      </c>
      <c r="D10" s="26"/>
      <c r="E10" s="8" t="s">
        <v>27</v>
      </c>
      <c r="F10" s="27"/>
      <c r="G10" s="26">
        <v>1</v>
      </c>
      <c r="H10" s="27" t="s">
        <v>27</v>
      </c>
      <c r="I10" s="25" t="s">
        <v>74</v>
      </c>
    </row>
    <row r="11" spans="2:9">
      <c r="B11" s="20"/>
      <c r="C11" s="21"/>
      <c r="D11" s="22"/>
      <c r="E11" s="22"/>
      <c r="F11" s="24" t="s">
        <v>67</v>
      </c>
      <c r="G11" s="31">
        <f>SUM(G3:G10)</f>
        <v>24.1</v>
      </c>
      <c r="H11" s="32"/>
      <c r="I11" s="33"/>
    </row>
    <row r="12" spans="2:9" ht="16" thickBot="1">
      <c r="B12" s="17"/>
      <c r="C12" s="18"/>
      <c r="D12" s="19"/>
      <c r="E12" s="19"/>
      <c r="F12" s="23" t="s">
        <v>68</v>
      </c>
      <c r="G12" s="28"/>
      <c r="H12" s="29"/>
      <c r="I12" s="30"/>
    </row>
    <row r="13" spans="2:9" ht="16"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C11:C12 C4:C9</xm:sqref>
        </x14:dataValidation>
        <x14:dataValidation type="list" allowBlank="1" showInputMessage="1" showErrorMessage="1" xr:uid="{00000000-0002-0000-0000-000003000000}">
          <x14:formula1>
            <xm:f>数据标签!$B$11:$D$11</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2025-01-20T09:05:24Z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