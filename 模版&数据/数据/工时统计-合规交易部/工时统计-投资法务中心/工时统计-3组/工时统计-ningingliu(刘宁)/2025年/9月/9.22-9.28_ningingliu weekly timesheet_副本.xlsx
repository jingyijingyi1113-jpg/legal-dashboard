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8"/>
  <workbookPr/>
  <mc:AlternateContent xmlns:mc="http://schemas.openxmlformats.org/markup-compatibility/2006">
    <mc:Choice Requires="x15">
      <x15ac:absPath xmlns:x15ac="http://schemas.microsoft.com/office/spreadsheetml/2010/11/ac" url="/Users/ningliu/Documents/- CTD /# Timesheet/2025 Q3/"/>
    </mc:Choice>
  </mc:AlternateContent>
  <xr:revisionPtr revIDLastSave="0" documentId="13_ncr:1_{EFCD3476-D4A0-F844-A787-6F7F9C6261C6}" xr6:coauthVersionLast="47" xr6:coauthVersionMax="47" xr10:uidLastSave="{00000000-0000-0000-0000-000000000000}"/>
  <bookViews>
    <workbookView xWindow="160" yWindow="900" windowWidth="29080" windowHeight="16340" xr2:uid="{00000000-000D-0000-FFFF-FFFF00000000}"/>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4" localSheetId="0">个人工时记录表!#REF!</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<sst xmlns="http://schemas.openxmlformats.org/spreadsheetml/2006/main" count="220" uniqueCount="137">
  <si>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</si>
  <si>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</si>
  <si>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</si>
  <si>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</si>
  <si>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</si>
  <si>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</si>
  <si>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</si>
  <si>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</si>
  <si>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</si>
  <si>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</si>
  <si>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</si>
  <si>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</si>
  <si>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</si>
  <si>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</si>
  <si>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</si>
  <si>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</si>
  <si>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</si>
  <si>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</si>
  <si>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</si>
  <si>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</si>
  <si>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</si>
  <si>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</si>
  <si>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</si>
  <si>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</si>
  <si>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</si>
  <si>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</si>
  <si>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</si>
  <si>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</si>
  <si>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</si>
  <si>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</si>
  <si>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</si>
  <si>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</si>
  <si>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</si>
  <si>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</si>
  <si>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</si>
  <si>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</si>
  <si>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</si>
  <si>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</si>
  <si>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</si>
  <si>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</si>
  <si>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</si>
  <si>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</si>
  <si>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</si>
  <si>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3" type="noConversion"/>
  </si>
  <si>
    <t>敏感投资领域投资指引 Guidance for sensitive investment fields</t>
    <phoneticPr fontId="3" type="noConversion"/>
  </si>
  <si>
    <t>资本市场、投融资活动创新突破 Innovative breakthroughs in investments and capital market transactions</t>
    <phoneticPr fontId="3" type="noConversion"/>
  </si>
  <si>
    <t>境内外主体/办公室合规管理 Compliance management for domestic and overseas entities/offices</t>
    <phoneticPr fontId="3" type="noConversion"/>
  </si>
  <si>
    <t>反洗钱及制裁法务支持 Legal support for anti-money laundering and sanctions compliance</t>
    <phoneticPr fontId="3" type="noConversion"/>
  </si>
  <si>
    <t>资本市场证券交易全流程合规体系建设 Full-process compliance system  for securities trading in capital markets</t>
    <phoneticPr fontId="3" type="noConversion"/>
  </si>
  <si>
    <t>控股和重点投资公司法务风险管理 Legal risk management for controlled and key invested portfolios</t>
    <phoneticPr fontId="3" type="noConversion"/>
  </si>
  <si>
    <t>海外投资合规管理 Overseas investment compliance management</t>
    <phoneticPr fontId="3" type="noConversion"/>
  </si>
  <si>
    <t>执业管理平台体系完善 Perfection of the professional management platform</t>
    <phoneticPr fontId="3" type="noConversion"/>
  </si>
  <si>
    <t>优化Hotdesk和专家组制度 Optimization of Hotdesk and expert panel system</t>
    <phoneticPr fontId="3" type="noConversion"/>
  </si>
  <si>
    <t>精细化管理工具搭建 Adoption of refined management tools</t>
    <phoneticPr fontId="3" type="noConversion"/>
  </si>
  <si>
    <t>境内投融资资本市场监管发展与重大政策争取与风险应对 Regulatory compliance in domestic investments and capital markets; lobbying for major policies and risk mitigation</t>
    <phoneticPr fontId="3" type="noConversion"/>
  </si>
  <si>
    <t>投资项目全流程法务支持 Full-process legal support for investments</t>
    <phoneticPr fontId="3" type="noConversion"/>
  </si>
  <si>
    <t xml:space="preserve"> </t>
    <phoneticPr fontId="3" type="noConversion"/>
  </si>
  <si>
    <t xml:space="preserve">如为CTD-投资法务中心BSC或OKR事项，请相应勾选下拉菜单中的BSC/OKR事项选项
In the case of a CTD-ILC BSC or OKR item, please select the detailed item in the drop-down menu </t>
    <phoneticPr fontId="3" type="noConversion"/>
  </si>
  <si>
    <t>Providing training sessions/knowledge sharing</t>
    <phoneticPr fontId="3" type="noConversion"/>
  </si>
  <si>
    <t>请确认该项事务是否为CTD-投资法务中心的OKR事项
Confirm whether it's a CTD-ILC OKR iteam</t>
    <phoneticPr fontId="3" type="noConversion"/>
  </si>
  <si>
    <t>Public - Knowledge Accumulation &amp; Sharing</t>
    <phoneticPr fontId="3" type="noConversion"/>
  </si>
  <si>
    <t>Recording/reviewing deals updates/weekly time reports/other team summaries</t>
    <phoneticPr fontId="3" type="noConversion"/>
  </si>
  <si>
    <t>Establishing/improving IT systems</t>
    <phoneticPr fontId="3" type="noConversion"/>
  </si>
  <si>
    <t>金融投资公司业务合规管理 Compliance management for  invested financial portfolios</t>
    <phoneticPr fontId="3" type="noConversion"/>
  </si>
  <si>
    <t>国际业务(投资)监管应对Interaction with regulators for international investments</t>
    <phoneticPr fontId="3" type="noConversion"/>
  </si>
  <si>
    <t>国际监管趋势监测、预判 Monitoring and forecasting international regulatory trends</t>
    <phoneticPr fontId="3" type="noConversion"/>
  </si>
  <si>
    <t>Others</t>
    <phoneticPr fontId="3" type="noConversion"/>
  </si>
  <si>
    <t xml:space="preserve">Total Hours:  </t>
    <phoneticPr fontId="3" type="noConversion"/>
  </si>
  <si>
    <t>Number of Actual Working Days:</t>
    <phoneticPr fontId="3" type="noConversion"/>
  </si>
  <si>
    <t>Public - Infrastructure &amp; Guidance</t>
    <phoneticPr fontId="3" type="noConversion"/>
  </si>
  <si>
    <t>Deal/Matter Category</t>
    <phoneticPr fontId="3" type="noConversion"/>
  </si>
  <si>
    <t>Interacting with regulators</t>
    <phoneticPr fontId="3" type="noConversion"/>
  </si>
  <si>
    <t>ningingliu</t>
    <phoneticPr fontId="3" type="noConversion"/>
  </si>
  <si>
    <t>投资项目全流程法务支持 Full-process legal support for investments</t>
  </si>
  <si>
    <t>Crytek</t>
    <phoneticPr fontId="3" type="noConversion"/>
  </si>
  <si>
    <t>精细化管理工具搭建 Adoption of refined management tools</t>
  </si>
  <si>
    <t>Recording/reviewing deals updates/weekly time reports/other team summaries</t>
  </si>
  <si>
    <t>例会。</t>
    <phoneticPr fontId="3" type="noConversion"/>
  </si>
  <si>
    <t>小时单&amp;deals update。</t>
    <phoneticPr fontId="3" type="noConversion"/>
  </si>
  <si>
    <t>Notion</t>
    <phoneticPr fontId="9" type="noConversion"/>
  </si>
  <si>
    <t xml:space="preserve">Invontic </t>
    <phoneticPr fontId="9" type="noConversion"/>
  </si>
  <si>
    <t xml:space="preserve">欢欢 </t>
    <phoneticPr fontId="9" type="noConversion"/>
  </si>
  <si>
    <t>Oversubscribe</t>
    <phoneticPr fontId="9" type="noConversion"/>
  </si>
  <si>
    <t>Flora去要时间</t>
    <phoneticPr fontId="9" type="noConversion"/>
  </si>
  <si>
    <t>欧洲基金投回美国</t>
    <phoneticPr fontId="9" type="noConversion"/>
  </si>
  <si>
    <t>按照现有材料看下风险， 不找Gp要资料了</t>
    <phoneticPr fontId="9" type="noConversion"/>
  </si>
  <si>
    <t>2周左右</t>
    <phoneticPr fontId="9" type="noConversion"/>
  </si>
  <si>
    <t>5mn</t>
    <phoneticPr fontId="9" type="noConversion"/>
  </si>
  <si>
    <t>IC deal</t>
    <phoneticPr fontId="9" type="noConversion"/>
  </si>
  <si>
    <t>博裕资本的人民币</t>
    <phoneticPr fontId="9" type="noConversion"/>
  </si>
  <si>
    <t>5亿人民</t>
    <phoneticPr fontId="9" type="noConversion"/>
  </si>
  <si>
    <t>小小江找了Martin</t>
    <phoneticPr fontId="9" type="noConversion"/>
  </si>
  <si>
    <t>7月初尽调</t>
    <phoneticPr fontId="9" type="noConversion"/>
  </si>
  <si>
    <t>830 DDL</t>
    <phoneticPr fontId="9" type="noConversion"/>
  </si>
  <si>
    <t>Credit fund.</t>
    <phoneticPr fontId="9" type="noConversion"/>
  </si>
  <si>
    <t>Hybrid</t>
    <phoneticPr fontId="9" type="noConversion"/>
  </si>
  <si>
    <t>香港基金</t>
    <phoneticPr fontId="9" type="noConversion"/>
  </si>
  <si>
    <t>1bn-腾讯2亿</t>
    <phoneticPr fontId="9" type="noConversion"/>
  </si>
  <si>
    <t>不会投资美国项目</t>
    <phoneticPr fontId="9" type="noConversion"/>
  </si>
  <si>
    <t xml:space="preserve">APAC </t>
    <phoneticPr fontId="9" type="noConversion"/>
  </si>
  <si>
    <t>Cat 可以先 Pre deal assessment 先搞。基金juridiction，投资区域啥的</t>
    <phoneticPr fontId="9" type="noConversion"/>
  </si>
  <si>
    <t>9月的时间表</t>
    <phoneticPr fontId="9" type="noConversion"/>
  </si>
  <si>
    <t>Vender CO</t>
    <phoneticPr fontId="9" type="noConversion"/>
  </si>
  <si>
    <t>Drangonner</t>
    <phoneticPr fontId="9" type="noConversion"/>
  </si>
  <si>
    <t>已投re-up</t>
    <phoneticPr fontId="9" type="noConversion"/>
  </si>
  <si>
    <t>流程快 金额不大变</t>
    <phoneticPr fontId="9" type="noConversion"/>
  </si>
  <si>
    <t>时间：930</t>
    <phoneticPr fontId="9" type="noConversion"/>
  </si>
  <si>
    <t>时间：815</t>
    <phoneticPr fontId="9" type="noConversion"/>
  </si>
  <si>
    <t>Bessmmer</t>
    <phoneticPr fontId="9" type="noConversion"/>
  </si>
  <si>
    <t xml:space="preserve">时间：915-930 </t>
    <phoneticPr fontId="9" type="noConversion"/>
  </si>
  <si>
    <t>这个基金会提前他们的时间表</t>
    <phoneticPr fontId="9" type="noConversion"/>
  </si>
  <si>
    <t>还有一些是12月中的国内基金 BAI之类的</t>
    <phoneticPr fontId="9" type="noConversion"/>
  </si>
  <si>
    <t>LS要在基金层面有些控制的操作。</t>
    <phoneticPr fontId="9" type="noConversion"/>
  </si>
  <si>
    <t>Activest fund</t>
    <phoneticPr fontId="9" type="noConversion"/>
  </si>
  <si>
    <t>buyout上市公司之后再带着公司去二次上市</t>
    <phoneticPr fontId="9" type="noConversion"/>
  </si>
  <si>
    <t>Martin 推荐项目</t>
    <phoneticPr fontId="9" type="noConversion"/>
  </si>
  <si>
    <t>Long position</t>
    <phoneticPr fontId="9" type="noConversion"/>
  </si>
  <si>
    <t xml:space="preserve"> 待定项目</t>
    <phoneticPr fontId="9" type="noConversion"/>
  </si>
  <si>
    <t>如果投资的话就是大项目</t>
    <phoneticPr fontId="9" type="noConversion"/>
  </si>
  <si>
    <t>与Lingoto不同</t>
    <phoneticPr fontId="9" type="noConversion"/>
  </si>
  <si>
    <t>占比【】？</t>
    <phoneticPr fontId="9" type="noConversion"/>
  </si>
  <si>
    <t>Non-IC deal</t>
    <phoneticPr fontId="9" type="noConversion"/>
  </si>
  <si>
    <t>Investment Related - M&amp;A Deal</t>
    <phoneticPr fontId="3" type="noConversion"/>
  </si>
  <si>
    <t>春雨医生</t>
    <phoneticPr fontId="3" type="noConversion"/>
  </si>
  <si>
    <t>ManinFunc</t>
    <phoneticPr fontId="3" type="noConversion"/>
  </si>
  <si>
    <t>华云中盛</t>
    <phoneticPr fontId="3" type="noConversion"/>
  </si>
  <si>
    <t xml:space="preserve">Closinng binder跟进， 交割后certificat邮寄情况安排，GCSTM对接跟进。 </t>
    <phoneticPr fontId="3" type="noConversion"/>
  </si>
  <si>
    <t>投后管理：回购函起草和准备阶段。</t>
    <phoneticPr fontId="3" type="noConversion"/>
  </si>
  <si>
    <t>银基</t>
    <phoneticPr fontId="3" type="noConversion"/>
  </si>
  <si>
    <t>Playground Quantum</t>
    <phoneticPr fontId="3" type="noConversion"/>
  </si>
  <si>
    <t>公司新一轮交易文件整体审阅。</t>
    <phoneticPr fontId="3" type="noConversion"/>
  </si>
  <si>
    <t>春雨提供的SPA初稿审阅。</t>
    <phoneticPr fontId="3" type="noConversion"/>
  </si>
  <si>
    <t>Drafting/reviewing/negotiating legal documents</t>
    <phoneticPr fontId="3" type="noConversion"/>
  </si>
  <si>
    <t xml:space="preserve"> 项目跟进和内部同步汇报。 </t>
    <phoneticPr fontId="3" type="noConversion"/>
  </si>
  <si>
    <t>Merger filing数据收集+SHAs文件修改，RoPs再修订 + 律师费。RoP审阅和反馈律师。Swertzerland AG. Loan agrt延期。</t>
    <phoneticPr fontId="3" type="noConversion"/>
  </si>
  <si>
    <t>黑鲸游戏</t>
    <phoneticPr fontId="3" type="noConversion"/>
  </si>
  <si>
    <t>律师费结算</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</si>
</sst>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18">
    <font>
      <sz val="11"/>
      <color theme="1"/>
      <name val="等线"/>
      <charset val="134"/>
      <scheme val="minor"/>
    </font>
    <font>
      <sz val="10"/>
      <color theme="1"/>
      <name val="等线"/>
      <family val="2"/>
      <scheme val="minor"/>
    </font>
    <font>
      <sz val="10"/>
      <name val="等线"/>
      <family val="3"/>
      <charset val="134"/>
    </font>
    <font>
      <sz val="9"/>
      <name val="等线"/>
      <family val="3"/>
      <charset val="134"/>
      <scheme val="minor"/>
    </font>
    <font>
      <sz val="10"/>
      <color theme="1"/>
      <name val="等线"/>
      <family val="3"/>
      <charset val="134"/>
    </font>
    <font>
      <sz val="12"/>
      <color theme="1"/>
      <name val="等线"/>
      <family val="4"/>
      <charset val="134"/>
      <scheme val="minor"/>
    </font>
    <font>
      <sz val="12"/>
      <color theme="4" tint="-0.499984740745262"/>
      <name val="等线"/>
      <family val="2"/>
      <scheme val="minor"/>
    </font>
    <font>
      <sz val="12"/>
      <color theme="1"/>
      <name val="等线"/>
      <family val="2"/>
      <scheme val="minor"/>
    </font>
    <font>
      <sz val="11"/>
      <color theme="1"/>
      <name val="等线"/>
      <family val="4"/>
      <charset val="134"/>
      <scheme val="minor"/>
    </font>
    <font>
      <sz val="9"/>
      <name val="等线"/>
      <family val="4"/>
      <charset val="134"/>
      <scheme val="minor"/>
    </font>
    <font>
      <sz val="11"/>
      <color rgb="FFFF0000"/>
      <name val="等线"/>
      <family val="4"/>
      <charset val="134"/>
      <scheme val="minor"/>
    </font>
    <font>
      <b/>
      <sz val="11"/>
      <color theme="1"/>
      <name val="等线"/>
      <family val="4"/>
      <charset val="134"/>
      <scheme val="minor"/>
    </font>
    <font>
      <b/>
      <i/>
      <u/>
      <sz val="11"/>
      <color theme="1"/>
      <name val="等线"/>
      <family val="4"/>
      <charset val="134"/>
      <scheme val="minor"/>
    </font>
    <font>
      <sz val="11"/>
      <color theme="1"/>
      <name val="等线"/>
      <family val="4"/>
      <charset val="134"/>
      <scheme val="minor"/>
    </font>
    <font>
      <sz val="12"/>
      <color rgb="FFFF0000"/>
      <name val="等线"/>
      <family val="4"/>
      <charset val="134"/>
      <scheme val="minor"/>
    </font>
    <font>
      <sz val="12"/>
      <color theme="4" tint="-0.499984740745262"/>
      <name val="等线"/>
      <family val="4"/>
      <charset val="134"/>
      <scheme val="minor"/>
    </font>
    <font>
      <i/>
      <sz val="12"/>
      <color theme="4" tint="-0.499984740745262"/>
      <name val="等线"/>
      <family val="2"/>
      <scheme val="minor"/>
    </font>
    <font>
      <sz val="12"/>
      <color rgb="FF000000"/>
      <name val="PingFang SC"/>
      <family val="2"/>
      <charset val="134"/>
    </font>
  </fonts>
  <fills count="4">
    <fill>
      <patternFill patternType="none"/>
    </fill>
    <fill>
      <patternFill patternType="gray125"/>
    </fill>
    <fill>
      <patternFill patternType="solid">
        <fgColor theme="8" tint="0.79995117038483843"/>
        <bgColor indexed="64"/>
      </patternFill>
    </fill>
    <fill>
      <patternFill patternType="solid">
        <fgColor rgb="FFFFFF0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3" fillId="0" borderId="0" applyFont="0" applyFill="0" applyBorder="0" applyAlignment="0" applyProtection="0">
      <alignment vertical="center"/>
    </xf>
  </cellStyleXfs>
  <cellXfs count="4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5" fillId="0" borderId="0" xfId="0" applyFont="1">
      <alignment vertical="center"/>
    </xf>
    <xf numFmtId="0" fontId="6" fillId="2" borderId="3" xfId="0" applyFont="1" applyFill="1" applyBorder="1" applyAlignment="1">
      <alignment vertical="center" wrapText="1"/>
    </xf>
    <xf numFmtId="0" fontId="6" fillId="2" borderId="4" xfId="0" applyFont="1" applyFill="1" applyBorder="1" applyAlignment="1">
      <alignment vertical="center" wrapText="1"/>
    </xf>
    <xf numFmtId="0" fontId="6" fillId="2" borderId="8" xfId="0" applyFont="1" applyFill="1" applyBorder="1" applyAlignment="1">
      <alignment vertical="center" wrapText="1"/>
    </xf>
    <xf numFmtId="0" fontId="7" fillId="0" borderId="3" xfId="0" applyFont="1" applyBorder="1">
      <alignment vertical="center"/>
    </xf>
    <xf numFmtId="0" fontId="7" fillId="0" borderId="4" xfId="0" applyFont="1" applyBorder="1" applyAlignment="1">
      <alignment vertical="center" wrapText="1"/>
    </xf>
    <xf numFmtId="0" fontId="7" fillId="0" borderId="4" xfId="0" applyFont="1" applyBorder="1">
      <alignment vertical="center"/>
    </xf>
    <xf numFmtId="0" fontId="7" fillId="0" borderId="8" xfId="0" applyFont="1" applyBorder="1" applyAlignment="1">
      <alignment vertical="center" wrapText="1"/>
    </xf>
    <xf numFmtId="0" fontId="7" fillId="0" borderId="9" xfId="0" applyFont="1" applyBorder="1">
      <alignment vertical="center"/>
    </xf>
    <xf numFmtId="0" fontId="7" fillId="0" borderId="10" xfId="0" applyFont="1" applyBorder="1" applyAlignment="1">
      <alignment vertical="center" wrapText="1"/>
    </xf>
    <xf numFmtId="0" fontId="7" fillId="0" borderId="10" xfId="0" applyFont="1" applyBorder="1">
      <alignment vertical="center"/>
    </xf>
    <xf numFmtId="0" fontId="7" fillId="0" borderId="16" xfId="0" applyFont="1" applyBorder="1" applyAlignment="1">
      <alignment horizontal="right" vertical="center" wrapText="1"/>
    </xf>
    <xf numFmtId="0" fontId="7" fillId="0" borderId="18" xfId="0" applyFont="1" applyBorder="1" applyAlignment="1">
      <alignment horizontal="left" vertical="center"/>
    </xf>
    <xf numFmtId="0" fontId="7" fillId="0" borderId="11" xfId="0" applyFont="1" applyBorder="1" applyAlignment="1">
      <alignment horizontal="left" vertical="center"/>
    </xf>
    <xf numFmtId="0" fontId="7" fillId="0" borderId="5" xfId="0" applyFont="1" applyBorder="1">
      <alignment vertical="center"/>
    </xf>
    <xf numFmtId="0" fontId="7" fillId="0" borderId="6" xfId="0" applyFont="1" applyBorder="1" applyAlignment="1">
      <alignment vertical="center" wrapText="1"/>
    </xf>
    <xf numFmtId="0" fontId="7" fillId="0" borderId="6" xfId="0" applyFont="1" applyBorder="1">
      <alignment vertical="center"/>
    </xf>
    <xf numFmtId="0" fontId="7" fillId="0" borderId="12" xfId="0" applyFont="1" applyBorder="1" applyAlignment="1">
      <alignment horizontal="right" vertical="center" wrapText="1"/>
    </xf>
    <xf numFmtId="0" fontId="7" fillId="0" borderId="14" xfId="0" applyFont="1" applyBorder="1" applyAlignment="1">
      <alignment horizontal="left" vertical="center"/>
    </xf>
    <xf numFmtId="0" fontId="7" fillId="0" borderId="15" xfId="0" applyFont="1" applyBorder="1" applyAlignment="1">
      <alignment horizontal="left" vertical="center"/>
    </xf>
    <xf numFmtId="0" fontId="5" fillId="0" borderId="0" xfId="0" applyFont="1" applyAlignment="1">
      <alignment vertical="center" wrapText="1"/>
    </xf>
    <xf numFmtId="0" fontId="8" fillId="0" borderId="0" xfId="0" applyFont="1">
      <alignment vertical="center"/>
    </xf>
    <xf numFmtId="0" fontId="10" fillId="0" borderId="0" xfId="0" applyFont="1">
      <alignment vertical="center"/>
    </xf>
    <xf numFmtId="0" fontId="11" fillId="0" borderId="0" xfId="0" applyFont="1">
      <alignment vertical="center"/>
    </xf>
    <xf numFmtId="0" fontId="12" fillId="3" borderId="0" xfId="0" applyFont="1" applyFill="1">
      <alignment vertical="center"/>
    </xf>
    <xf numFmtId="0" fontId="5" fillId="0" borderId="0" xfId="0" applyFont="1" applyAlignment="1">
      <alignment vertical="top"/>
    </xf>
    <xf numFmtId="0" fontId="5" fillId="0" borderId="0" xfId="0" applyFont="1" applyAlignment="1">
      <alignment horizontal="left" vertical="top"/>
    </xf>
    <xf numFmtId="176" fontId="5" fillId="0" borderId="0" xfId="1" applyNumberFormat="1" applyFont="1" applyAlignment="1">
      <alignment horizontal="left" vertical="top"/>
    </xf>
    <xf numFmtId="0" fontId="14" fillId="0" borderId="0" xfId="0" applyFont="1">
      <alignment vertical="center"/>
    </xf>
    <xf numFmtId="176" fontId="5" fillId="0" borderId="0" xfId="1" applyNumberFormat="1" applyFont="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176" fontId="15" fillId="0" borderId="2" xfId="1" applyNumberFormat="1" applyFont="1" applyBorder="1" applyAlignment="1">
      <alignment horizontal="center" vertical="center" wrapText="1"/>
    </xf>
    <xf numFmtId="0" fontId="16" fillId="0" borderId="7" xfId="0" applyFont="1" applyBorder="1" applyAlignment="1">
      <alignment horizontal="center" vertical="center" wrapText="1"/>
    </xf>
    <xf numFmtId="176" fontId="15" fillId="2" borderId="4" xfId="1" applyNumberFormat="1" applyFont="1" applyFill="1" applyBorder="1" applyAlignment="1">
      <alignment horizontal="center" vertical="center" wrapText="1"/>
    </xf>
    <xf numFmtId="176" fontId="5" fillId="0" borderId="4" xfId="1" applyNumberFormat="1" applyFont="1" applyBorder="1" applyAlignment="1">
      <alignment horizontal="center" vertical="center"/>
    </xf>
    <xf numFmtId="176" fontId="5" fillId="0" borderId="17" xfId="1" applyNumberFormat="1" applyFont="1" applyBorder="1" applyAlignment="1">
      <alignment horizontal="center" vertical="center"/>
    </xf>
    <xf numFmtId="176" fontId="5" fillId="0" borderId="13" xfId="1" applyNumberFormat="1" applyFont="1" applyBorder="1" applyAlignment="1">
      <alignment horizontal="center" vertical="center"/>
    </xf>
    <xf numFmtId="176" fontId="5" fillId="0" borderId="0" xfId="1" applyNumberFormat="1" applyFont="1" applyAlignment="1">
      <alignment horizontal="center" vertical="top"/>
    </xf>
    <xf numFmtId="0" fontId="5" fillId="0" borderId="4" xfId="0" applyFont="1" applyBorder="1">
      <alignment vertical="center"/>
    </xf>
    <xf numFmtId="0" fontId="17" fillId="0" borderId="0" xfId="0" applyFont="1">
      <alignmen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29"/>
  <sheetViews>
    <sheetView tabSelected="1" zoomScale="90" zoomScaleNormal="90" workbookViewId="0">
      <pane ySplit="3" topLeftCell="A4" activePane="bottomLeft" state="frozen"/>
      <selection pane="bottomLeft" activeCell="I7" sqref="I7"/>
    </sheetView>
  </sheetViews>
  <sheetFormatPr baseColWidth="10" defaultColWidth="9" defaultRowHeight="16"/>
  <cols>
    <col min="1" max="1" width="7.1640625" style="7" customWidth="1"/>
    <col min="2" max="2" width="9" style="7"/>
    <col min="3" max="3" width="16.1640625" style="27" customWidth="1"/>
    <col min="4" max="4" width="19.5" style="7" customWidth="1"/>
    <col min="5" max="5" width="10.6640625" style="7" customWidth="1"/>
    <col min="6" max="6" width="21.6640625" style="27" customWidth="1"/>
    <col min="7" max="7" width="12" style="36" customWidth="1"/>
    <col min="8" max="8" width="18.1640625" style="27" customWidth="1"/>
    <col min="9" max="9" width="33.33203125" style="27" customWidth="1"/>
    <col min="10" max="10" width="7.1640625" style="7" customWidth="1"/>
    <col min="11" max="16384" width="9" style="7"/>
  </cols>
  <sheetData>
    <row r="1" spans="2:11" ht="41" customHeight="1" thickBot="1"/>
    <row r="2" spans="2:11" ht="35" thickTop="1">
      <c r="B2" s="37" t="s">
        <v>0</v>
      </c>
      <c r="C2" s="38" t="s">
        <v>70</v>
      </c>
      <c r="D2" s="38" t="s">
        <v>1</v>
      </c>
      <c r="E2" s="38" t="s">
        <v>2</v>
      </c>
      <c r="F2" s="38" t="s">
        <v>3</v>
      </c>
      <c r="G2" s="39" t="s">
        <v>4</v>
      </c>
      <c r="H2" s="38" t="s">
        <v>5</v>
      </c>
      <c r="I2" s="40" t="s">
        <v>6</v>
      </c>
    </row>
    <row r="3" spans="2:11" ht="46" customHeight="1">
      <c r="B3" s="8" t="s">
        <v>7</v>
      </c>
      <c r="C3" s="9" t="s">
        <v>8</v>
      </c>
      <c r="D3" s="9" t="s">
        <v>9</v>
      </c>
      <c r="E3" s="9" t="s">
        <v>59</v>
      </c>
      <c r="F3" s="9" t="s">
        <v>57</v>
      </c>
      <c r="G3" s="41" t="s">
        <v>10</v>
      </c>
      <c r="H3" s="9" t="s">
        <v>11</v>
      </c>
      <c r="I3" s="10" t="s">
        <v>12</v>
      </c>
    </row>
    <row r="4" spans="2:11" ht="68">
      <c r="B4" s="11" t="s">
        <v>72</v>
      </c>
      <c r="C4" s="12" t="s">
        <v>14</v>
      </c>
      <c r="D4" s="46" t="s">
        <v>74</v>
      </c>
      <c r="E4" s="13" t="s">
        <v>40</v>
      </c>
      <c r="F4" s="12" t="s">
        <v>73</v>
      </c>
      <c r="G4" s="42">
        <v>21.900000000000002</v>
      </c>
      <c r="H4" s="12" t="s">
        <v>20</v>
      </c>
      <c r="I4" s="14" t="s">
        <v>134</v>
      </c>
      <c r="K4" s="35"/>
    </row>
    <row r="5" spans="2:11" ht="51">
      <c r="B5" s="11" t="s">
        <v>72</v>
      </c>
      <c r="C5" s="12" t="s">
        <v>14</v>
      </c>
      <c r="D5" s="46" t="s">
        <v>124</v>
      </c>
      <c r="E5" s="13" t="s">
        <v>40</v>
      </c>
      <c r="F5" s="12" t="s">
        <v>73</v>
      </c>
      <c r="G5" s="42">
        <v>2.5</v>
      </c>
      <c r="H5" s="12" t="s">
        <v>20</v>
      </c>
      <c r="I5" s="14" t="s">
        <v>126</v>
      </c>
    </row>
    <row r="6" spans="2:11" ht="51">
      <c r="B6" s="11" t="s">
        <v>72</v>
      </c>
      <c r="C6" s="12" t="s">
        <v>14</v>
      </c>
      <c r="D6" s="46" t="s">
        <v>135</v>
      </c>
      <c r="E6" s="13" t="s">
        <v>40</v>
      </c>
      <c r="F6" s="12" t="s">
        <v>73</v>
      </c>
      <c r="G6" s="42">
        <v>1</v>
      </c>
      <c r="H6" s="12" t="s">
        <v>132</v>
      </c>
      <c r="I6" s="14" t="s">
        <v>136</v>
      </c>
    </row>
    <row r="7" spans="2:11" ht="51">
      <c r="B7" s="11" t="s">
        <v>72</v>
      </c>
      <c r="C7" s="12" t="s">
        <v>14</v>
      </c>
      <c r="D7" s="46" t="s">
        <v>129</v>
      </c>
      <c r="E7" s="13" t="s">
        <v>40</v>
      </c>
      <c r="F7" s="12" t="s">
        <v>73</v>
      </c>
      <c r="G7" s="42">
        <v>1.5</v>
      </c>
      <c r="H7" s="12" t="s">
        <v>20</v>
      </c>
      <c r="I7" s="14" t="s">
        <v>133</v>
      </c>
    </row>
    <row r="8" spans="2:11" ht="51">
      <c r="B8" s="11" t="s">
        <v>72</v>
      </c>
      <c r="C8" s="12" t="s">
        <v>14</v>
      </c>
      <c r="D8" s="46" t="s">
        <v>123</v>
      </c>
      <c r="E8" s="13" t="s">
        <v>40</v>
      </c>
      <c r="F8" s="12" t="s">
        <v>73</v>
      </c>
      <c r="G8" s="42">
        <v>7.2</v>
      </c>
      <c r="H8" s="12" t="s">
        <v>20</v>
      </c>
      <c r="I8" s="47" t="s">
        <v>131</v>
      </c>
    </row>
    <row r="9" spans="2:11" ht="51">
      <c r="B9" s="11" t="s">
        <v>72</v>
      </c>
      <c r="C9" s="12" t="s">
        <v>122</v>
      </c>
      <c r="D9" s="46" t="s">
        <v>125</v>
      </c>
      <c r="E9" s="13" t="s">
        <v>40</v>
      </c>
      <c r="F9" s="12" t="s">
        <v>73</v>
      </c>
      <c r="G9" s="42">
        <v>1</v>
      </c>
      <c r="H9" s="12" t="s">
        <v>20</v>
      </c>
      <c r="I9" s="14" t="s">
        <v>127</v>
      </c>
    </row>
    <row r="10" spans="2:11" ht="51">
      <c r="B10" s="11" t="s">
        <v>72</v>
      </c>
      <c r="C10" s="12" t="s">
        <v>14</v>
      </c>
      <c r="D10" s="46" t="s">
        <v>128</v>
      </c>
      <c r="E10" s="13" t="s">
        <v>40</v>
      </c>
      <c r="F10" s="12" t="s">
        <v>73</v>
      </c>
      <c r="G10" s="42">
        <v>7.3</v>
      </c>
      <c r="H10" s="12" t="s">
        <v>20</v>
      </c>
      <c r="I10" s="14" t="s">
        <v>130</v>
      </c>
    </row>
    <row r="11" spans="2:11" ht="52" customHeight="1">
      <c r="B11" s="11" t="s">
        <v>72</v>
      </c>
      <c r="C11" s="12" t="s">
        <v>14</v>
      </c>
      <c r="D11" s="13"/>
      <c r="E11" s="13" t="s">
        <v>40</v>
      </c>
      <c r="F11" s="12" t="s">
        <v>73</v>
      </c>
      <c r="G11" s="42">
        <v>2</v>
      </c>
      <c r="H11" s="12" t="s">
        <v>34</v>
      </c>
      <c r="I11" s="14" t="s">
        <v>77</v>
      </c>
    </row>
    <row r="12" spans="2:11" ht="85">
      <c r="B12" s="11" t="s">
        <v>72</v>
      </c>
      <c r="C12" s="12" t="s">
        <v>18</v>
      </c>
      <c r="D12" s="46"/>
      <c r="E12" s="13" t="s">
        <v>40</v>
      </c>
      <c r="F12" s="12" t="s">
        <v>75</v>
      </c>
      <c r="G12" s="42">
        <v>1</v>
      </c>
      <c r="H12" s="12" t="s">
        <v>76</v>
      </c>
      <c r="I12" s="14" t="s">
        <v>78</v>
      </c>
    </row>
    <row r="13" spans="2:11" ht="17">
      <c r="B13" s="15"/>
      <c r="C13" s="16"/>
      <c r="D13" s="17"/>
      <c r="E13" s="17"/>
      <c r="F13" s="18" t="s">
        <v>67</v>
      </c>
      <c r="G13" s="43">
        <f>SUM(G4:G12)</f>
        <v>45.4</v>
      </c>
      <c r="H13" s="19"/>
      <c r="I13" s="20"/>
    </row>
    <row r="14" spans="2:11" ht="35" thickBot="1">
      <c r="B14" s="21"/>
      <c r="C14" s="22"/>
      <c r="D14" s="23"/>
      <c r="E14" s="23"/>
      <c r="F14" s="24" t="s">
        <v>68</v>
      </c>
      <c r="G14" s="44">
        <v>5</v>
      </c>
      <c r="H14" s="25"/>
      <c r="I14" s="26"/>
    </row>
    <row r="15" spans="2:11" ht="17" thickTop="1"/>
    <row r="16" spans="2:11">
      <c r="F16" s="7"/>
      <c r="G16" s="7"/>
    </row>
    <row r="18" spans="6:7">
      <c r="F18" s="33"/>
      <c r="G18" s="34"/>
    </row>
    <row r="19" spans="6:7">
      <c r="F19" s="33"/>
      <c r="G19" s="34"/>
    </row>
    <row r="20" spans="6:7">
      <c r="F20" s="33"/>
      <c r="G20" s="34"/>
    </row>
    <row r="21" spans="6:7">
      <c r="F21" s="33"/>
      <c r="G21" s="34"/>
    </row>
    <row r="22" spans="6:7">
      <c r="F22" s="33"/>
      <c r="G22" s="34"/>
    </row>
    <row r="23" spans="6:7">
      <c r="F23" s="33"/>
      <c r="G23" s="34"/>
    </row>
    <row r="24" spans="6:7">
      <c r="F24" s="33"/>
      <c r="G24" s="34"/>
    </row>
    <row r="25" spans="6:7">
      <c r="F25" s="33"/>
      <c r="G25" s="34"/>
    </row>
    <row r="26" spans="6:7">
      <c r="F26" s="33"/>
      <c r="G26" s="34"/>
    </row>
    <row r="27" spans="6:7">
      <c r="F27" s="33"/>
      <c r="G27" s="34"/>
    </row>
    <row r="28" spans="6:7">
      <c r="F28" s="33"/>
      <c r="G28" s="34"/>
    </row>
    <row r="29" spans="6:7">
      <c r="F29" s="32"/>
      <c r="G29" s="45"/>
    </row>
  </sheetData>
  <phoneticPr fontId="3"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C4:C14</xm:sqref>
        </x14:dataValidation>
        <x14:dataValidation type="list" allowBlank="1" showInputMessage="1" showErrorMessage="1" xr:uid="{00000000-0002-0000-0000-000003000000}">
          <x14:formula1>
            <xm:f>数据标签!$B$11:$D$11</xm:f>
          </x14:formula1>
          <xm:sqref>E4:E14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42">
      <c r="A12" s="1" t="s">
        <v>42</v>
      </c>
      <c r="B12" s="3" t="s">
        <v>43</v>
      </c>
    </row>
    <row r="13" spans="1:8" ht="42">
      <c r="B13" s="3" t="s">
        <v>55</v>
      </c>
      <c r="C13" s="4" t="s">
        <v>56</v>
      </c>
      <c r="D13" s="4" t="s">
        <v>56</v>
      </c>
    </row>
    <row r="14" spans="1:8" ht="28">
      <c r="B14" s="3" t="s">
        <v>44</v>
      </c>
      <c r="C14" s="4" t="s">
        <v>56</v>
      </c>
      <c r="D14" s="4" t="s">
        <v>56</v>
      </c>
    </row>
    <row r="15" spans="1:8" ht="56">
      <c r="B15" s="3" t="s">
        <v>45</v>
      </c>
      <c r="C15" s="4" t="s">
        <v>56</v>
      </c>
      <c r="D15" s="4" t="s">
        <v>56</v>
      </c>
    </row>
    <row r="16" spans="1:8" ht="56">
      <c r="B16" s="3" t="s">
        <v>46</v>
      </c>
      <c r="C16" s="4" t="s">
        <v>56</v>
      </c>
      <c r="D16" s="4" t="s">
        <v>56</v>
      </c>
    </row>
    <row r="17" spans="2:4" ht="42">
      <c r="B17" s="3" t="s">
        <v>47</v>
      </c>
      <c r="C17" s="4" t="s">
        <v>56</v>
      </c>
      <c r="D17" s="4" t="s">
        <v>56</v>
      </c>
    </row>
    <row r="18" spans="2:4" ht="56">
      <c r="B18" s="3" t="s">
        <v>48</v>
      </c>
      <c r="C18" s="4" t="s">
        <v>56</v>
      </c>
      <c r="D18" s="4" t="s">
        <v>56</v>
      </c>
    </row>
    <row r="19" spans="2:4" ht="56">
      <c r="B19" s="3" t="s">
        <v>49</v>
      </c>
      <c r="C19" s="4" t="s">
        <v>56</v>
      </c>
      <c r="D19" s="4" t="s">
        <v>56</v>
      </c>
    </row>
    <row r="20" spans="2:4" ht="42">
      <c r="B20" s="3" t="s">
        <v>63</v>
      </c>
      <c r="C20" s="4" t="s">
        <v>56</v>
      </c>
      <c r="D20" s="4" t="s">
        <v>56</v>
      </c>
    </row>
    <row r="21" spans="2:4" ht="42">
      <c r="B21" s="3" t="s">
        <v>50</v>
      </c>
      <c r="C21" s="4" t="s">
        <v>56</v>
      </c>
      <c r="D21" s="4" t="s">
        <v>56</v>
      </c>
    </row>
    <row r="22" spans="2:4" ht="42">
      <c r="B22" s="3" t="s">
        <v>64</v>
      </c>
      <c r="C22" s="4" t="s">
        <v>56</v>
      </c>
      <c r="D22" s="4" t="s">
        <v>56</v>
      </c>
    </row>
    <row r="23" spans="2:4" ht="42">
      <c r="B23" s="3" t="s">
        <v>65</v>
      </c>
      <c r="C23" s="4"/>
      <c r="D23" s="4"/>
    </row>
    <row r="24" spans="2:4" ht="84">
      <c r="B24" s="3" t="s">
        <v>54</v>
      </c>
      <c r="C24" s="4" t="s">
        <v>56</v>
      </c>
      <c r="D24" s="4" t="s">
        <v>56</v>
      </c>
    </row>
    <row r="25" spans="2:4" ht="42">
      <c r="B25" s="3" t="s">
        <v>51</v>
      </c>
      <c r="C25" s="4" t="s">
        <v>56</v>
      </c>
      <c r="D25" s="4" t="s">
        <v>56</v>
      </c>
    </row>
    <row r="26" spans="2:4" ht="42">
      <c r="B26" s="3" t="s">
        <v>52</v>
      </c>
      <c r="C26" s="4" t="s">
        <v>56</v>
      </c>
      <c r="D26" s="4" t="s">
        <v>56</v>
      </c>
    </row>
    <row r="27" spans="2:4" ht="28">
      <c r="B27" s="3" t="s">
        <v>53</v>
      </c>
      <c r="C27" s="4" t="s">
        <v>56</v>
      </c>
      <c r="D27" s="4" t="s">
        <v>56</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1D49-983C-6849-A086-66C60F652F2E}">
  <dimension ref="A1:M17"/>
  <sheetViews>
    <sheetView workbookViewId="0">
      <selection activeCell="C13" sqref="C13"/>
    </sheetView>
  </sheetViews>
  <sheetFormatPr baseColWidth="10" defaultRowHeight="15"/>
  <cols>
    <col min="1" max="1" width="20" customWidth="1"/>
    <col min="2" max="2" width="26.83203125" customWidth="1"/>
    <col min="3" max="3" width="17.1640625" customWidth="1"/>
    <col min="4" max="4" width="17.83203125" customWidth="1"/>
    <col min="5" max="6" width="16.1640625" customWidth="1"/>
  </cols>
  <sheetData>
    <row r="1" spans="1:13">
      <c r="A1" s="28" t="s">
        <v>79</v>
      </c>
    </row>
    <row r="2" spans="1:13">
      <c r="A2" s="28" t="s">
        <v>80</v>
      </c>
      <c r="B2" s="28" t="s">
        <v>81</v>
      </c>
      <c r="C2">
        <v>630</v>
      </c>
      <c r="D2" s="28" t="s">
        <v>82</v>
      </c>
      <c r="E2" s="28" t="s">
        <v>83</v>
      </c>
      <c r="F2" s="28" t="s">
        <v>84</v>
      </c>
      <c r="G2" s="28" t="s">
        <v>85</v>
      </c>
      <c r="K2" s="28" t="s">
        <v>86</v>
      </c>
      <c r="L2" s="28" t="s">
        <v>87</v>
      </c>
    </row>
    <row r="4" spans="1:13">
      <c r="A4" s="31" t="s">
        <v>88</v>
      </c>
    </row>
    <row r="5" spans="1:13">
      <c r="A5" s="30" t="s">
        <v>89</v>
      </c>
      <c r="B5" s="30" t="s">
        <v>90</v>
      </c>
      <c r="C5" s="30" t="s">
        <v>91</v>
      </c>
      <c r="D5" s="30" t="s">
        <v>92</v>
      </c>
      <c r="E5" s="30" t="s">
        <v>93</v>
      </c>
      <c r="F5" s="30" t="s">
        <v>120</v>
      </c>
    </row>
    <row r="6" spans="1:13">
      <c r="A6" s="29" t="s">
        <v>94</v>
      </c>
      <c r="B6" s="28" t="s">
        <v>95</v>
      </c>
      <c r="C6" s="28" t="s">
        <v>96</v>
      </c>
      <c r="D6" s="28" t="s">
        <v>97</v>
      </c>
      <c r="E6" s="28" t="s">
        <v>98</v>
      </c>
      <c r="F6" s="28" t="s">
        <v>99</v>
      </c>
      <c r="G6" s="28" t="s">
        <v>100</v>
      </c>
      <c r="M6" s="28" t="s">
        <v>101</v>
      </c>
    </row>
    <row r="7" spans="1:13">
      <c r="A7" s="29"/>
      <c r="B7" s="28"/>
      <c r="C7" s="28"/>
      <c r="D7" s="28"/>
      <c r="E7" s="28"/>
      <c r="F7" s="28"/>
      <c r="G7" s="28"/>
      <c r="M7" s="28"/>
    </row>
    <row r="8" spans="1:13">
      <c r="A8" s="31" t="s">
        <v>121</v>
      </c>
    </row>
    <row r="9" spans="1:13">
      <c r="A9" s="28" t="s">
        <v>102</v>
      </c>
      <c r="B9" s="28" t="s">
        <v>104</v>
      </c>
      <c r="C9" s="28" t="s">
        <v>105</v>
      </c>
      <c r="D9" s="28" t="s">
        <v>106</v>
      </c>
    </row>
    <row r="10" spans="1:13">
      <c r="A10" s="28" t="s">
        <v>103</v>
      </c>
      <c r="B10" s="28" t="s">
        <v>104</v>
      </c>
      <c r="C10" s="28" t="s">
        <v>105</v>
      </c>
      <c r="D10" s="28" t="s">
        <v>107</v>
      </c>
    </row>
    <row r="11" spans="1:13">
      <c r="A11" s="28" t="s">
        <v>108</v>
      </c>
      <c r="B11" s="28" t="s">
        <v>110</v>
      </c>
      <c r="D11" s="28" t="s">
        <v>109</v>
      </c>
    </row>
    <row r="13" spans="1:13">
      <c r="A13" s="28" t="s">
        <v>111</v>
      </c>
    </row>
    <row r="14" spans="1:13">
      <c r="A14" s="28" t="s">
        <v>112</v>
      </c>
    </row>
    <row r="16" spans="1:13">
      <c r="A16" s="28" t="s">
        <v>115</v>
      </c>
      <c r="B16" s="29" t="s">
        <v>113</v>
      </c>
      <c r="C16" s="28" t="s">
        <v>114</v>
      </c>
      <c r="E16" s="28" t="s">
        <v>117</v>
      </c>
      <c r="F16" s="28" t="s">
        <v>118</v>
      </c>
    </row>
    <row r="17" spans="2:3">
      <c r="B17" s="28" t="s">
        <v>119</v>
      </c>
      <c r="C17" s="28" t="s">
        <v>116</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命名范围</vt:lpstr>
      </vt:variant>
      <vt:variant>
        <vt:i4>4</vt:i4>
      </vt:variant>
    </vt:vector>
  </HeadingPairs>
  <TitlesOfParts>
    <vt:vector size="7" baseType="lpstr">
      <vt:lpstr>个人工时记录表</vt:lpstr>
      <vt:lpstr>数据标签</vt:lpstr>
      <vt:lpstr>Sheet1</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2025-10-09T05:12:34Z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