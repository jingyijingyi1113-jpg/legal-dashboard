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6F71927C-E357-8B48-A4F2-F30B19EF2210}" xr6:coauthVersionLast="47" xr6:coauthVersionMax="47" xr10:uidLastSave="{00000000-0000-0000-0000-000000000000}"/>
  <bookViews>
    <workbookView xWindow="7600" yWindow="760" windowWidth="21260" windowHeight="1634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<sst xmlns="http://schemas.openxmlformats.org/spreadsheetml/2006/main" count="193" uniqueCount="129">
  <si>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</si>
  <si>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</si>
  <si>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</si>
  <si>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</si>
  <si>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</si>
  <si>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</si>
  <si>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</si>
  <si>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</si>
  <si>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</si>
  <si>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</si>
  <si>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</si>
  <si>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</si>
  <si>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</si>
  <si>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</si>
  <si>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</si>
  <si>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</si>
  <si>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</si>
  <si>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</si>
  <si>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</si>
  <si>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</si>
  <si>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</si>
  <si>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</si>
  <si>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</si>
  <si>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</si>
  <si>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</si>
  <si>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</si>
  <si>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</si>
  <si>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</si>
  <si>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</si>
  <si>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</si>
  <si>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</si>
  <si>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</si>
  <si>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</si>
  <si>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</si>
  <si>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</si>
  <si>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</si>
  <si>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</si>
  <si>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</si>
  <si>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</si>
  <si>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</si>
  <si>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</si>
  <si>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</si>
  <si>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</si>
  <si>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</si>
  <si>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</si>
  <si>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</si>
  <si>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</si>
  <si>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</si>
  <si>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</si>
  <si>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</si>
  <si>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</si>
  <si>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</si>
  <si>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</si>
  <si>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</si>
  <si>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</si>
  <si>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</si>
  <si>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</si>
  <si>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</si>
  <si>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</si>
  <si>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</si>
  <si>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</si>
  <si>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</si>
  <si>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</si>
  <si>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</si>
  <si>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</si>
  <si>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</si>
  <si>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</si>
  <si>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</si>
  <si>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</si>
  <si>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</si>
  <si>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</si>
  <si>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</si>
  <si>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</si>
  <si>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</si>
  <si>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</si>
  <si>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</si>
  <si>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</si>
  <si>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小时单&amp;deals update。</t>
    <phoneticPr fontId="3" type="noConversion"/>
  </si>
  <si>
    <t>Notion</t>
    <phoneticPr fontId="10" type="noConversion"/>
  </si>
  <si>
    <t xml:space="preserve">Invontic </t>
    <phoneticPr fontId="10" type="noConversion"/>
  </si>
  <si>
    <t xml:space="preserve">欢欢 </t>
    <phoneticPr fontId="10" type="noConversion"/>
  </si>
  <si>
    <t>Oversubscribe</t>
    <phoneticPr fontId="10" type="noConversion"/>
  </si>
  <si>
    <t>Flora去要时间</t>
    <phoneticPr fontId="10" type="noConversion"/>
  </si>
  <si>
    <t>欧洲基金投回美国</t>
    <phoneticPr fontId="10" type="noConversion"/>
  </si>
  <si>
    <t>按照现有材料看下风险， 不找Gp要资料了</t>
    <phoneticPr fontId="10" type="noConversion"/>
  </si>
  <si>
    <t>2周左右</t>
    <phoneticPr fontId="10" type="noConversion"/>
  </si>
  <si>
    <t>5mn</t>
    <phoneticPr fontId="10" type="noConversion"/>
  </si>
  <si>
    <t>IC deal</t>
    <phoneticPr fontId="10" type="noConversion"/>
  </si>
  <si>
    <t>博裕资本的人民币</t>
    <phoneticPr fontId="10" type="noConversion"/>
  </si>
  <si>
    <t>5亿人民</t>
    <phoneticPr fontId="10" type="noConversion"/>
  </si>
  <si>
    <t>小小江找了Martin</t>
    <phoneticPr fontId="10" type="noConversion"/>
  </si>
  <si>
    <t>7月初尽调</t>
    <phoneticPr fontId="10" type="noConversion"/>
  </si>
  <si>
    <t>830 DDL</t>
    <phoneticPr fontId="10" type="noConversion"/>
  </si>
  <si>
    <t>Credit fund.</t>
    <phoneticPr fontId="10" type="noConversion"/>
  </si>
  <si>
    <t>Hybrid</t>
    <phoneticPr fontId="10" type="noConversion"/>
  </si>
  <si>
    <t>香港基金</t>
    <phoneticPr fontId="10" type="noConversion"/>
  </si>
  <si>
    <t>1bn-腾讯2亿</t>
    <phoneticPr fontId="10" type="noConversion"/>
  </si>
  <si>
    <t>不会投资美国项目</t>
    <phoneticPr fontId="10" type="noConversion"/>
  </si>
  <si>
    <t xml:space="preserve">APAC </t>
    <phoneticPr fontId="10" type="noConversion"/>
  </si>
  <si>
    <t>Cat 可以先 Pre deal assessment 先搞。基金juridiction，投资区域啥的</t>
    <phoneticPr fontId="10" type="noConversion"/>
  </si>
  <si>
    <t>9月的时间表</t>
    <phoneticPr fontId="10" type="noConversion"/>
  </si>
  <si>
    <t>Vender CO</t>
    <phoneticPr fontId="10" type="noConversion"/>
  </si>
  <si>
    <t>Drangonner</t>
    <phoneticPr fontId="10" type="noConversion"/>
  </si>
  <si>
    <t>已投re-up</t>
    <phoneticPr fontId="10" type="noConversion"/>
  </si>
  <si>
    <t>流程快 金额不大变</t>
    <phoneticPr fontId="10" type="noConversion"/>
  </si>
  <si>
    <t>时间：930</t>
    <phoneticPr fontId="10" type="noConversion"/>
  </si>
  <si>
    <t>时间：815</t>
    <phoneticPr fontId="10" type="noConversion"/>
  </si>
  <si>
    <t>Bessmmer</t>
    <phoneticPr fontId="10" type="noConversion"/>
  </si>
  <si>
    <t xml:space="preserve">时间：915-930 </t>
    <phoneticPr fontId="10" type="noConversion"/>
  </si>
  <si>
    <t>这个基金会提前他们的时间表</t>
    <phoneticPr fontId="10" type="noConversion"/>
  </si>
  <si>
    <t>还有一些是12月中的国内基金 BAI之类的</t>
    <phoneticPr fontId="10" type="noConversion"/>
  </si>
  <si>
    <t>LS要在基金层面有些控制的操作。</t>
    <phoneticPr fontId="10" type="noConversion"/>
  </si>
  <si>
    <t>Activest fund</t>
    <phoneticPr fontId="10" type="noConversion"/>
  </si>
  <si>
    <t>buyout上市公司之后再带着公司去二次上市</t>
    <phoneticPr fontId="10" type="noConversion"/>
  </si>
  <si>
    <t>Martin 推荐项目</t>
    <phoneticPr fontId="10" type="noConversion"/>
  </si>
  <si>
    <t>Long position</t>
    <phoneticPr fontId="10" type="noConversion"/>
  </si>
  <si>
    <t xml:space="preserve"> 待定项目</t>
    <phoneticPr fontId="10" type="noConversion"/>
  </si>
  <si>
    <t>如果投资的话就是大项目</t>
    <phoneticPr fontId="10" type="noConversion"/>
  </si>
  <si>
    <t>与Lingoto不同</t>
    <phoneticPr fontId="10" type="noConversion"/>
  </si>
  <si>
    <t>占比【】？</t>
    <phoneticPr fontId="10" type="noConversion"/>
  </si>
  <si>
    <t>Non-IC deal</t>
    <phoneticPr fontId="10" type="noConversion"/>
  </si>
  <si>
    <t>Investment Related - M&amp;A Deal</t>
    <phoneticPr fontId="3" type="noConversion"/>
  </si>
  <si>
    <t>春雨医生</t>
    <phoneticPr fontId="3" type="noConversion"/>
  </si>
  <si>
    <t>华云中盛</t>
    <phoneticPr fontId="3" type="noConversion"/>
  </si>
  <si>
    <t>Merger filing数据收集+SHAs文件修改，RoPs再修订 + 律师费。RoP审阅和反馈律师。Swertzerland AG. Loan agrt延期。</t>
    <phoneticPr fontId="3" type="noConversion"/>
  </si>
  <si>
    <t>杏泽四期</t>
    <phoneticPr fontId="3" type="noConversion"/>
  </si>
  <si>
    <t>投后：增资。</t>
    <phoneticPr fontId="3" type="noConversion"/>
  </si>
  <si>
    <t>投后管理：回购函邮件发出。</t>
    <phoneticPr fontId="3" type="noConversion"/>
  </si>
  <si>
    <t xml:space="preserve">春雨提供的SPA初稿审阅。认购协议初稿审阅。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</si>
</sst>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9">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2"/>
      <color theme="1"/>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FF0000"/>
      <name val="等线"/>
      <family val="4"/>
      <charset val="134"/>
      <scheme val="minor"/>
    </font>
    <font>
      <sz val="12"/>
      <color theme="4" tint="-0.499984740745262"/>
      <name val="等线"/>
      <family val="4"/>
      <charset val="134"/>
      <scheme val="minor"/>
    </font>
    <font>
      <i/>
      <sz val="12"/>
      <color theme="4" tint="-0.499984740745262"/>
      <name val="等线"/>
      <family val="2"/>
      <scheme val="minor"/>
    </font>
    <font>
      <sz val="12"/>
      <color rgb="FF000000"/>
      <name val="PingFang SC"/>
      <family val="2"/>
      <charset val="134"/>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4" fillId="0" borderId="0" applyFont="0" applyFill="0" applyBorder="0" applyAlignment="0" applyProtection="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6" fillId="2" borderId="8" xfId="0" applyFont="1" applyFill="1" applyBorder="1" applyAlignment="1">
      <alignment vertical="center" wrapText="1"/>
    </xf>
    <xf numFmtId="0" fontId="7" fillId="0" borderId="3" xfId="0" applyFont="1" applyBorder="1">
      <alignment vertical="center"/>
    </xf>
    <xf numFmtId="0" fontId="7" fillId="0" borderId="4" xfId="0" applyFont="1" applyBorder="1" applyAlignment="1">
      <alignment vertical="center" wrapText="1"/>
    </xf>
    <xf numFmtId="0" fontId="7" fillId="0" borderId="4" xfId="0" applyFont="1" applyBorder="1">
      <alignment vertical="center"/>
    </xf>
    <xf numFmtId="0" fontId="7" fillId="0" borderId="8" xfId="0" applyFont="1" applyBorder="1" applyAlignment="1">
      <alignment vertical="center" wrapText="1"/>
    </xf>
    <xf numFmtId="0" fontId="7" fillId="0" borderId="9" xfId="0" applyFont="1" applyBorder="1">
      <alignment vertical="center"/>
    </xf>
    <xf numFmtId="0" fontId="7" fillId="0" borderId="10" xfId="0" applyFont="1" applyBorder="1" applyAlignment="1">
      <alignment vertical="center" wrapText="1"/>
    </xf>
    <xf numFmtId="0" fontId="7" fillId="0" borderId="10" xfId="0" applyFont="1" applyBorder="1">
      <alignment vertical="center"/>
    </xf>
    <xf numFmtId="0" fontId="7" fillId="0" borderId="16" xfId="0" applyFont="1" applyBorder="1" applyAlignment="1">
      <alignment horizontal="right" vertical="center" wrapText="1"/>
    </xf>
    <xf numFmtId="0" fontId="7" fillId="0" borderId="18" xfId="0" applyFont="1" applyBorder="1" applyAlignment="1">
      <alignment horizontal="left" vertical="center"/>
    </xf>
    <xf numFmtId="0" fontId="7" fillId="0" borderId="11" xfId="0" applyFont="1" applyBorder="1" applyAlignment="1">
      <alignment horizontal="left" vertical="center"/>
    </xf>
    <xf numFmtId="0" fontId="7" fillId="0" borderId="5" xfId="0" applyFont="1" applyBorder="1">
      <alignment vertical="center"/>
    </xf>
    <xf numFmtId="0" fontId="7" fillId="0" borderId="6" xfId="0" applyFont="1" applyBorder="1" applyAlignment="1">
      <alignment vertical="center" wrapText="1"/>
    </xf>
    <xf numFmtId="0" fontId="7" fillId="0" borderId="6" xfId="0" applyFont="1" applyBorder="1">
      <alignment vertical="center"/>
    </xf>
    <xf numFmtId="0" fontId="7" fillId="0" borderId="12" xfId="0" applyFont="1" applyBorder="1" applyAlignment="1">
      <alignment horizontal="right" vertical="center" wrapText="1"/>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5" fillId="0" borderId="0" xfId="0" applyFont="1" applyAlignment="1">
      <alignment vertical="center" wrapText="1"/>
    </xf>
    <xf numFmtId="0" fontId="9" fillId="0" borderId="0" xfId="0" applyFont="1">
      <alignment vertical="center"/>
    </xf>
    <xf numFmtId="0" fontId="11" fillId="0" borderId="0" xfId="0" applyFont="1">
      <alignment vertical="center"/>
    </xf>
    <xf numFmtId="0" fontId="12" fillId="0" borderId="0" xfId="0" applyFont="1">
      <alignment vertical="center"/>
    </xf>
    <xf numFmtId="0" fontId="13" fillId="3" borderId="0" xfId="0" applyFont="1" applyFill="1">
      <alignment vertical="center"/>
    </xf>
    <xf numFmtId="176" fontId="8" fillId="0" borderId="0" xfId="1" applyNumberFormat="1" applyFont="1" applyAlignment="1">
      <alignment horizontal="center" vertical="center" wrapText="1"/>
    </xf>
    <xf numFmtId="0" fontId="5" fillId="0" borderId="0" xfId="0" applyFont="1" applyAlignment="1">
      <alignment vertical="top"/>
    </xf>
    <xf numFmtId="176" fontId="8" fillId="0" borderId="0" xfId="1" applyNumberFormat="1" applyFont="1" applyAlignment="1">
      <alignment horizontal="center" vertical="top"/>
    </xf>
    <xf numFmtId="0" fontId="5" fillId="0" borderId="0" xfId="0" applyFont="1" applyAlignment="1">
      <alignment horizontal="left" vertical="top"/>
    </xf>
    <xf numFmtId="176" fontId="8" fillId="0" borderId="0" xfId="1" applyNumberFormat="1" applyFont="1" applyAlignment="1">
      <alignment horizontal="left" vertical="top"/>
    </xf>
    <xf numFmtId="176" fontId="5" fillId="0" borderId="0" xfId="1" applyNumberFormat="1" applyFont="1" applyAlignment="1">
      <alignment horizontal="left" vertical="top"/>
    </xf>
    <xf numFmtId="0" fontId="15" fillId="0" borderId="0" xfId="0" applyFont="1">
      <alignment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6" fontId="16" fillId="0" borderId="2" xfId="1" applyNumberFormat="1" applyFont="1" applyBorder="1" applyAlignment="1">
      <alignment horizontal="center" vertical="center" wrapText="1"/>
    </xf>
    <xf numFmtId="0" fontId="17" fillId="0" borderId="7" xfId="0" applyFont="1" applyBorder="1" applyAlignment="1">
      <alignment horizontal="center" vertical="center" wrapText="1"/>
    </xf>
    <xf numFmtId="176" fontId="16" fillId="2" borderId="4" xfId="1" applyNumberFormat="1" applyFont="1" applyFill="1" applyBorder="1" applyAlignment="1">
      <alignment horizontal="center" vertical="center" wrapText="1"/>
    </xf>
    <xf numFmtId="176" fontId="5" fillId="0" borderId="4" xfId="1" applyNumberFormat="1" applyFont="1" applyBorder="1" applyAlignment="1">
      <alignment horizontal="center" vertical="center"/>
    </xf>
    <xf numFmtId="176" fontId="5" fillId="0" borderId="17" xfId="1" applyNumberFormat="1" applyFont="1" applyBorder="1" applyAlignment="1">
      <alignment horizontal="center" vertical="center"/>
    </xf>
    <xf numFmtId="176" fontId="5" fillId="0" borderId="13" xfId="1" applyNumberFormat="1" applyFont="1" applyBorder="1" applyAlignment="1">
      <alignment horizontal="center" vertical="center"/>
    </xf>
    <xf numFmtId="0" fontId="5" fillId="0" borderId="4" xfId="0" applyFont="1" applyBorder="1">
      <alignment vertical="center"/>
    </xf>
    <xf numFmtId="0" fontId="18"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5"/>
  <sheetViews>
    <sheetView tabSelected="1" zoomScale="90" zoomScaleNormal="90" workbookViewId="0">
      <pane ySplit="3" topLeftCell="A4" activePane="bottomLeft" state="frozen"/>
      <selection pane="bottomLeft" activeCell="F15" sqref="F15"/>
    </sheetView>
  </sheetViews>
  <sheetFormatPr baseColWidth="10" defaultColWidth="9" defaultRowHeight="16"/>
  <cols>
    <col min="1" max="1" width="7.1640625" style="7" customWidth="1"/>
    <col min="2" max="2" width="9" style="7"/>
    <col min="3" max="3" width="16.1640625" style="27" customWidth="1"/>
    <col min="4" max="4" width="19.5" style="7" customWidth="1"/>
    <col min="5" max="5" width="10.6640625" style="7" customWidth="1"/>
    <col min="6" max="6" width="21.6640625" style="27" customWidth="1"/>
    <col min="7" max="7" width="12" style="32" customWidth="1"/>
    <col min="8" max="8" width="18.1640625" style="27" customWidth="1"/>
    <col min="9" max="9" width="33.33203125" style="27" customWidth="1"/>
    <col min="10" max="10" width="7.1640625" style="7" customWidth="1"/>
    <col min="11" max="16384" width="9" style="7"/>
  </cols>
  <sheetData>
    <row r="1" spans="2:11" ht="41" customHeight="1" thickBot="1"/>
    <row r="2" spans="2:11" ht="35" thickTop="1">
      <c r="B2" s="39" t="s">
        <v>0</v>
      </c>
      <c r="C2" s="40" t="s">
        <v>70</v>
      </c>
      <c r="D2" s="40" t="s">
        <v>1</v>
      </c>
      <c r="E2" s="40" t="s">
        <v>2</v>
      </c>
      <c r="F2" s="40" t="s">
        <v>3</v>
      </c>
      <c r="G2" s="41" t="s">
        <v>4</v>
      </c>
      <c r="H2" s="40" t="s">
        <v>5</v>
      </c>
      <c r="I2" s="42" t="s">
        <v>6</v>
      </c>
    </row>
    <row r="3" spans="2:11" ht="46" customHeight="1">
      <c r="B3" s="8" t="s">
        <v>7</v>
      </c>
      <c r="C3" s="9" t="s">
        <v>8</v>
      </c>
      <c r="D3" s="9" t="s">
        <v>9</v>
      </c>
      <c r="E3" s="9" t="s">
        <v>59</v>
      </c>
      <c r="F3" s="9" t="s">
        <v>57</v>
      </c>
      <c r="G3" s="43" t="s">
        <v>10</v>
      </c>
      <c r="H3" s="9" t="s">
        <v>11</v>
      </c>
      <c r="I3" s="10" t="s">
        <v>12</v>
      </c>
    </row>
    <row r="4" spans="2:11" ht="68">
      <c r="B4" s="11" t="s">
        <v>72</v>
      </c>
      <c r="C4" s="12" t="s">
        <v>14</v>
      </c>
      <c r="D4" s="47" t="s">
        <v>74</v>
      </c>
      <c r="E4" s="13" t="s">
        <v>40</v>
      </c>
      <c r="F4" s="12" t="s">
        <v>73</v>
      </c>
      <c r="G4" s="44">
        <v>2.5</v>
      </c>
      <c r="H4" s="12" t="s">
        <v>20</v>
      </c>
      <c r="I4" s="14" t="s">
        <v>124</v>
      </c>
      <c r="K4" s="38"/>
    </row>
    <row r="5" spans="2:11" ht="51">
      <c r="B5" s="11" t="s">
        <v>72</v>
      </c>
      <c r="C5" s="12" t="s">
        <v>14</v>
      </c>
      <c r="D5" s="48" t="s">
        <v>125</v>
      </c>
      <c r="E5" s="13" t="s">
        <v>40</v>
      </c>
      <c r="F5" s="12" t="s">
        <v>73</v>
      </c>
      <c r="G5" s="44">
        <v>1.5</v>
      </c>
      <c r="H5" s="12" t="s">
        <v>20</v>
      </c>
      <c r="I5" s="14" t="s">
        <v>126</v>
      </c>
    </row>
    <row r="6" spans="2:11" ht="51">
      <c r="B6" s="11" t="s">
        <v>72</v>
      </c>
      <c r="C6" s="12" t="s">
        <v>14</v>
      </c>
      <c r="D6" s="47" t="s">
        <v>122</v>
      </c>
      <c r="E6" s="13" t="s">
        <v>40</v>
      </c>
      <c r="F6" s="12" t="s">
        <v>73</v>
      </c>
      <c r="G6" s="44">
        <v>5</v>
      </c>
      <c r="H6" s="12" t="s">
        <v>20</v>
      </c>
      <c r="I6" s="14" t="s">
        <v>128</v>
      </c>
    </row>
    <row r="7" spans="2:11" ht="51">
      <c r="B7" s="11" t="s">
        <v>72</v>
      </c>
      <c r="C7" s="12" t="s">
        <v>121</v>
      </c>
      <c r="D7" s="47" t="s">
        <v>123</v>
      </c>
      <c r="E7" s="13" t="s">
        <v>40</v>
      </c>
      <c r="F7" s="12" t="s">
        <v>73</v>
      </c>
      <c r="G7" s="44">
        <v>2.7</v>
      </c>
      <c r="H7" s="12" t="s">
        <v>20</v>
      </c>
      <c r="I7" s="14" t="s">
        <v>127</v>
      </c>
    </row>
    <row r="8" spans="2:11" ht="85">
      <c r="B8" s="11" t="s">
        <v>72</v>
      </c>
      <c r="C8" s="12" t="s">
        <v>18</v>
      </c>
      <c r="D8" s="47"/>
      <c r="E8" s="13" t="s">
        <v>40</v>
      </c>
      <c r="F8" s="12" t="s">
        <v>75</v>
      </c>
      <c r="G8" s="44">
        <v>0.3</v>
      </c>
      <c r="H8" s="12" t="s">
        <v>76</v>
      </c>
      <c r="I8" s="14" t="s">
        <v>77</v>
      </c>
    </row>
    <row r="9" spans="2:11" ht="17">
      <c r="B9" s="15"/>
      <c r="C9" s="16"/>
      <c r="D9" s="17"/>
      <c r="E9" s="17"/>
      <c r="F9" s="18" t="s">
        <v>67</v>
      </c>
      <c r="G9" s="45">
        <f>SUM(G4:G8)</f>
        <v>12</v>
      </c>
      <c r="H9" s="19"/>
      <c r="I9" s="20"/>
    </row>
    <row r="10" spans="2:11" ht="35" thickBot="1">
      <c r="B10" s="21"/>
      <c r="C10" s="22"/>
      <c r="D10" s="23"/>
      <c r="E10" s="23"/>
      <c r="F10" s="24" t="s">
        <v>68</v>
      </c>
      <c r="G10" s="46">
        <v>2</v>
      </c>
      <c r="H10" s="25"/>
      <c r="I10" s="26"/>
    </row>
    <row r="11" spans="2:11" ht="17" thickTop="1"/>
    <row r="12" spans="2:11">
      <c r="F12" s="7"/>
      <c r="G12" s="7"/>
    </row>
    <row r="14" spans="2:11">
      <c r="F14" s="35"/>
      <c r="G14" s="36"/>
    </row>
    <row r="15" spans="2:11">
      <c r="F15" s="35"/>
      <c r="G15" s="36"/>
    </row>
    <row r="16" spans="2:11">
      <c r="F16" s="35"/>
      <c r="G16" s="37"/>
    </row>
    <row r="17" spans="6:7">
      <c r="F17" s="35"/>
      <c r="G17" s="36"/>
    </row>
    <row r="18" spans="6:7">
      <c r="F18" s="35"/>
      <c r="G18" s="36"/>
    </row>
    <row r="19" spans="6:7">
      <c r="F19" s="35"/>
      <c r="G19" s="36"/>
    </row>
    <row r="20" spans="6:7">
      <c r="F20" s="35"/>
      <c r="G20" s="36"/>
    </row>
    <row r="21" spans="6:7">
      <c r="F21" s="35"/>
      <c r="G21" s="36"/>
    </row>
    <row r="22" spans="6:7">
      <c r="F22" s="35"/>
      <c r="G22" s="36"/>
    </row>
    <row r="23" spans="6:7">
      <c r="F23" s="35"/>
      <c r="G23" s="36"/>
    </row>
    <row r="24" spans="6:7">
      <c r="F24" s="35"/>
      <c r="G24" s="36"/>
    </row>
    <row r="25" spans="6:7">
      <c r="F25" s="33"/>
      <c r="G25" s="34"/>
    </row>
  </sheetData>
  <phoneticPr fontId="3"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C4:C10</xm:sqref>
        </x14:dataValidation>
        <x14:dataValidation type="list" allowBlank="1" showInputMessage="1" showErrorMessage="1" xr:uid="{00000000-0002-0000-0000-000003000000}">
          <x14:formula1>
            <xm:f>数据标签!$B$11:$D$11</xm:f>
          </x14:formula1>
          <xm:sqref>E4:E10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C13" sqref="C13"/>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28" t="s">
        <v>78</v>
      </c>
    </row>
    <row r="2" spans="1:13">
      <c r="A2" s="28" t="s">
        <v>79</v>
      </c>
      <c r="B2" s="28" t="s">
        <v>80</v>
      </c>
      <c r="C2">
        <v>630</v>
      </c>
      <c r="D2" s="28" t="s">
        <v>81</v>
      </c>
      <c r="E2" s="28" t="s">
        <v>82</v>
      </c>
      <c r="F2" s="28" t="s">
        <v>83</v>
      </c>
      <c r="G2" s="28" t="s">
        <v>84</v>
      </c>
      <c r="K2" s="28" t="s">
        <v>85</v>
      </c>
      <c r="L2" s="28" t="s">
        <v>86</v>
      </c>
    </row>
    <row r="4" spans="1:13">
      <c r="A4" s="31" t="s">
        <v>87</v>
      </c>
    </row>
    <row r="5" spans="1:13">
      <c r="A5" s="30" t="s">
        <v>88</v>
      </c>
      <c r="B5" s="30" t="s">
        <v>89</v>
      </c>
      <c r="C5" s="30" t="s">
        <v>90</v>
      </c>
      <c r="D5" s="30" t="s">
        <v>91</v>
      </c>
      <c r="E5" s="30" t="s">
        <v>92</v>
      </c>
      <c r="F5" s="30" t="s">
        <v>119</v>
      </c>
    </row>
    <row r="6" spans="1:13">
      <c r="A6" s="29" t="s">
        <v>93</v>
      </c>
      <c r="B6" s="28" t="s">
        <v>94</v>
      </c>
      <c r="C6" s="28" t="s">
        <v>95</v>
      </c>
      <c r="D6" s="28" t="s">
        <v>96</v>
      </c>
      <c r="E6" s="28" t="s">
        <v>97</v>
      </c>
      <c r="F6" s="28" t="s">
        <v>98</v>
      </c>
      <c r="G6" s="28" t="s">
        <v>99</v>
      </c>
      <c r="M6" s="28" t="s">
        <v>100</v>
      </c>
    </row>
    <row r="7" spans="1:13">
      <c r="A7" s="29"/>
      <c r="B7" s="28"/>
      <c r="C7" s="28"/>
      <c r="D7" s="28"/>
      <c r="E7" s="28"/>
      <c r="F7" s="28"/>
      <c r="G7" s="28"/>
      <c r="M7" s="28"/>
    </row>
    <row r="8" spans="1:13">
      <c r="A8" s="31" t="s">
        <v>120</v>
      </c>
    </row>
    <row r="9" spans="1:13">
      <c r="A9" s="28" t="s">
        <v>101</v>
      </c>
      <c r="B9" s="28" t="s">
        <v>103</v>
      </c>
      <c r="C9" s="28" t="s">
        <v>104</v>
      </c>
      <c r="D9" s="28" t="s">
        <v>105</v>
      </c>
    </row>
    <row r="10" spans="1:13">
      <c r="A10" s="28" t="s">
        <v>102</v>
      </c>
      <c r="B10" s="28" t="s">
        <v>103</v>
      </c>
      <c r="C10" s="28" t="s">
        <v>104</v>
      </c>
      <c r="D10" s="28" t="s">
        <v>106</v>
      </c>
    </row>
    <row r="11" spans="1:13">
      <c r="A11" s="28" t="s">
        <v>107</v>
      </c>
      <c r="B11" s="28" t="s">
        <v>109</v>
      </c>
      <c r="D11" s="28" t="s">
        <v>108</v>
      </c>
    </row>
    <row r="13" spans="1:13">
      <c r="A13" s="28" t="s">
        <v>110</v>
      </c>
    </row>
    <row r="14" spans="1:13">
      <c r="A14" s="28" t="s">
        <v>111</v>
      </c>
    </row>
    <row r="16" spans="1:13">
      <c r="A16" s="28" t="s">
        <v>114</v>
      </c>
      <c r="B16" s="29" t="s">
        <v>112</v>
      </c>
      <c r="C16" s="28" t="s">
        <v>113</v>
      </c>
      <c r="E16" s="28" t="s">
        <v>116</v>
      </c>
      <c r="F16" s="28" t="s">
        <v>117</v>
      </c>
    </row>
    <row r="17" spans="2:3">
      <c r="B17" s="28" t="s">
        <v>118</v>
      </c>
      <c r="C17" s="28" t="s">
        <v>115</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2025-10-09T05:14:41Z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