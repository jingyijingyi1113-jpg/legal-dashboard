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BE15FC3B-DCB7-F849-98F0-6ED25A9A100F}" xr6:coauthVersionLast="47" xr6:coauthVersionMax="47" xr10:uidLastSave="{00000000-0000-0000-0000-000000000000}"/>
  <bookViews>
    <workbookView xWindow="0" yWindow="760" windowWidth="29400" windowHeight="1676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个人工时记录表!$I$15</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<sst xmlns="http://schemas.openxmlformats.org/spreadsheetml/2006/main" count="267" uniqueCount="151">
  <si>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</si>
  <si>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</si>
  <si>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</si>
  <si>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</si>
  <si>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</si>
  <si>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</si>
  <si>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</si>
  <si>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</si>
  <si>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</si>
  <si>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</si>
  <si>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</si>
  <si>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</si>
  <si>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</si>
  <si>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</si>
  <si>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</si>
  <si>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</si>
  <si>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</si>
  <si>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</si>
  <si>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</si>
  <si>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</si>
  <si>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</si>
  <si>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</si>
  <si>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</si>
  <si>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</si>
  <si>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</si>
  <si>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</si>
  <si>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</si>
  <si>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</si>
  <si>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</si>
  <si>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</si>
  <si>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</si>
  <si>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</si>
  <si>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</si>
  <si>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</si>
  <si>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</si>
  <si>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</si>
  <si>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</si>
  <si>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</si>
  <si>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</si>
  <si>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</si>
  <si>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</si>
  <si>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</si>
  <si>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</si>
  <si>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</si>
  <si>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</si>
  <si>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</si>
  <si>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</si>
  <si>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</si>
  <si>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</si>
  <si>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</si>
  <si>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</si>
  <si>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</si>
  <si>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</si>
  <si>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</si>
  <si>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</si>
  <si>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</si>
  <si>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</si>
  <si>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</si>
  <si>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</si>
  <si>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</si>
  <si>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</si>
  <si>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</si>
  <si>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</si>
  <si>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</si>
  <si>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</si>
  <si>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</si>
  <si>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</si>
  <si>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</si>
  <si>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</si>
  <si>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</si>
  <si>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</si>
  <si>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</si>
  <si>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</si>
  <si>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</si>
  <si>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</si>
  <si>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</si>
  <si>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</si>
  <si>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Public - Infrastructure &amp; Guidance</t>
  </si>
  <si>
    <t>Public - Knowledge Accumulation &amp; Sharing</t>
  </si>
  <si>
    <t>优化Hotdesk和专家组制度 Optimization of Hotdesk and expert panel system</t>
  </si>
  <si>
    <t>小时单&amp;deals update。</t>
    <phoneticPr fontId="3" type="noConversion"/>
  </si>
  <si>
    <t>Notion</t>
    <phoneticPr fontId="9" type="noConversion"/>
  </si>
  <si>
    <t xml:space="preserve">Invontic </t>
    <phoneticPr fontId="9" type="noConversion"/>
  </si>
  <si>
    <t xml:space="preserve">欢欢 </t>
    <phoneticPr fontId="9" type="noConversion"/>
  </si>
  <si>
    <t>Oversubscribe</t>
    <phoneticPr fontId="9" type="noConversion"/>
  </si>
  <si>
    <t>Flora去要时间</t>
    <phoneticPr fontId="9" type="noConversion"/>
  </si>
  <si>
    <t>欧洲基金投回美国</t>
    <phoneticPr fontId="9" type="noConversion"/>
  </si>
  <si>
    <t>按照现有材料看下风险， 不找Gp要资料了</t>
    <phoneticPr fontId="9" type="noConversion"/>
  </si>
  <si>
    <t>2周左右</t>
    <phoneticPr fontId="9" type="noConversion"/>
  </si>
  <si>
    <t>5mn</t>
    <phoneticPr fontId="9" type="noConversion"/>
  </si>
  <si>
    <t>IC deal</t>
    <phoneticPr fontId="9" type="noConversion"/>
  </si>
  <si>
    <t>博裕资本的人民币</t>
    <phoneticPr fontId="9" type="noConversion"/>
  </si>
  <si>
    <t>5亿人民</t>
    <phoneticPr fontId="9" type="noConversion"/>
  </si>
  <si>
    <t>小小江找了Martin</t>
    <phoneticPr fontId="9" type="noConversion"/>
  </si>
  <si>
    <t>7月初尽调</t>
    <phoneticPr fontId="9" type="noConversion"/>
  </si>
  <si>
    <t>830 DDL</t>
    <phoneticPr fontId="9" type="noConversion"/>
  </si>
  <si>
    <t>Credit fund.</t>
    <phoneticPr fontId="9" type="noConversion"/>
  </si>
  <si>
    <t>Hybrid</t>
    <phoneticPr fontId="9" type="noConversion"/>
  </si>
  <si>
    <t>香港基金</t>
    <phoneticPr fontId="9" type="noConversion"/>
  </si>
  <si>
    <t>1bn-腾讯2亿</t>
    <phoneticPr fontId="9" type="noConversion"/>
  </si>
  <si>
    <t>不会投资美国项目</t>
    <phoneticPr fontId="9" type="noConversion"/>
  </si>
  <si>
    <t xml:space="preserve">APAC </t>
    <phoneticPr fontId="9" type="noConversion"/>
  </si>
  <si>
    <t>Cat 可以先 Pre deal assessment 先搞。基金juridiction，投资区域啥的</t>
    <phoneticPr fontId="9" type="noConversion"/>
  </si>
  <si>
    <t>9月的时间表</t>
    <phoneticPr fontId="9" type="noConversion"/>
  </si>
  <si>
    <t>Vender CO</t>
    <phoneticPr fontId="9" type="noConversion"/>
  </si>
  <si>
    <t>Drangonner</t>
    <phoneticPr fontId="9" type="noConversion"/>
  </si>
  <si>
    <t>已投re-up</t>
    <phoneticPr fontId="9" type="noConversion"/>
  </si>
  <si>
    <t>流程快 金额不大变</t>
    <phoneticPr fontId="9" type="noConversion"/>
  </si>
  <si>
    <t>时间：930</t>
    <phoneticPr fontId="9" type="noConversion"/>
  </si>
  <si>
    <t>时间：815</t>
    <phoneticPr fontId="9" type="noConversion"/>
  </si>
  <si>
    <t>Bessmmer</t>
    <phoneticPr fontId="9" type="noConversion"/>
  </si>
  <si>
    <t xml:space="preserve">时间：915-930 </t>
    <phoneticPr fontId="9" type="noConversion"/>
  </si>
  <si>
    <t>这个基金会提前他们的时间表</t>
    <phoneticPr fontId="9" type="noConversion"/>
  </si>
  <si>
    <t>还有一些是12月中的国内基金 BAI之类的</t>
    <phoneticPr fontId="9" type="noConversion"/>
  </si>
  <si>
    <t>LS要在基金层面有些控制的操作。</t>
    <phoneticPr fontId="9" type="noConversion"/>
  </si>
  <si>
    <t>Activest fund</t>
    <phoneticPr fontId="9" type="noConversion"/>
  </si>
  <si>
    <t>buyout上市公司之后再带着公司去二次上市</t>
    <phoneticPr fontId="9" type="noConversion"/>
  </si>
  <si>
    <t>Martin 推荐项目</t>
    <phoneticPr fontId="9" type="noConversion"/>
  </si>
  <si>
    <t>Long position</t>
    <phoneticPr fontId="9" type="noConversion"/>
  </si>
  <si>
    <t xml:space="preserve"> 待定项目</t>
    <phoneticPr fontId="9" type="noConversion"/>
  </si>
  <si>
    <t>如果投资的话就是大项目</t>
    <phoneticPr fontId="9" type="noConversion"/>
  </si>
  <si>
    <t>与Lingoto不同</t>
    <phoneticPr fontId="9" type="noConversion"/>
  </si>
  <si>
    <t>占比【】？</t>
    <phoneticPr fontId="9" type="noConversion"/>
  </si>
  <si>
    <t>Non-IC deal</t>
    <phoneticPr fontId="9" type="noConversion"/>
  </si>
  <si>
    <t>Investment Related - M&amp;A Deal</t>
    <phoneticPr fontId="3" type="noConversion"/>
  </si>
  <si>
    <t>春雨医生</t>
    <phoneticPr fontId="3" type="noConversion"/>
  </si>
  <si>
    <t>股东调查表A股</t>
    <phoneticPr fontId="3" type="noConversion"/>
  </si>
  <si>
    <t>ManinFunc</t>
    <phoneticPr fontId="3" type="noConversion"/>
  </si>
  <si>
    <t>更美</t>
    <phoneticPr fontId="3" type="noConversion"/>
  </si>
  <si>
    <t>投后管理 KYC： 最新监管问询以及回复准备</t>
    <phoneticPr fontId="3" type="noConversion"/>
  </si>
  <si>
    <t>当乐</t>
    <phoneticPr fontId="3" type="noConversion"/>
  </si>
  <si>
    <t>云合智网</t>
    <phoneticPr fontId="3" type="noConversion"/>
  </si>
  <si>
    <t>B轮投资人退出， 反垄断触发分析，回购策略沟通和讨论。 聘请外部律师，与外部律师对齐问题点，与</t>
    <phoneticPr fontId="3" type="noConversion"/>
  </si>
  <si>
    <t xml:space="preserve">Hotdesk：Fund of one认购金额讨论和同步， 最终整套交易文件审阅和final signoff。管理费延长期豁免条款Rider准备。 </t>
    <phoneticPr fontId="3" type="noConversion"/>
  </si>
  <si>
    <t>Periodical Review 2025 – THL A6 Limited - Hiro Capital SCSp</t>
    <phoneticPr fontId="3" type="noConversion"/>
  </si>
  <si>
    <t>Hiro Capital SCSp</t>
    <phoneticPr fontId="3" type="noConversion"/>
  </si>
  <si>
    <t>Northzone Growth II LP</t>
  </si>
  <si>
    <t>投后：投后管理KYC定期跟进和文件审阅。</t>
    <phoneticPr fontId="3" type="noConversion"/>
  </si>
  <si>
    <t>华云中盛</t>
    <phoneticPr fontId="3" type="noConversion"/>
  </si>
  <si>
    <t>投后管理： 股东协议之补充协议的审阅和修改。</t>
    <phoneticPr fontId="3" type="noConversion"/>
  </si>
  <si>
    <t>夏尔巴三期</t>
    <phoneticPr fontId="3" type="noConversion"/>
  </si>
  <si>
    <t xml:space="preserve">投后管理： MFN 条款筛选和审阅。 </t>
    <phoneticPr fontId="3" type="noConversion"/>
  </si>
  <si>
    <t xml:space="preserve">更美E轮定稿版交易文件对比和回复税务层面问题。  </t>
    <phoneticPr fontId="3" type="noConversion"/>
  </si>
  <si>
    <t xml:space="preserve">Closinng binder跟进， 交割后certificat邮寄情况安排，GCSTM对接跟进。 </t>
    <phoneticPr fontId="3" type="noConversion"/>
  </si>
  <si>
    <t>律师费： 重点项目法务盘点。</t>
    <phoneticPr fontId="3" type="noConversion"/>
  </si>
  <si>
    <t>公司并购交&amp;锁定期谈判策略沟通方案。</t>
    <phoneticPr fontId="3" type="noConversion"/>
  </si>
  <si>
    <t>投后管理： 投后重点项目沟通和回报以及提前准备的总结。</t>
    <phoneticPr fontId="3" type="noConversion"/>
  </si>
  <si>
    <t>投后管理：回购函起草和准备阶段。</t>
    <phoneticPr fontId="3" type="noConversion"/>
  </si>
  <si>
    <t>银基</t>
    <phoneticPr fontId="3" type="noConversion"/>
  </si>
  <si>
    <t>Playground Quantum</t>
    <phoneticPr fontId="3" type="noConversion"/>
  </si>
  <si>
    <t xml:space="preserve">Merger filing数据收集+SHAs文件修改，RoPs再修订 + 律师费。RoP审阅和反馈律师。AML数据沟通与更新收集。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</si>
</sst>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8">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sz val="12"/>
      <color theme="1"/>
      <name val="等线"/>
      <family val="4"/>
      <charset val="134"/>
      <scheme val="minor"/>
    </font>
    <font>
      <sz val="12"/>
      <color theme="4" tint="-0.499984740745262"/>
      <name val="等线"/>
      <family val="2"/>
      <scheme val="minor"/>
    </font>
    <font>
      <sz val="12"/>
      <color theme="1"/>
      <name val="等线"/>
      <family val="2"/>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12"/>
      <color rgb="FFFF0000"/>
      <name val="等线"/>
      <family val="4"/>
      <charset val="134"/>
      <scheme val="minor"/>
    </font>
    <font>
      <sz val="12"/>
      <color theme="4" tint="-0.499984740745262"/>
      <name val="等线"/>
      <family val="4"/>
      <charset val="134"/>
      <scheme val="minor"/>
    </font>
    <font>
      <i/>
      <sz val="12"/>
      <color theme="4" tint="-0.499984740745262"/>
      <name val="等线"/>
      <family val="2"/>
      <scheme val="minor"/>
    </font>
    <font>
      <sz val="12"/>
      <color rgb="FF000000"/>
      <name val="PingFang SC"/>
      <family val="2"/>
      <charset val="134"/>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3" fillId="0" borderId="0" applyFont="0" applyFill="0" applyBorder="0" applyAlignment="0" applyProtection="0">
      <alignment vertical="center"/>
    </xf>
  </cellStyleXfs>
  <cellXfs count="4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0" xfId="0" applyFont="1">
      <alignment vertical="center"/>
    </xf>
    <xf numFmtId="0" fontId="6" fillId="2" borderId="3" xfId="0" applyFont="1" applyFill="1" applyBorder="1" applyAlignment="1">
      <alignment vertical="center" wrapText="1"/>
    </xf>
    <xf numFmtId="0" fontId="6" fillId="2" borderId="4" xfId="0" applyFont="1" applyFill="1" applyBorder="1" applyAlignment="1">
      <alignment vertical="center" wrapText="1"/>
    </xf>
    <xf numFmtId="0" fontId="6" fillId="2" borderId="8" xfId="0" applyFont="1" applyFill="1" applyBorder="1" applyAlignment="1">
      <alignment vertical="center" wrapText="1"/>
    </xf>
    <xf numFmtId="0" fontId="7" fillId="0" borderId="3" xfId="0" applyFont="1" applyBorder="1">
      <alignment vertical="center"/>
    </xf>
    <xf numFmtId="0" fontId="7" fillId="0" borderId="4" xfId="0" applyFont="1" applyBorder="1" applyAlignment="1">
      <alignment vertical="center" wrapText="1"/>
    </xf>
    <xf numFmtId="0" fontId="7" fillId="0" borderId="4" xfId="0" applyFont="1" applyBorder="1">
      <alignment vertical="center"/>
    </xf>
    <xf numFmtId="0" fontId="7" fillId="0" borderId="8" xfId="0" applyFont="1" applyBorder="1" applyAlignment="1">
      <alignment vertical="center" wrapText="1"/>
    </xf>
    <xf numFmtId="0" fontId="7" fillId="0" borderId="9" xfId="0" applyFont="1" applyBorder="1">
      <alignment vertical="center"/>
    </xf>
    <xf numFmtId="0" fontId="7" fillId="0" borderId="10" xfId="0" applyFont="1" applyBorder="1" applyAlignment="1">
      <alignment vertical="center" wrapText="1"/>
    </xf>
    <xf numFmtId="0" fontId="7" fillId="0" borderId="10" xfId="0" applyFont="1" applyBorder="1">
      <alignment vertical="center"/>
    </xf>
    <xf numFmtId="0" fontId="7" fillId="0" borderId="16" xfId="0" applyFont="1" applyBorder="1" applyAlignment="1">
      <alignment horizontal="right" vertical="center" wrapText="1"/>
    </xf>
    <xf numFmtId="0" fontId="7" fillId="0" borderId="18" xfId="0" applyFont="1" applyBorder="1" applyAlignment="1">
      <alignment horizontal="left" vertical="center"/>
    </xf>
    <xf numFmtId="0" fontId="7" fillId="0" borderId="11" xfId="0" applyFont="1" applyBorder="1" applyAlignment="1">
      <alignment horizontal="left" vertical="center"/>
    </xf>
    <xf numFmtId="0" fontId="7" fillId="0" borderId="5" xfId="0" applyFont="1" applyBorder="1">
      <alignment vertical="center"/>
    </xf>
    <xf numFmtId="0" fontId="7" fillId="0" borderId="6" xfId="0" applyFont="1" applyBorder="1" applyAlignment="1">
      <alignment vertical="center" wrapText="1"/>
    </xf>
    <xf numFmtId="0" fontId="7" fillId="0" borderId="6" xfId="0" applyFont="1" applyBorder="1">
      <alignment vertical="center"/>
    </xf>
    <xf numFmtId="0" fontId="7" fillId="0" borderId="12" xfId="0" applyFont="1" applyBorder="1" applyAlignment="1">
      <alignment horizontal="right" vertical="center" wrapText="1"/>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5" fillId="0" borderId="0" xfId="0" applyFont="1" applyAlignment="1">
      <alignment vertical="center" wrapText="1"/>
    </xf>
    <xf numFmtId="0" fontId="8" fillId="0" borderId="0" xfId="0" applyFont="1">
      <alignment vertical="center"/>
    </xf>
    <xf numFmtId="0" fontId="10" fillId="0" borderId="0" xfId="0" applyFont="1">
      <alignment vertical="center"/>
    </xf>
    <xf numFmtId="0" fontId="11" fillId="0" borderId="0" xfId="0" applyFont="1">
      <alignment vertical="center"/>
    </xf>
    <xf numFmtId="0" fontId="12" fillId="3" borderId="0" xfId="0" applyFont="1" applyFill="1">
      <alignment vertical="center"/>
    </xf>
    <xf numFmtId="0" fontId="5" fillId="0" borderId="0" xfId="0" applyFont="1" applyAlignment="1">
      <alignment vertical="top"/>
    </xf>
    <xf numFmtId="0" fontId="5" fillId="0" borderId="0" xfId="0" applyFont="1" applyAlignment="1">
      <alignment horizontal="left" vertical="top"/>
    </xf>
    <xf numFmtId="176" fontId="5" fillId="0" borderId="0" xfId="1" applyNumberFormat="1" applyFont="1" applyAlignment="1">
      <alignment horizontal="left" vertical="top"/>
    </xf>
    <xf numFmtId="0" fontId="14" fillId="0" borderId="0" xfId="0" applyFont="1">
      <alignment vertical="center"/>
    </xf>
    <xf numFmtId="176" fontId="5" fillId="0" borderId="0" xfId="1" applyNumberFormat="1" applyFont="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176" fontId="15" fillId="0" borderId="2" xfId="1" applyNumberFormat="1" applyFont="1" applyBorder="1" applyAlignment="1">
      <alignment horizontal="center" vertical="center" wrapText="1"/>
    </xf>
    <xf numFmtId="0" fontId="16" fillId="0" borderId="7" xfId="0" applyFont="1" applyBorder="1" applyAlignment="1">
      <alignment horizontal="center" vertical="center" wrapText="1"/>
    </xf>
    <xf numFmtId="176" fontId="15" fillId="2" borderId="4" xfId="1" applyNumberFormat="1" applyFont="1" applyFill="1" applyBorder="1" applyAlignment="1">
      <alignment horizontal="center" vertical="center" wrapText="1"/>
    </xf>
    <xf numFmtId="176" fontId="5" fillId="0" borderId="4" xfId="1" applyNumberFormat="1" applyFont="1" applyBorder="1" applyAlignment="1">
      <alignment horizontal="center" vertical="center"/>
    </xf>
    <xf numFmtId="176" fontId="5" fillId="0" borderId="17" xfId="1" applyNumberFormat="1" applyFont="1" applyBorder="1" applyAlignment="1">
      <alignment horizontal="center" vertical="center"/>
    </xf>
    <xf numFmtId="176" fontId="5" fillId="0" borderId="13" xfId="1" applyNumberFormat="1" applyFont="1" applyBorder="1" applyAlignment="1">
      <alignment horizontal="center" vertical="center"/>
    </xf>
    <xf numFmtId="176" fontId="5" fillId="0" borderId="0" xfId="1" applyNumberFormat="1" applyFont="1" applyAlignment="1">
      <alignment horizontal="center" vertical="top"/>
    </xf>
    <xf numFmtId="0" fontId="5" fillId="0" borderId="4" xfId="0" applyFont="1" applyBorder="1">
      <alignment vertical="center"/>
    </xf>
    <xf numFmtId="0" fontId="17" fillId="0" borderId="0" xfId="0" applyFont="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36"/>
  <sheetViews>
    <sheetView tabSelected="1" zoomScale="93" zoomScaleNormal="80" workbookViewId="0">
      <pane ySplit="3" topLeftCell="A4" activePane="bottomLeft" state="frozen"/>
      <selection pane="bottomLeft" activeCell="D5" sqref="D5"/>
    </sheetView>
  </sheetViews>
  <sheetFormatPr baseColWidth="10" defaultColWidth="9" defaultRowHeight="16"/>
  <cols>
    <col min="1" max="1" width="7.1640625" style="7" customWidth="1"/>
    <col min="2" max="2" width="9" style="7"/>
    <col min="3" max="3" width="16.1640625" style="27" customWidth="1"/>
    <col min="4" max="4" width="19.5" style="7" customWidth="1"/>
    <col min="5" max="5" width="10.6640625" style="7" customWidth="1"/>
    <col min="6" max="6" width="21.6640625" style="27" customWidth="1"/>
    <col min="7" max="7" width="12" style="36" customWidth="1"/>
    <col min="8" max="8" width="18.1640625" style="27" customWidth="1"/>
    <col min="9" max="9" width="33.33203125" style="27" customWidth="1"/>
    <col min="10" max="10" width="7.1640625" style="7" customWidth="1"/>
    <col min="11" max="16384" width="9" style="7"/>
  </cols>
  <sheetData>
    <row r="1" spans="2:11" ht="41" customHeight="1" thickBot="1"/>
    <row r="2" spans="2:11" ht="35" thickTop="1">
      <c r="B2" s="37" t="s">
        <v>0</v>
      </c>
      <c r="C2" s="38" t="s">
        <v>70</v>
      </c>
      <c r="D2" s="38" t="s">
        <v>1</v>
      </c>
      <c r="E2" s="38" t="s">
        <v>2</v>
      </c>
      <c r="F2" s="38" t="s">
        <v>3</v>
      </c>
      <c r="G2" s="39" t="s">
        <v>4</v>
      </c>
      <c r="H2" s="38" t="s">
        <v>5</v>
      </c>
      <c r="I2" s="40" t="s">
        <v>6</v>
      </c>
    </row>
    <row r="3" spans="2:11" ht="46" customHeight="1">
      <c r="B3" s="8" t="s">
        <v>7</v>
      </c>
      <c r="C3" s="9" t="s">
        <v>8</v>
      </c>
      <c r="D3" s="9" t="s">
        <v>9</v>
      </c>
      <c r="E3" s="9" t="s">
        <v>59</v>
      </c>
      <c r="F3" s="9" t="s">
        <v>57</v>
      </c>
      <c r="G3" s="41" t="s">
        <v>10</v>
      </c>
      <c r="H3" s="9" t="s">
        <v>11</v>
      </c>
      <c r="I3" s="10" t="s">
        <v>12</v>
      </c>
    </row>
    <row r="4" spans="2:11" ht="68">
      <c r="B4" s="11" t="s">
        <v>72</v>
      </c>
      <c r="C4" s="12" t="s">
        <v>14</v>
      </c>
      <c r="D4" s="46" t="s">
        <v>74</v>
      </c>
      <c r="E4" s="13" t="s">
        <v>40</v>
      </c>
      <c r="F4" s="12" t="s">
        <v>73</v>
      </c>
      <c r="G4" s="42">
        <v>9.5</v>
      </c>
      <c r="H4" s="12" t="s">
        <v>20</v>
      </c>
      <c r="I4" s="14" t="s">
        <v>150</v>
      </c>
      <c r="K4" s="35"/>
    </row>
    <row r="5" spans="2:11" ht="51">
      <c r="B5" s="11" t="s">
        <v>72</v>
      </c>
      <c r="C5" s="12" t="s">
        <v>14</v>
      </c>
      <c r="D5" s="46" t="s">
        <v>127</v>
      </c>
      <c r="E5" s="13" t="s">
        <v>40</v>
      </c>
      <c r="F5" s="12" t="s">
        <v>73</v>
      </c>
      <c r="G5" s="42">
        <v>2</v>
      </c>
      <c r="H5" s="12" t="s">
        <v>20</v>
      </c>
      <c r="I5" s="14" t="s">
        <v>143</v>
      </c>
    </row>
    <row r="6" spans="2:11" ht="68">
      <c r="B6" s="11" t="s">
        <v>72</v>
      </c>
      <c r="C6" s="12" t="s">
        <v>77</v>
      </c>
      <c r="D6" s="46"/>
      <c r="E6" s="13" t="s">
        <v>40</v>
      </c>
      <c r="F6" s="12" t="s">
        <v>79</v>
      </c>
      <c r="G6" s="42">
        <v>0.5</v>
      </c>
      <c r="H6" s="12" t="s">
        <v>20</v>
      </c>
      <c r="I6" s="14" t="s">
        <v>133</v>
      </c>
    </row>
    <row r="7" spans="2:11" ht="51">
      <c r="B7" s="11" t="s">
        <v>72</v>
      </c>
      <c r="C7" s="12" t="s">
        <v>14</v>
      </c>
      <c r="D7" s="46" t="s">
        <v>130</v>
      </c>
      <c r="E7" s="13" t="s">
        <v>40</v>
      </c>
      <c r="F7" s="12" t="s">
        <v>73</v>
      </c>
      <c r="G7" s="42">
        <v>4.2</v>
      </c>
      <c r="H7" s="12" t="s">
        <v>20</v>
      </c>
      <c r="I7" s="14" t="s">
        <v>132</v>
      </c>
    </row>
    <row r="8" spans="2:11" ht="51">
      <c r="B8" s="11" t="s">
        <v>72</v>
      </c>
      <c r="C8" s="12" t="s">
        <v>14</v>
      </c>
      <c r="D8" s="46" t="s">
        <v>135</v>
      </c>
      <c r="E8" s="13" t="s">
        <v>40</v>
      </c>
      <c r="F8" s="12" t="s">
        <v>73</v>
      </c>
      <c r="G8" s="42">
        <v>0.3</v>
      </c>
      <c r="H8" s="12" t="s">
        <v>36</v>
      </c>
      <c r="I8" s="14" t="s">
        <v>134</v>
      </c>
    </row>
    <row r="9" spans="2:11" ht="51">
      <c r="B9" s="11" t="s">
        <v>72</v>
      </c>
      <c r="C9" s="12" t="s">
        <v>14</v>
      </c>
      <c r="D9" s="46" t="s">
        <v>149</v>
      </c>
      <c r="E9" s="13" t="s">
        <v>40</v>
      </c>
      <c r="F9" s="12" t="s">
        <v>73</v>
      </c>
      <c r="G9" s="42">
        <v>0.5</v>
      </c>
      <c r="H9" s="12" t="s">
        <v>20</v>
      </c>
      <c r="I9" s="14" t="s">
        <v>129</v>
      </c>
    </row>
    <row r="10" spans="2:11" ht="51">
      <c r="B10" s="11" t="s">
        <v>72</v>
      </c>
      <c r="C10" s="12" t="s">
        <v>14</v>
      </c>
      <c r="D10" s="47" t="s">
        <v>136</v>
      </c>
      <c r="E10" s="13" t="s">
        <v>40</v>
      </c>
      <c r="F10" s="12" t="s">
        <v>73</v>
      </c>
      <c r="G10" s="42">
        <v>0.3</v>
      </c>
      <c r="H10" s="12" t="s">
        <v>20</v>
      </c>
      <c r="I10" s="14" t="s">
        <v>137</v>
      </c>
    </row>
    <row r="11" spans="2:11" ht="51">
      <c r="B11" s="11" t="s">
        <v>72</v>
      </c>
      <c r="C11" s="12" t="s">
        <v>14</v>
      </c>
      <c r="D11" s="46" t="s">
        <v>125</v>
      </c>
      <c r="E11" s="13" t="s">
        <v>40</v>
      </c>
      <c r="F11" s="12" t="s">
        <v>73</v>
      </c>
      <c r="G11" s="42">
        <v>3.8</v>
      </c>
      <c r="H11" s="12" t="s">
        <v>20</v>
      </c>
      <c r="I11" s="14" t="s">
        <v>145</v>
      </c>
    </row>
    <row r="12" spans="2:11" ht="51">
      <c r="B12" s="11" t="s">
        <v>72</v>
      </c>
      <c r="C12" s="12" t="s">
        <v>14</v>
      </c>
      <c r="D12" s="46" t="s">
        <v>128</v>
      </c>
      <c r="E12" s="13" t="s">
        <v>40</v>
      </c>
      <c r="F12" s="12" t="s">
        <v>73</v>
      </c>
      <c r="G12" s="42">
        <v>1</v>
      </c>
      <c r="H12" s="12" t="s">
        <v>20</v>
      </c>
      <c r="I12" s="14" t="s">
        <v>142</v>
      </c>
    </row>
    <row r="13" spans="2:11" ht="51">
      <c r="B13" s="11" t="s">
        <v>72</v>
      </c>
      <c r="C13" s="12" t="s">
        <v>14</v>
      </c>
      <c r="D13" s="46" t="s">
        <v>140</v>
      </c>
      <c r="E13" s="13" t="s">
        <v>40</v>
      </c>
      <c r="F13" s="12" t="s">
        <v>73</v>
      </c>
      <c r="G13" s="42">
        <v>5</v>
      </c>
      <c r="H13" s="12" t="s">
        <v>20</v>
      </c>
      <c r="I13" s="14" t="s">
        <v>141</v>
      </c>
    </row>
    <row r="14" spans="2:11" ht="51">
      <c r="B14" s="11" t="s">
        <v>72</v>
      </c>
      <c r="C14" s="12" t="s">
        <v>124</v>
      </c>
      <c r="D14" s="46" t="s">
        <v>138</v>
      </c>
      <c r="E14" s="13" t="s">
        <v>40</v>
      </c>
      <c r="F14" s="12" t="s">
        <v>73</v>
      </c>
      <c r="G14" s="42">
        <v>1.5</v>
      </c>
      <c r="H14" s="12" t="s">
        <v>20</v>
      </c>
      <c r="I14" s="14" t="s">
        <v>147</v>
      </c>
    </row>
    <row r="15" spans="2:11" ht="51">
      <c r="B15" s="11" t="s">
        <v>72</v>
      </c>
      <c r="C15" s="12" t="s">
        <v>14</v>
      </c>
      <c r="D15" s="46" t="s">
        <v>131</v>
      </c>
      <c r="E15" s="13" t="s">
        <v>40</v>
      </c>
      <c r="F15" s="12" t="s">
        <v>73</v>
      </c>
      <c r="G15" s="42">
        <v>5</v>
      </c>
      <c r="H15" s="12" t="s">
        <v>20</v>
      </c>
      <c r="I15" s="14" t="s">
        <v>139</v>
      </c>
    </row>
    <row r="16" spans="2:11" ht="51">
      <c r="B16" s="11" t="s">
        <v>72</v>
      </c>
      <c r="C16" s="12" t="s">
        <v>14</v>
      </c>
      <c r="D16" s="46" t="s">
        <v>148</v>
      </c>
      <c r="E16" s="13" t="s">
        <v>40</v>
      </c>
      <c r="F16" s="12" t="s">
        <v>73</v>
      </c>
      <c r="G16" s="42">
        <v>0.5</v>
      </c>
      <c r="H16" s="12" t="s">
        <v>20</v>
      </c>
      <c r="I16" s="14" t="s">
        <v>126</v>
      </c>
    </row>
    <row r="17" spans="2:9" ht="68">
      <c r="B17" s="11" t="s">
        <v>72</v>
      </c>
      <c r="C17" s="12" t="s">
        <v>78</v>
      </c>
      <c r="D17" s="13"/>
      <c r="E17" s="13" t="s">
        <v>40</v>
      </c>
      <c r="F17" s="12" t="s">
        <v>73</v>
      </c>
      <c r="G17" s="42">
        <v>3</v>
      </c>
      <c r="H17" s="12" t="s">
        <v>20</v>
      </c>
      <c r="I17" s="14" t="s">
        <v>144</v>
      </c>
    </row>
    <row r="18" spans="2:9" ht="51">
      <c r="B18" s="11" t="s">
        <v>72</v>
      </c>
      <c r="C18" s="12" t="s">
        <v>14</v>
      </c>
      <c r="D18" s="46"/>
      <c r="E18" s="13" t="s">
        <v>40</v>
      </c>
      <c r="F18" s="12" t="s">
        <v>73</v>
      </c>
      <c r="G18" s="42">
        <v>5.5</v>
      </c>
      <c r="H18" s="12" t="s">
        <v>20</v>
      </c>
      <c r="I18" s="14" t="s">
        <v>146</v>
      </c>
    </row>
    <row r="19" spans="2:9" ht="85">
      <c r="B19" s="11" t="s">
        <v>72</v>
      </c>
      <c r="C19" s="12" t="s">
        <v>18</v>
      </c>
      <c r="D19" s="46"/>
      <c r="E19" s="13" t="s">
        <v>40</v>
      </c>
      <c r="F19" s="12" t="s">
        <v>75</v>
      </c>
      <c r="G19" s="42">
        <v>1</v>
      </c>
      <c r="H19" s="12" t="s">
        <v>76</v>
      </c>
      <c r="I19" s="14" t="s">
        <v>80</v>
      </c>
    </row>
    <row r="20" spans="2:9" ht="17">
      <c r="B20" s="15"/>
      <c r="C20" s="16"/>
      <c r="D20" s="17"/>
      <c r="E20" s="17"/>
      <c r="F20" s="18" t="s">
        <v>67</v>
      </c>
      <c r="G20" s="43">
        <f>SUM(G4:G19)</f>
        <v>43.6</v>
      </c>
      <c r="H20" s="19"/>
      <c r="I20" s="20"/>
    </row>
    <row r="21" spans="2:9" ht="35" thickBot="1">
      <c r="B21" s="21"/>
      <c r="C21" s="22"/>
      <c r="D21" s="23"/>
      <c r="E21" s="23"/>
      <c r="F21" s="24" t="s">
        <v>68</v>
      </c>
      <c r="G21" s="44">
        <v>5</v>
      </c>
      <c r="H21" s="25"/>
      <c r="I21" s="26"/>
    </row>
    <row r="22" spans="2:9" ht="17" thickTop="1"/>
    <row r="25" spans="2:9">
      <c r="F25" s="33"/>
      <c r="G25" s="34"/>
    </row>
    <row r="26" spans="2:9">
      <c r="F26" s="33"/>
      <c r="G26" s="34"/>
    </row>
    <row r="27" spans="2:9">
      <c r="F27" s="33"/>
      <c r="G27" s="34"/>
    </row>
    <row r="28" spans="2:9">
      <c r="F28" s="33"/>
      <c r="G28" s="34"/>
    </row>
    <row r="29" spans="2:9">
      <c r="F29" s="33"/>
      <c r="G29" s="34"/>
    </row>
    <row r="30" spans="2:9">
      <c r="F30" s="33"/>
      <c r="G30" s="34"/>
    </row>
    <row r="31" spans="2:9">
      <c r="F31" s="33"/>
      <c r="G31" s="34"/>
    </row>
    <row r="32" spans="2:9">
      <c r="F32" s="33"/>
      <c r="G32" s="34"/>
    </row>
    <row r="33" spans="6:7">
      <c r="F33" s="33"/>
      <c r="G33" s="34"/>
    </row>
    <row r="34" spans="6:7">
      <c r="F34" s="33"/>
      <c r="G34" s="34"/>
    </row>
    <row r="35" spans="6:7">
      <c r="F35" s="33"/>
      <c r="G35" s="34"/>
    </row>
    <row r="36" spans="6:7">
      <c r="F36" s="32"/>
      <c r="G36" s="45"/>
    </row>
  </sheetData>
  <phoneticPr fontId="3"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C13" sqref="C13"/>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28" t="s">
        <v>81</v>
      </c>
    </row>
    <row r="2" spans="1:13">
      <c r="A2" s="28" t="s">
        <v>82</v>
      </c>
      <c r="B2" s="28" t="s">
        <v>83</v>
      </c>
      <c r="C2">
        <v>630</v>
      </c>
      <c r="D2" s="28" t="s">
        <v>84</v>
      </c>
      <c r="E2" s="28" t="s">
        <v>85</v>
      </c>
      <c r="F2" s="28" t="s">
        <v>86</v>
      </c>
      <c r="G2" s="28" t="s">
        <v>87</v>
      </c>
      <c r="K2" s="28" t="s">
        <v>88</v>
      </c>
      <c r="L2" s="28" t="s">
        <v>89</v>
      </c>
    </row>
    <row r="4" spans="1:13">
      <c r="A4" s="31" t="s">
        <v>90</v>
      </c>
    </row>
    <row r="5" spans="1:13">
      <c r="A5" s="30" t="s">
        <v>91</v>
      </c>
      <c r="B5" s="30" t="s">
        <v>92</v>
      </c>
      <c r="C5" s="30" t="s">
        <v>93</v>
      </c>
      <c r="D5" s="30" t="s">
        <v>94</v>
      </c>
      <c r="E5" s="30" t="s">
        <v>95</v>
      </c>
      <c r="F5" s="30" t="s">
        <v>122</v>
      </c>
    </row>
    <row r="6" spans="1:13">
      <c r="A6" s="29" t="s">
        <v>96</v>
      </c>
      <c r="B6" s="28" t="s">
        <v>97</v>
      </c>
      <c r="C6" s="28" t="s">
        <v>98</v>
      </c>
      <c r="D6" s="28" t="s">
        <v>99</v>
      </c>
      <c r="E6" s="28" t="s">
        <v>100</v>
      </c>
      <c r="F6" s="28" t="s">
        <v>101</v>
      </c>
      <c r="G6" s="28" t="s">
        <v>102</v>
      </c>
      <c r="M6" s="28" t="s">
        <v>103</v>
      </c>
    </row>
    <row r="7" spans="1:13">
      <c r="A7" s="29"/>
      <c r="B7" s="28"/>
      <c r="C7" s="28"/>
      <c r="D7" s="28"/>
      <c r="E7" s="28"/>
      <c r="F7" s="28"/>
      <c r="G7" s="28"/>
      <c r="M7" s="28"/>
    </row>
    <row r="8" spans="1:13">
      <c r="A8" s="31" t="s">
        <v>123</v>
      </c>
    </row>
    <row r="9" spans="1:13">
      <c r="A9" s="28" t="s">
        <v>104</v>
      </c>
      <c r="B9" s="28" t="s">
        <v>106</v>
      </c>
      <c r="C9" s="28" t="s">
        <v>107</v>
      </c>
      <c r="D9" s="28" t="s">
        <v>108</v>
      </c>
    </row>
    <row r="10" spans="1:13">
      <c r="A10" s="28" t="s">
        <v>105</v>
      </c>
      <c r="B10" s="28" t="s">
        <v>106</v>
      </c>
      <c r="C10" s="28" t="s">
        <v>107</v>
      </c>
      <c r="D10" s="28" t="s">
        <v>109</v>
      </c>
    </row>
    <row r="11" spans="1:13">
      <c r="A11" s="28" t="s">
        <v>110</v>
      </c>
      <c r="B11" s="28" t="s">
        <v>112</v>
      </c>
      <c r="D11" s="28" t="s">
        <v>111</v>
      </c>
    </row>
    <row r="13" spans="1:13">
      <c r="A13" s="28" t="s">
        <v>113</v>
      </c>
    </row>
    <row r="14" spans="1:13">
      <c r="A14" s="28" t="s">
        <v>114</v>
      </c>
    </row>
    <row r="16" spans="1:13">
      <c r="A16" s="28" t="s">
        <v>117</v>
      </c>
      <c r="B16" s="29" t="s">
        <v>115</v>
      </c>
      <c r="C16" s="28" t="s">
        <v>116</v>
      </c>
      <c r="E16" s="28" t="s">
        <v>119</v>
      </c>
      <c r="F16" s="28" t="s">
        <v>120</v>
      </c>
    </row>
    <row r="17" spans="2:3">
      <c r="B17" s="28" t="s">
        <v>121</v>
      </c>
      <c r="C17" s="28" t="s">
        <v>118</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5</vt:i4>
      </vt:variant>
    </vt:vector>
  </HeadingPairs>
  <TitlesOfParts>
    <vt:vector size="8" baseType="lpstr">
      <vt:lpstr>个人工时记录表</vt:lpstr>
      <vt:lpstr>数据标签</vt:lpstr>
      <vt:lpstr>Sheet1</vt:lpstr>
      <vt:lpstr>BSC</vt:lpstr>
      <vt:lpstr>E列</vt:lpstr>
      <vt:lpstr>OKR</vt:lpstr>
      <vt:lpstr>个人工时记录表!OLE_LINK4</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2025-10-09T05:11:00Z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