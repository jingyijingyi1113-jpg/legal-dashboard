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ning/Documents/- CTD /# Timeshit/2. Weipan version/"/>
    </mc:Choice>
  </mc:AlternateContent>
  <xr:revisionPtr revIDLastSave="0" documentId="13_ncr:1_{16A25676-49D3-E64F-AFDE-26DAB74E4F3F}" xr6:coauthVersionLast="47" xr6:coauthVersionMax="47" xr10:uidLastSave="{00000000-0000-0000-0000-000000000000}"/>
  <bookViews>
    <workbookView xWindow="9280" yWindow="760" windowWidth="20960" windowHeight="177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<sst xmlns="http://schemas.openxmlformats.org/spreadsheetml/2006/main" count="199" uniqueCount="94">
  <si>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</si>
  <si>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</si>
  <si>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</si>
  <si>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</si>
  <si>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</si>
  <si>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</si>
  <si>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</si>
  <si>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</si>
  <si>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</si>
  <si>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</si>
  <si>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</si>
  <si>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</si>
  <si>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</si>
  <si>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</si>
  <si>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</si>
  <si>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</si>
  <si>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</si>
  <si>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</si>
  <si>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</si>
  <si>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</si>
  <si>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</si>
  <si>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</si>
  <si>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</si>
  <si>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</si>
  <si>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</si>
  <si>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</si>
  <si>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</si>
  <si>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</si>
  <si>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</si>
  <si>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</si>
  <si>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</si>
  <si>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</si>
  <si>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</si>
  <si>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</si>
  <si>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</si>
  <si>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</si>
  <si>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</si>
  <si>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</si>
  <si>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</si>
  <si>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</si>
  <si>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</si>
  <si>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</si>
  <si>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</si>
  <si>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</si>
  <si>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</si>
  <si>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</si>
  <si>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</si>
  <si>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</si>
  <si>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</si>
  <si>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</si>
  <si>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</si>
  <si>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</si>
  <si>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</si>
  <si>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</si>
  <si>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</si>
  <si>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</si>
  <si>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</si>
  <si>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</si>
  <si>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</si>
  <si>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</si>
  <si>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</si>
  <si>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</si>
  <si>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</si>
  <si>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</si>
  <si>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</si>
  <si>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</si>
  <si>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</si>
  <si>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</si>
  <si>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</si>
  <si>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</si>
  <si>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</si>
  <si>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</si>
  <si>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ningingliu</t>
    <phoneticPr fontId="7" type="noConversion"/>
  </si>
  <si>
    <t>投资项目全流程法务支持 Full-process legal support for investments</t>
  </si>
  <si>
    <t>小时单</t>
    <phoneticPr fontId="7" type="noConversion"/>
  </si>
  <si>
    <t>更美</t>
    <phoneticPr fontId="7" type="noConversion"/>
  </si>
  <si>
    <t xml:space="preserve">cfius fund guidance </t>
  </si>
  <si>
    <t>丰翼科技</t>
    <phoneticPr fontId="7" type="noConversion"/>
  </si>
  <si>
    <t>Playground Quantum Fund, L.P.</t>
  </si>
  <si>
    <t>杏泽人民币四期</t>
    <phoneticPr fontId="7" type="noConversion"/>
  </si>
  <si>
    <t>CMC清单核查汉坤跟进</t>
    <phoneticPr fontId="7" type="noConversion"/>
  </si>
  <si>
    <t>Tybourne Strategic Opportunities Fund</t>
  </si>
  <si>
    <t>基金核查文件审阅。</t>
    <phoneticPr fontId="7" type="noConversion"/>
  </si>
  <si>
    <t>Tybourne Strategic Opportunities Fund II</t>
  </si>
  <si>
    <t>定稿版交易文件审阅和审批。</t>
    <phoneticPr fontId="7" type="noConversion"/>
  </si>
  <si>
    <t>爱钥科技</t>
    <phoneticPr fontId="7" type="noConversion"/>
  </si>
  <si>
    <t>杭州爱钥-借款承诺函与董事会决议原件借阅内部沟通和邮件</t>
  </si>
  <si>
    <t>Project Hockey</t>
  </si>
  <si>
    <t>Dragonfly项目启动安排和内部沟通会</t>
    <phoneticPr fontId="7" type="noConversion"/>
  </si>
  <si>
    <t>Khosla IX/Seed G/Opp III项目启动和Kickoff文件审阅。</t>
    <phoneticPr fontId="7" type="noConversion"/>
  </si>
  <si>
    <t>LPAC席位安排研究与沟通。</t>
    <phoneticPr fontId="7" type="noConversion"/>
  </si>
  <si>
    <t>项目情况沟通。</t>
    <phoneticPr fontId="7" type="noConversion"/>
  </si>
  <si>
    <t>TPP文件审核和汇总和开会。</t>
    <phoneticPr fontId="7" type="noConversion"/>
  </si>
  <si>
    <t>更美文件讨论会。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</si>
</sst>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3" zoomScale="84" zoomScaleNormal="150" workbookViewId="0">
      <selection activeCell="G17" sqref="G17:I17"/>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18.1640625" style="13" customWidth="1"/>
    <col min="9" max="9" width="74.3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6" t="s">
        <v>81</v>
      </c>
      <c r="E4" s="8" t="s">
        <v>40</v>
      </c>
      <c r="F4" s="12" t="s">
        <v>73</v>
      </c>
      <c r="G4" s="8">
        <v>0.3</v>
      </c>
      <c r="H4" s="12" t="s">
        <v>20</v>
      </c>
      <c r="I4" s="25" t="s">
        <v>82</v>
      </c>
    </row>
    <row r="5" spans="2:9" ht="28">
      <c r="B5" s="14" t="s">
        <v>72</v>
      </c>
      <c r="C5" s="12" t="s">
        <v>14</v>
      </c>
      <c r="D5" s="26" t="s">
        <v>83</v>
      </c>
      <c r="E5" s="8" t="s">
        <v>40</v>
      </c>
      <c r="F5" s="12" t="s">
        <v>73</v>
      </c>
      <c r="G5" s="8">
        <v>0.3</v>
      </c>
      <c r="H5" s="12" t="s">
        <v>20</v>
      </c>
      <c r="I5" s="25" t="s">
        <v>82</v>
      </c>
    </row>
    <row r="6" spans="2:9" ht="28">
      <c r="B6" s="14" t="s">
        <v>72</v>
      </c>
      <c r="C6" s="12" t="s">
        <v>14</v>
      </c>
      <c r="D6" s="26" t="s">
        <v>77</v>
      </c>
      <c r="E6" s="8" t="s">
        <v>40</v>
      </c>
      <c r="F6" s="12" t="s">
        <v>73</v>
      </c>
      <c r="G6" s="8">
        <v>1.5</v>
      </c>
      <c r="H6" s="12" t="s">
        <v>20</v>
      </c>
      <c r="I6" s="25" t="s">
        <v>84</v>
      </c>
    </row>
    <row r="7" spans="2:9" ht="28">
      <c r="B7" s="14" t="s">
        <v>72</v>
      </c>
      <c r="C7" s="12" t="s">
        <v>14</v>
      </c>
      <c r="D7" s="26" t="s">
        <v>85</v>
      </c>
      <c r="E7" s="8" t="s">
        <v>40</v>
      </c>
      <c r="F7" s="12" t="s">
        <v>73</v>
      </c>
      <c r="G7" s="8">
        <v>0.4</v>
      </c>
      <c r="H7" s="12" t="s">
        <v>20</v>
      </c>
      <c r="I7" s="25" t="s">
        <v>86</v>
      </c>
    </row>
    <row r="8" spans="2:9" ht="28">
      <c r="B8" s="14" t="s">
        <v>72</v>
      </c>
      <c r="C8" s="12" t="s">
        <v>14</v>
      </c>
      <c r="D8" s="26" t="s">
        <v>87</v>
      </c>
      <c r="E8" s="8" t="s">
        <v>40</v>
      </c>
      <c r="F8" s="12" t="s">
        <v>73</v>
      </c>
      <c r="G8" s="8">
        <v>4.5</v>
      </c>
      <c r="H8" s="12" t="s">
        <v>27</v>
      </c>
      <c r="I8" s="25" t="s">
        <v>88</v>
      </c>
    </row>
    <row r="9" spans="2:9" ht="28">
      <c r="B9" s="14" t="s">
        <v>72</v>
      </c>
      <c r="C9" s="12" t="s">
        <v>14</v>
      </c>
      <c r="D9" s="26"/>
      <c r="E9" s="8" t="s">
        <v>40</v>
      </c>
      <c r="F9" s="12" t="s">
        <v>73</v>
      </c>
      <c r="G9" s="8">
        <v>2</v>
      </c>
      <c r="H9" s="12" t="s">
        <v>20</v>
      </c>
      <c r="I9" s="25" t="s">
        <v>89</v>
      </c>
    </row>
    <row r="10" spans="2:9" ht="28">
      <c r="B10" s="14" t="s">
        <v>72</v>
      </c>
      <c r="C10" s="12" t="s">
        <v>14</v>
      </c>
      <c r="D10" s="26" t="s">
        <v>79</v>
      </c>
      <c r="E10" s="8" t="s">
        <v>40</v>
      </c>
      <c r="F10" s="12" t="s">
        <v>73</v>
      </c>
      <c r="G10" s="26">
        <v>2.5</v>
      </c>
      <c r="H10" s="12" t="s">
        <v>27</v>
      </c>
      <c r="I10" s="25" t="s">
        <v>90</v>
      </c>
    </row>
    <row r="11" spans="2:9" ht="28">
      <c r="B11" s="14" t="s">
        <v>72</v>
      </c>
      <c r="C11" s="12" t="s">
        <v>14</v>
      </c>
      <c r="D11" s="26" t="s">
        <v>78</v>
      </c>
      <c r="E11" s="8" t="s">
        <v>40</v>
      </c>
      <c r="F11" s="12" t="s">
        <v>73</v>
      </c>
      <c r="G11" s="8">
        <v>1.3</v>
      </c>
      <c r="H11" s="12" t="s">
        <v>27</v>
      </c>
      <c r="I11" s="25" t="s">
        <v>91</v>
      </c>
    </row>
    <row r="12" spans="2:9" ht="28">
      <c r="B12" s="14" t="s">
        <v>72</v>
      </c>
      <c r="C12" s="12" t="s">
        <v>14</v>
      </c>
      <c r="D12" s="26" t="s">
        <v>75</v>
      </c>
      <c r="E12" s="8" t="s">
        <v>40</v>
      </c>
      <c r="F12" s="12" t="s">
        <v>73</v>
      </c>
      <c r="G12" s="8">
        <v>2</v>
      </c>
      <c r="H12" s="12" t="s">
        <v>27</v>
      </c>
      <c r="I12" s="25" t="s">
        <v>93</v>
      </c>
    </row>
    <row r="13" spans="2:9" ht="28">
      <c r="B13" s="14" t="s">
        <v>72</v>
      </c>
      <c r="C13" s="12" t="s">
        <v>14</v>
      </c>
      <c r="D13" s="26"/>
      <c r="E13" s="8" t="s">
        <v>40</v>
      </c>
      <c r="F13" s="12" t="s">
        <v>73</v>
      </c>
      <c r="G13" s="8">
        <v>9</v>
      </c>
      <c r="H13" s="12" t="s">
        <v>27</v>
      </c>
      <c r="I13" s="25" t="s">
        <v>80</v>
      </c>
    </row>
    <row r="14" spans="2:9" ht="28">
      <c r="B14" s="14" t="s">
        <v>72</v>
      </c>
      <c r="C14" s="12" t="s">
        <v>14</v>
      </c>
      <c r="D14" s="26"/>
      <c r="E14" s="8" t="s">
        <v>40</v>
      </c>
      <c r="F14" s="12" t="s">
        <v>73</v>
      </c>
      <c r="G14" s="8">
        <v>4.5</v>
      </c>
      <c r="H14" s="12" t="s">
        <v>27</v>
      </c>
      <c r="I14" s="25" t="s">
        <v>76</v>
      </c>
    </row>
    <row r="15" spans="2:9" ht="28">
      <c r="B15" s="14" t="s">
        <v>72</v>
      </c>
      <c r="C15" s="12" t="s">
        <v>14</v>
      </c>
      <c r="D15" s="26"/>
      <c r="E15" s="8" t="s">
        <v>40</v>
      </c>
      <c r="F15" s="12" t="s">
        <v>73</v>
      </c>
      <c r="G15" s="8">
        <v>4.5</v>
      </c>
      <c r="H15" s="12" t="s">
        <v>27</v>
      </c>
      <c r="I15" s="25" t="s">
        <v>92</v>
      </c>
    </row>
    <row r="16" spans="2:9">
      <c r="B16" s="14" t="s">
        <v>72</v>
      </c>
      <c r="C16" s="27" t="s">
        <v>18</v>
      </c>
      <c r="D16" s="26"/>
      <c r="E16" s="8" t="s">
        <v>27</v>
      </c>
      <c r="F16" s="27"/>
      <c r="G16" s="26">
        <v>1</v>
      </c>
      <c r="H16" s="27" t="s">
        <v>27</v>
      </c>
      <c r="I16" s="25" t="s">
        <v>74</v>
      </c>
    </row>
    <row r="17" spans="2:9">
      <c r="B17" s="20"/>
      <c r="C17" s="21"/>
      <c r="D17" s="22"/>
      <c r="E17" s="22"/>
      <c r="F17" s="24" t="s">
        <v>67</v>
      </c>
      <c r="G17" s="31">
        <f>SUM(G3:G16)</f>
        <v>33.799999999999997</v>
      </c>
      <c r="H17" s="32"/>
      <c r="I17" s="33"/>
    </row>
    <row r="18" spans="2:9" ht="16" thickBot="1">
      <c r="B18" s="17"/>
      <c r="C18" s="18"/>
      <c r="D18" s="19"/>
      <c r="E18" s="19"/>
      <c r="F18" s="23" t="s">
        <v>68</v>
      </c>
      <c r="G18" s="28"/>
      <c r="H18" s="29"/>
      <c r="I18" s="30"/>
    </row>
    <row r="19" spans="2:9" ht="16" thickTop="1"/>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C17:C18 C4:C12 C13:C15</xm:sqref>
        </x14:dataValidation>
        <x14:dataValidation type="list" allowBlank="1" showInputMessage="1" showErrorMessage="1" xr:uid="{00000000-0002-0000-0000-000003000000}">
          <x14:formula1>
            <xm:f>数据标签!$B$11:$D$11</xm:f>
          </x14:formula1>
          <xm:sqref>E4:E18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2025-02-10T10:11:56Z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