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ningliu/Documents/- CTD /# Timesheet/2. Weipan version/"/>
    </mc:Choice>
  </mc:AlternateContent>
  <xr:revisionPtr revIDLastSave="0" documentId="13_ncr:1_{00B776D5-7978-C04C-813C-036C62DDFA38}" xr6:coauthVersionLast="47" xr6:coauthVersionMax="47" xr10:uidLastSave="{00000000-0000-0000-0000-000000000000}"/>
  <bookViews>
    <workbookView xWindow="46700" yWindow="-1620" windowWidth="29400" windowHeight="279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<sst xmlns="http://schemas.openxmlformats.org/spreadsheetml/2006/main" count="208" uniqueCount="102">
  <si>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</si>
  <si>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</si>
  <si>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</si>
  <si>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</si>
  <si>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</si>
  <si>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</si>
  <si>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</si>
  <si>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</si>
  <si>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</si>
  <si>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</si>
  <si>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</si>
  <si>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</si>
  <si>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</si>
  <si>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</si>
  <si>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</si>
  <si>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</si>
  <si>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</si>
  <si>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</si>
  <si>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</si>
  <si>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</si>
  <si>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</si>
  <si>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</si>
  <si>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</si>
  <si>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</si>
  <si>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</si>
  <si>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</si>
  <si>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</si>
  <si>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</si>
  <si>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</si>
  <si>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</si>
  <si>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</si>
  <si>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</si>
  <si>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</si>
  <si>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</si>
  <si>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</si>
  <si>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</si>
  <si>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</si>
  <si>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</si>
  <si>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</si>
  <si>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</si>
  <si>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</si>
  <si>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</si>
  <si>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</si>
  <si>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</si>
  <si>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</si>
  <si>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</si>
  <si>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</si>
  <si>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</si>
  <si>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</si>
  <si>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</si>
  <si>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</si>
  <si>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</si>
  <si>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</si>
  <si>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</si>
  <si>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</si>
  <si>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</si>
  <si>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</si>
  <si>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</si>
  <si>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</si>
  <si>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</si>
  <si>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</si>
  <si>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</si>
  <si>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</si>
  <si>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</si>
  <si>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</si>
  <si>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</si>
  <si>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</si>
  <si>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</si>
  <si>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</si>
  <si>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</si>
  <si>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</si>
  <si>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</si>
  <si>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</si>
  <si>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</si>
  <si>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小时单&amp;deals update</t>
    <phoneticPr fontId="7" type="noConversion"/>
  </si>
  <si>
    <t>Crytek</t>
    <phoneticPr fontId="7" type="noConversion"/>
  </si>
  <si>
    <t>精细化管理工具搭建 Adoption of refined management tools</t>
  </si>
  <si>
    <t>Recording/reviewing deals updates/weekly time reports/other team summaries</t>
  </si>
  <si>
    <t>DST</t>
    <phoneticPr fontId="7" type="noConversion"/>
  </si>
  <si>
    <t>杏泽四期</t>
    <phoneticPr fontId="7" type="noConversion"/>
  </si>
  <si>
    <t>SEON</t>
    <phoneticPr fontId="7" type="noConversion"/>
  </si>
  <si>
    <t>Public - Knowledge Accumulation &amp; Sharing</t>
  </si>
  <si>
    <t>Providing training sessions/knowledge sharing</t>
  </si>
  <si>
    <t>Hotdesk 项目咨询</t>
    <phoneticPr fontId="7" type="noConversion"/>
  </si>
  <si>
    <t>投后管理</t>
    <phoneticPr fontId="7" type="noConversion"/>
  </si>
  <si>
    <t>Hotdesk 项目 fund of one</t>
    <phoneticPr fontId="7" type="noConversion"/>
  </si>
  <si>
    <t>Hotdesk 项目 CFIUS fund questionnaire</t>
    <phoneticPr fontId="7" type="noConversion"/>
  </si>
  <si>
    <t>电话会和信息同步</t>
  </si>
  <si>
    <t xml:space="preserve"> 关于苏州基金LPAC相关事宜的合伙人决议 </t>
  </si>
  <si>
    <t>夏尔巴三期</t>
    <phoneticPr fontId="7" type="noConversion"/>
  </si>
  <si>
    <t>夏尔巴文件审阅 SL 和工商文件</t>
  </si>
  <si>
    <t>砺思资本人民币一期</t>
  </si>
  <si>
    <t xml:space="preserve">文件与FIN沟通 </t>
    <phoneticPr fontId="7" type="noConversion"/>
  </si>
  <si>
    <t>建大静态交通</t>
  </si>
  <si>
    <t>Signia Venture Partners III</t>
  </si>
  <si>
    <t>KYC</t>
    <phoneticPr fontId="7" type="noConversion"/>
  </si>
  <si>
    <t xml:space="preserve">文件审阅，律师费+文件审阅加律师费申请和梳理 </t>
    <phoneticPr fontId="7" type="noConversion"/>
  </si>
  <si>
    <t>春雨医生</t>
  </si>
  <si>
    <t>公司整体回购的决议和开会</t>
    <phoneticPr fontId="7" type="noConversion"/>
  </si>
  <si>
    <t>分配通知、合伙人减少认缴出资额工商材料</t>
  </si>
  <si>
    <t>弘卓芯片基金</t>
    <phoneticPr fontId="7" type="noConversion"/>
  </si>
  <si>
    <t>DDR+CFIUS+跟进项目文件和报告+LFs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</si>
</sst>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110" zoomScaleNormal="110" workbookViewId="0">
      <selection activeCell="I17" sqref="I17"/>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9" t="s">
        <v>12</v>
      </c>
    </row>
    <row r="4" spans="2:9" ht="42">
      <c r="B4" s="13" t="s">
        <v>72</v>
      </c>
      <c r="C4" s="11" t="s">
        <v>14</v>
      </c>
      <c r="D4" s="24" t="s">
        <v>79</v>
      </c>
      <c r="E4" s="8" t="s">
        <v>40</v>
      </c>
      <c r="F4" s="11" t="s">
        <v>73</v>
      </c>
      <c r="G4" s="8">
        <v>2.2999999999999998</v>
      </c>
      <c r="H4" s="11" t="s">
        <v>20</v>
      </c>
      <c r="I4" s="27" t="s">
        <v>88</v>
      </c>
    </row>
    <row r="5" spans="2:9" ht="42">
      <c r="B5" s="13" t="s">
        <v>72</v>
      </c>
      <c r="C5" s="11" t="s">
        <v>14</v>
      </c>
      <c r="D5" s="24" t="s">
        <v>80</v>
      </c>
      <c r="E5" s="8" t="s">
        <v>40</v>
      </c>
      <c r="F5" s="11" t="s">
        <v>73</v>
      </c>
      <c r="G5" s="24">
        <v>16.7</v>
      </c>
      <c r="H5" s="11" t="s">
        <v>20</v>
      </c>
      <c r="I5" s="27" t="s">
        <v>101</v>
      </c>
    </row>
    <row r="6" spans="2:9" ht="42">
      <c r="B6" s="13" t="s">
        <v>72</v>
      </c>
      <c r="C6" s="11" t="s">
        <v>14</v>
      </c>
      <c r="D6" s="24" t="s">
        <v>89</v>
      </c>
      <c r="E6" s="8" t="s">
        <v>40</v>
      </c>
      <c r="F6" s="11" t="s">
        <v>73</v>
      </c>
      <c r="G6" s="24">
        <v>4.2</v>
      </c>
      <c r="H6" s="11" t="s">
        <v>20</v>
      </c>
      <c r="I6" s="27" t="s">
        <v>90</v>
      </c>
    </row>
    <row r="7" spans="2:9" ht="42">
      <c r="B7" s="13" t="s">
        <v>72</v>
      </c>
      <c r="C7" s="11" t="s">
        <v>14</v>
      </c>
      <c r="D7" s="24" t="s">
        <v>78</v>
      </c>
      <c r="E7" s="8" t="s">
        <v>40</v>
      </c>
      <c r="F7" s="11" t="s">
        <v>73</v>
      </c>
      <c r="G7" s="8">
        <v>1</v>
      </c>
      <c r="H7" s="11" t="s">
        <v>20</v>
      </c>
      <c r="I7" s="27" t="s">
        <v>92</v>
      </c>
    </row>
    <row r="8" spans="2:9" ht="42">
      <c r="B8" s="13" t="s">
        <v>72</v>
      </c>
      <c r="C8" s="11" t="s">
        <v>14</v>
      </c>
      <c r="D8" s="24" t="s">
        <v>93</v>
      </c>
      <c r="E8" s="8" t="s">
        <v>40</v>
      </c>
      <c r="F8" s="11" t="s">
        <v>73</v>
      </c>
      <c r="G8" s="8">
        <v>3</v>
      </c>
      <c r="H8" s="11" t="s">
        <v>20</v>
      </c>
      <c r="I8" s="27" t="s">
        <v>84</v>
      </c>
    </row>
    <row r="9" spans="2:9" ht="28">
      <c r="B9" s="13" t="s">
        <v>72</v>
      </c>
      <c r="C9" s="11" t="s">
        <v>14</v>
      </c>
      <c r="D9" s="24" t="s">
        <v>94</v>
      </c>
      <c r="E9" s="8" t="s">
        <v>40</v>
      </c>
      <c r="F9" s="11" t="s">
        <v>73</v>
      </c>
      <c r="G9" s="8">
        <v>0.3</v>
      </c>
      <c r="H9" s="11" t="s">
        <v>36</v>
      </c>
      <c r="I9" s="27" t="s">
        <v>95</v>
      </c>
    </row>
    <row r="10" spans="2:9" ht="42">
      <c r="B10" s="13" t="s">
        <v>72</v>
      </c>
      <c r="C10" s="11" t="s">
        <v>14</v>
      </c>
      <c r="D10" s="24" t="s">
        <v>75</v>
      </c>
      <c r="E10" s="8" t="s">
        <v>40</v>
      </c>
      <c r="F10" s="11" t="s">
        <v>73</v>
      </c>
      <c r="G10" s="8">
        <v>6</v>
      </c>
      <c r="H10" s="11" t="s">
        <v>20</v>
      </c>
      <c r="I10" s="27" t="s">
        <v>96</v>
      </c>
    </row>
    <row r="11" spans="2:9" ht="42">
      <c r="B11" s="13" t="s">
        <v>72</v>
      </c>
      <c r="C11" s="11" t="s">
        <v>14</v>
      </c>
      <c r="D11" s="24" t="s">
        <v>100</v>
      </c>
      <c r="E11" s="8" t="s">
        <v>40</v>
      </c>
      <c r="F11" s="11" t="s">
        <v>73</v>
      </c>
      <c r="G11" s="24">
        <v>1.2</v>
      </c>
      <c r="H11" s="11" t="s">
        <v>20</v>
      </c>
      <c r="I11" s="27" t="s">
        <v>99</v>
      </c>
    </row>
    <row r="12" spans="2:9" ht="42">
      <c r="B12" s="13" t="s">
        <v>72</v>
      </c>
      <c r="C12" s="11" t="s">
        <v>14</v>
      </c>
      <c r="D12" s="24" t="s">
        <v>91</v>
      </c>
      <c r="E12" s="8" t="s">
        <v>40</v>
      </c>
      <c r="F12" s="11" t="s">
        <v>73</v>
      </c>
      <c r="G12" s="24">
        <v>1.7</v>
      </c>
      <c r="H12" s="11" t="s">
        <v>20</v>
      </c>
      <c r="I12" s="27" t="s">
        <v>87</v>
      </c>
    </row>
    <row r="13" spans="2:9" ht="42">
      <c r="B13" s="13" t="s">
        <v>72</v>
      </c>
      <c r="C13" s="11" t="s">
        <v>14</v>
      </c>
      <c r="D13" s="24" t="s">
        <v>97</v>
      </c>
      <c r="E13" s="8" t="s">
        <v>40</v>
      </c>
      <c r="F13" s="11" t="s">
        <v>73</v>
      </c>
      <c r="G13" s="24">
        <v>4.9000000000000004</v>
      </c>
      <c r="H13" s="11" t="s">
        <v>20</v>
      </c>
      <c r="I13" s="27" t="s">
        <v>98</v>
      </c>
    </row>
    <row r="14" spans="2:9" ht="42">
      <c r="B14" s="13" t="s">
        <v>72</v>
      </c>
      <c r="C14" s="25" t="s">
        <v>81</v>
      </c>
      <c r="D14" s="24"/>
      <c r="E14" s="24" t="s">
        <v>40</v>
      </c>
      <c r="F14" s="25" t="s">
        <v>73</v>
      </c>
      <c r="G14" s="24">
        <v>7.2</v>
      </c>
      <c r="H14" s="25" t="s">
        <v>82</v>
      </c>
      <c r="I14" s="27" t="s">
        <v>85</v>
      </c>
    </row>
    <row r="15" spans="2:9" ht="42">
      <c r="B15" s="13" t="s">
        <v>72</v>
      </c>
      <c r="C15" s="25" t="s">
        <v>81</v>
      </c>
      <c r="D15" s="24"/>
      <c r="E15" s="24" t="s">
        <v>40</v>
      </c>
      <c r="F15" s="25" t="s">
        <v>73</v>
      </c>
      <c r="G15" s="24"/>
      <c r="H15" s="25" t="s">
        <v>82</v>
      </c>
      <c r="I15" s="27" t="s">
        <v>86</v>
      </c>
    </row>
    <row r="16" spans="2:9" ht="42">
      <c r="B16" s="13" t="s">
        <v>72</v>
      </c>
      <c r="C16" s="25" t="s">
        <v>81</v>
      </c>
      <c r="D16" s="24"/>
      <c r="E16" s="24" t="s">
        <v>40</v>
      </c>
      <c r="F16" s="25" t="s">
        <v>73</v>
      </c>
      <c r="G16" s="24">
        <v>0.6</v>
      </c>
      <c r="H16" s="25" t="s">
        <v>82</v>
      </c>
      <c r="I16" s="27" t="s">
        <v>83</v>
      </c>
    </row>
    <row r="17" spans="2:9" ht="56">
      <c r="B17" s="13" t="s">
        <v>72</v>
      </c>
      <c r="C17" s="25" t="s">
        <v>18</v>
      </c>
      <c r="D17" s="24"/>
      <c r="E17" s="8" t="s">
        <v>40</v>
      </c>
      <c r="F17" s="25" t="s">
        <v>76</v>
      </c>
      <c r="G17" s="24">
        <v>1.2</v>
      </c>
      <c r="H17" s="25" t="s">
        <v>77</v>
      </c>
      <c r="I17" s="27" t="s">
        <v>74</v>
      </c>
    </row>
    <row r="18" spans="2:9">
      <c r="B18" s="19"/>
      <c r="C18" s="20"/>
      <c r="D18" s="21"/>
      <c r="E18" s="21"/>
      <c r="F18" s="23" t="s">
        <v>67</v>
      </c>
      <c r="G18" s="31">
        <f>SUM(G3:G17)</f>
        <v>50.300000000000011</v>
      </c>
      <c r="H18" s="32"/>
      <c r="I18" s="33"/>
    </row>
    <row r="19" spans="2:9" ht="16" thickBot="1">
      <c r="B19" s="16"/>
      <c r="C19" s="17"/>
      <c r="D19" s="18"/>
      <c r="E19" s="18"/>
      <c r="F19" s="22" t="s">
        <v>68</v>
      </c>
      <c r="G19" s="28">
        <v>5</v>
      </c>
      <c r="H19" s="29"/>
      <c r="I19" s="30"/>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C18:C19 C4:C16</xm:sqref>
        </x14:dataValidation>
        <x14:dataValidation type="list" allowBlank="1" showInputMessage="1" showErrorMessage="1" xr:uid="{00000000-0002-0000-0000-000003000000}">
          <x14:formula1>
            <xm:f>数据标签!$B$11:$D$11</xm:f>
          </x14:formula1>
          <xm:sqref>E17:E19 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2025-06-03T13:13:07Z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