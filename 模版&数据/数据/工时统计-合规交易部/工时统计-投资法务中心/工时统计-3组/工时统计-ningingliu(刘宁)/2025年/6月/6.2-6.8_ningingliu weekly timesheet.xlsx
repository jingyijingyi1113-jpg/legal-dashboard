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ningliu/Documents/- CTD /# Timesheet/2025 Q3/"/>
    </mc:Choice>
  </mc:AlternateContent>
  <xr:revisionPtr revIDLastSave="0" documentId="13_ncr:1_{F933390F-302C-1C49-80F0-EB4135F93BD3}" xr6:coauthVersionLast="47" xr6:coauthVersionMax="47" xr10:uidLastSave="{00000000-0000-0000-0000-000000000000}"/>
  <bookViews>
    <workbookView xWindow="40360" yWindow="-9180" windowWidth="28560" windowHeight="265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<sst xmlns="http://schemas.openxmlformats.org/spreadsheetml/2006/main" count="193" uniqueCount="100">
  <si>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</si>
  <si>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</si>
  <si>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</si>
  <si>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</si>
  <si>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</si>
  <si>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</si>
  <si>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</si>
  <si>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</si>
  <si>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</si>
  <si>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</si>
  <si>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</si>
  <si>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</si>
  <si>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</si>
  <si>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</si>
  <si>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</si>
  <si>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</si>
  <si>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</si>
  <si>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</si>
  <si>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</si>
  <si>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</si>
  <si>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</si>
  <si>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</si>
  <si>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</si>
  <si>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</si>
  <si>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</si>
  <si>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</si>
  <si>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</si>
  <si>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</si>
  <si>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</si>
  <si>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</si>
  <si>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</si>
  <si>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</si>
  <si>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</si>
  <si>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</si>
  <si>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</si>
  <si>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</si>
  <si>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</si>
  <si>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</si>
  <si>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</si>
  <si>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</si>
  <si>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</si>
  <si>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</si>
  <si>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</si>
  <si>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3" type="noConversion"/>
  </si>
  <si>
    <t>敏感投资领域投资指引 Guidance for sensitive investment fields</t>
    <phoneticPr fontId="3" type="noConversion"/>
  </si>
  <si>
    <t>资本市场、投融资活动创新突破 Innovative breakthroughs in investments and capital market transactions</t>
    <phoneticPr fontId="3" type="noConversion"/>
  </si>
  <si>
    <t>境内外主体/办公室合规管理 Compliance management for domestic and overseas entities/offices</t>
    <phoneticPr fontId="3" type="noConversion"/>
  </si>
  <si>
    <t>反洗钱及制裁法务支持 Legal support for anti-money laundering and sanctions compliance</t>
    <phoneticPr fontId="3" type="noConversion"/>
  </si>
  <si>
    <t>资本市场证券交易全流程合规体系建设 Full-process compliance system  for securities trading in capital markets</t>
    <phoneticPr fontId="3" type="noConversion"/>
  </si>
  <si>
    <t>控股和重点投资公司法务风险管理 Legal risk management for controlled and key invested portfolios</t>
    <phoneticPr fontId="3" type="noConversion"/>
  </si>
  <si>
    <t>海外投资合规管理 Overseas investment compliance management</t>
    <phoneticPr fontId="3" type="noConversion"/>
  </si>
  <si>
    <t>执业管理平台体系完善 Perfection of the professional management platform</t>
    <phoneticPr fontId="3" type="noConversion"/>
  </si>
  <si>
    <t>优化Hotdesk和专家组制度 Optimization of Hotdesk and expert panel system</t>
    <phoneticPr fontId="3" type="noConversion"/>
  </si>
  <si>
    <t>精细化管理工具搭建 Adoption of refined management tools</t>
    <phoneticPr fontId="3" type="noConversion"/>
  </si>
  <si>
    <t>境内投融资资本市场监管发展与重大政策争取与风险应对 Regulatory compliance in domestic investments and capital markets; lobbying for major policies and risk mitigation</t>
    <phoneticPr fontId="3" type="noConversion"/>
  </si>
  <si>
    <t>投资项目全流程法务支持 Full-process legal support for investments</t>
    <phoneticPr fontId="3" type="noConversion"/>
  </si>
  <si>
    <t xml:space="preserve"> </t>
    <phoneticPr fontId="3" type="noConversion"/>
  </si>
  <si>
    <t xml:space="preserve">如为CTD-投资法务中心BSC或OKR事项，请相应勾选下拉菜单中的BSC/OKR事项选项
In the case of a CTD-ILC BSC or OKR item, please select the detailed item in the drop-down menu </t>
    <phoneticPr fontId="3" type="noConversion"/>
  </si>
  <si>
    <t>Providing training sessions/knowledge sharing</t>
    <phoneticPr fontId="3" type="noConversion"/>
  </si>
  <si>
    <t>请确认该项事务是否为CTD-投资法务中心的OKR事项
Confirm whether it's a CTD-ILC OKR iteam</t>
    <phoneticPr fontId="3" type="noConversion"/>
  </si>
  <si>
    <t>Public - Knowledge Accumulation &amp; Sharing</t>
    <phoneticPr fontId="3" type="noConversion"/>
  </si>
  <si>
    <t>Recording/reviewing deals updates/weekly time reports/other team summaries</t>
    <phoneticPr fontId="3" type="noConversion"/>
  </si>
  <si>
    <t>Establishing/improving IT systems</t>
    <phoneticPr fontId="3" type="noConversion"/>
  </si>
  <si>
    <t>金融投资公司业务合规管理 Compliance management for  invested financial portfolios</t>
    <phoneticPr fontId="3" type="noConversion"/>
  </si>
  <si>
    <t>国际业务(投资)监管应对Interaction with regulators for international investments</t>
    <phoneticPr fontId="3" type="noConversion"/>
  </si>
  <si>
    <t>国际监管趋势监测、预判 Monitoring and forecasting international regulatory trends</t>
    <phoneticPr fontId="3" type="noConversion"/>
  </si>
  <si>
    <t>Others</t>
    <phoneticPr fontId="3" type="noConversion"/>
  </si>
  <si>
    <t xml:space="preserve">Total Hours:  </t>
    <phoneticPr fontId="3" type="noConversion"/>
  </si>
  <si>
    <t>Number of Actual Working Days:</t>
    <phoneticPr fontId="3" type="noConversion"/>
  </si>
  <si>
    <t>Public - Infrastructure &amp; Guidance</t>
    <phoneticPr fontId="3" type="noConversion"/>
  </si>
  <si>
    <t>Deal/Matter Category</t>
    <phoneticPr fontId="3" type="noConversion"/>
  </si>
  <si>
    <t>Interacting with regulators</t>
    <phoneticPr fontId="3" type="noConversion"/>
  </si>
  <si>
    <t>ningingliu</t>
    <phoneticPr fontId="3" type="noConversion"/>
  </si>
  <si>
    <t>投资项目全流程法务支持 Full-process legal support for investments</t>
  </si>
  <si>
    <t>小时单&amp;deals update</t>
    <phoneticPr fontId="3" type="noConversion"/>
  </si>
  <si>
    <t>Crytek</t>
    <phoneticPr fontId="3" type="noConversion"/>
  </si>
  <si>
    <t>夏尔巴三期</t>
    <phoneticPr fontId="3" type="noConversion"/>
  </si>
  <si>
    <t>精细化管理工具搭建 Adoption of refined management tools</t>
  </si>
  <si>
    <t>Recording/reviewing deals updates/weekly time reports/other team summaries</t>
  </si>
  <si>
    <t>DST</t>
    <phoneticPr fontId="3" type="noConversion"/>
  </si>
  <si>
    <t>Public - Infrastructure &amp; Guidance</t>
  </si>
  <si>
    <t>智谱科技</t>
    <phoneticPr fontId="3" type="noConversion"/>
  </si>
  <si>
    <t>当乐</t>
    <phoneticPr fontId="3" type="noConversion"/>
  </si>
  <si>
    <t>回购Cap table计算表</t>
    <phoneticPr fontId="3" type="noConversion"/>
  </si>
  <si>
    <t>电话会议预约和讨论。</t>
    <phoneticPr fontId="3" type="noConversion"/>
  </si>
  <si>
    <t>更美</t>
    <phoneticPr fontId="3" type="noConversion"/>
  </si>
  <si>
    <t xml:space="preserve">反稀释融资文件审阅和汇总意见。 </t>
    <phoneticPr fontId="3" type="noConversion"/>
  </si>
  <si>
    <t>SEON</t>
    <phoneticPr fontId="3" type="noConversion"/>
  </si>
  <si>
    <t>CFIUS反馈</t>
    <phoneticPr fontId="3" type="noConversion"/>
  </si>
  <si>
    <t>【方达活动】资本变局下的进与退——中企和投资者美股退市风险应对策略</t>
    <phoneticPr fontId="3" type="noConversion"/>
  </si>
  <si>
    <t>项目跟进，回复内部项目统计,FDI历史问题核查+税务问题问询Ingo.</t>
    <phoneticPr fontId="3" type="noConversion"/>
  </si>
  <si>
    <t xml:space="preserve">投后管理 KYC </t>
    <phoneticPr fontId="3" type="noConversion"/>
  </si>
  <si>
    <t>投后管理，定稿文件分享。</t>
    <phoneticPr fontId="3" type="noConversion"/>
  </si>
  <si>
    <t>Public - Knowledge Accumulation &amp; Sharing</t>
  </si>
  <si>
    <t>项目条款讨论以及CTD群里项目进展分享。</t>
    <phoneticPr fontId="3" type="noConversion"/>
  </si>
  <si>
    <t>Fund of one文件更新+向GP发送反馈版本 + 5月hotdesk工作总结</t>
    <phoneticPr fontId="3" type="noConversion"/>
  </si>
  <si>
    <t>Investment Related - M&amp;A Deal</t>
    <phoneticPr fontId="3" type="noConversion"/>
  </si>
  <si>
    <t>BSC</t>
    <phoneticPr fontId="3" type="noConversion"/>
  </si>
  <si>
    <t>Atomico IV, L.P.</t>
    <phoneticPr fontId="3" type="noConversion"/>
  </si>
  <si>
    <t>安排律师项目启动, 决议文件审阅。</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</si>
</sst>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charset val="134"/>
      <scheme val="minor"/>
    </font>
    <font>
      <sz val="10"/>
      <color theme="1"/>
      <name val="等线"/>
      <family val="2"/>
      <scheme val="minor"/>
    </font>
    <font>
      <sz val="10"/>
      <name val="等线"/>
      <family val="3"/>
      <charset val="134"/>
    </font>
    <font>
      <sz val="9"/>
      <name val="等线"/>
      <family val="3"/>
      <charset val="134"/>
      <scheme val="minor"/>
    </font>
    <font>
      <sz val="10"/>
      <color theme="1"/>
      <name val="等线"/>
      <family val="3"/>
      <charset val="134"/>
    </font>
    <font>
      <b/>
      <sz val="12"/>
      <color theme="4" tint="-0.499984740745262"/>
      <name val="等线"/>
      <family val="2"/>
      <scheme val="minor"/>
    </font>
    <font>
      <b/>
      <i/>
      <sz val="12"/>
      <color theme="4" tint="-0.499984740745262"/>
      <name val="等线"/>
      <family val="2"/>
      <scheme val="minor"/>
    </font>
    <font>
      <sz val="12"/>
      <color theme="1"/>
      <name val="等线"/>
      <family val="4"/>
      <charset val="134"/>
      <scheme val="minor"/>
    </font>
    <font>
      <sz val="12"/>
      <color theme="4" tint="-0.499984740745262"/>
      <name val="等线"/>
      <family val="2"/>
      <scheme val="minor"/>
    </font>
    <font>
      <sz val="12"/>
      <color theme="1"/>
      <name val="等线"/>
      <family val="2"/>
      <scheme val="minor"/>
    </font>
    <font>
      <b/>
      <sz val="16"/>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4" fillId="0" borderId="0" xfId="0" applyFont="1">
      <alignment vertical="center"/>
    </xf>
    <xf numFmtId="0" fontId="4" fillId="0" borderId="0" xfId="0" applyFont="1" applyAlignment="1">
      <alignment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7" xfId="0" applyFont="1" applyBorder="1" applyAlignment="1">
      <alignment horizontal="center" vertical="center" wrapText="1"/>
    </xf>
    <xf numFmtId="0" fontId="7" fillId="0" borderId="0" xfId="0" applyFont="1">
      <alignment vertical="center"/>
    </xf>
    <xf numFmtId="0" fontId="8" fillId="2" borderId="3" xfId="0" applyFont="1" applyFill="1" applyBorder="1" applyAlignment="1">
      <alignment vertical="center" wrapText="1"/>
    </xf>
    <xf numFmtId="0" fontId="8" fillId="2" borderId="4" xfId="0" applyFont="1" applyFill="1" applyBorder="1" applyAlignment="1">
      <alignment vertical="center" wrapText="1"/>
    </xf>
    <xf numFmtId="0" fontId="8" fillId="2" borderId="8" xfId="0" applyFont="1" applyFill="1" applyBorder="1" applyAlignment="1">
      <alignmen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8" xfId="0" applyFont="1" applyBorder="1" applyAlignment="1">
      <alignment vertical="center" wrapText="1"/>
    </xf>
    <xf numFmtId="0" fontId="9" fillId="0" borderId="9" xfId="0" applyFont="1" applyBorder="1">
      <alignment vertical="center"/>
    </xf>
    <xf numFmtId="0" fontId="9" fillId="0" borderId="10" xfId="0" applyFont="1" applyBorder="1" applyAlignment="1">
      <alignment vertical="center" wrapText="1"/>
    </xf>
    <xf numFmtId="0" fontId="9" fillId="0" borderId="10" xfId="0" applyFont="1" applyBorder="1">
      <alignment vertical="center"/>
    </xf>
    <xf numFmtId="0" fontId="9" fillId="0" borderId="16" xfId="0" applyFont="1" applyBorder="1" applyAlignment="1">
      <alignment horizontal="right" vertical="center" wrapText="1"/>
    </xf>
    <xf numFmtId="0" fontId="9" fillId="0" borderId="5" xfId="0" applyFont="1" applyBorder="1">
      <alignment vertical="center"/>
    </xf>
    <xf numFmtId="0" fontId="9" fillId="0" borderId="6" xfId="0" applyFont="1" applyBorder="1" applyAlignment="1">
      <alignment vertical="center" wrapText="1"/>
    </xf>
    <xf numFmtId="0" fontId="9" fillId="0" borderId="6" xfId="0" applyFont="1" applyBorder="1">
      <alignment vertical="center"/>
    </xf>
    <xf numFmtId="0" fontId="9" fillId="0" borderId="12" xfId="0" applyFont="1" applyBorder="1" applyAlignment="1">
      <alignment horizontal="right" vertical="center" wrapText="1"/>
    </xf>
    <xf numFmtId="0" fontId="7" fillId="0" borderId="0" xfId="0" applyFont="1" applyAlignment="1">
      <alignment vertical="center" wrapText="1"/>
    </xf>
    <xf numFmtId="0" fontId="10" fillId="0" borderId="4" xfId="0" applyFont="1" applyBorder="1">
      <alignment vertical="center"/>
    </xf>
    <xf numFmtId="0" fontId="9" fillId="0" borderId="13" xfId="0" applyFont="1" applyBorder="1" applyAlignment="1">
      <alignment horizontal="left" vertical="center"/>
    </xf>
    <xf numFmtId="0" fontId="9" fillId="0" borderId="14" xfId="0" applyFont="1" applyBorder="1" applyAlignment="1">
      <alignment horizontal="left" vertical="center"/>
    </xf>
    <xf numFmtId="0" fontId="9" fillId="0" borderId="15" xfId="0" applyFont="1" applyBorder="1" applyAlignment="1">
      <alignment horizontal="left" vertical="center"/>
    </xf>
    <xf numFmtId="0" fontId="9" fillId="0" borderId="17" xfId="0" applyFont="1" applyBorder="1" applyAlignment="1">
      <alignment horizontal="left" vertical="center"/>
    </xf>
    <xf numFmtId="0" fontId="9" fillId="0" borderId="18" xfId="0" applyFont="1" applyBorder="1" applyAlignment="1">
      <alignment horizontal="left" vertical="center"/>
    </xf>
    <xf numFmtId="0" fontId="9"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zoomScaleNormal="100" workbookViewId="0">
      <selection activeCell="O11" sqref="O11"/>
    </sheetView>
  </sheetViews>
  <sheetFormatPr baseColWidth="10" defaultColWidth="9" defaultRowHeight="16"/>
  <cols>
    <col min="1" max="1" width="2.1640625" style="10" customWidth="1"/>
    <col min="2" max="2" width="9" style="10"/>
    <col min="3" max="3" width="16.1640625" style="26" customWidth="1"/>
    <col min="4" max="4" width="15.1640625" style="10" customWidth="1"/>
    <col min="5" max="5" width="10.6640625" style="10" customWidth="1"/>
    <col min="6" max="6" width="21.6640625" style="26" customWidth="1"/>
    <col min="7" max="7" width="9" style="10"/>
    <col min="8" max="8" width="18.1640625" style="26" customWidth="1"/>
    <col min="9" max="9" width="33.33203125" style="26" customWidth="1"/>
    <col min="10" max="16384" width="9" style="10"/>
  </cols>
  <sheetData>
    <row r="2" spans="2:9" ht="34">
      <c r="B2" s="7" t="s">
        <v>0</v>
      </c>
      <c r="C2" s="8" t="s">
        <v>70</v>
      </c>
      <c r="D2" s="8" t="s">
        <v>1</v>
      </c>
      <c r="E2" s="8" t="s">
        <v>2</v>
      </c>
      <c r="F2" s="8" t="s">
        <v>3</v>
      </c>
      <c r="G2" s="8" t="s">
        <v>4</v>
      </c>
      <c r="H2" s="8" t="s">
        <v>5</v>
      </c>
      <c r="I2" s="9" t="s">
        <v>6</v>
      </c>
    </row>
    <row r="3" spans="2:9" ht="144" customHeight="1">
      <c r="B3" s="11" t="s">
        <v>7</v>
      </c>
      <c r="C3" s="12" t="s">
        <v>8</v>
      </c>
      <c r="D3" s="12" t="s">
        <v>9</v>
      </c>
      <c r="E3" s="12" t="s">
        <v>59</v>
      </c>
      <c r="F3" s="12" t="s">
        <v>57</v>
      </c>
      <c r="G3" s="12" t="s">
        <v>10</v>
      </c>
      <c r="H3" s="12" t="s">
        <v>11</v>
      </c>
      <c r="I3" s="13" t="s">
        <v>12</v>
      </c>
    </row>
    <row r="4" spans="2:9" ht="51">
      <c r="B4" s="14" t="s">
        <v>72</v>
      </c>
      <c r="C4" s="15" t="s">
        <v>96</v>
      </c>
      <c r="D4" s="27" t="s">
        <v>75</v>
      </c>
      <c r="E4" s="16" t="s">
        <v>97</v>
      </c>
      <c r="F4" s="15" t="s">
        <v>73</v>
      </c>
      <c r="G4" s="16">
        <v>5.5</v>
      </c>
      <c r="H4" s="15" t="s">
        <v>20</v>
      </c>
      <c r="I4" s="17" t="s">
        <v>90</v>
      </c>
    </row>
    <row r="5" spans="2:9" ht="51">
      <c r="B5" s="14" t="s">
        <v>72</v>
      </c>
      <c r="C5" s="15" t="s">
        <v>96</v>
      </c>
      <c r="D5" s="27" t="s">
        <v>81</v>
      </c>
      <c r="E5" s="16" t="s">
        <v>97</v>
      </c>
      <c r="F5" s="15" t="s">
        <v>73</v>
      </c>
      <c r="G5" s="16">
        <v>3.6</v>
      </c>
      <c r="H5" s="15" t="s">
        <v>20</v>
      </c>
      <c r="I5" s="17" t="s">
        <v>99</v>
      </c>
    </row>
    <row r="6" spans="2:9" ht="51">
      <c r="B6" s="14" t="s">
        <v>72</v>
      </c>
      <c r="C6" s="15" t="s">
        <v>96</v>
      </c>
      <c r="D6" s="27" t="s">
        <v>82</v>
      </c>
      <c r="E6" s="16" t="s">
        <v>97</v>
      </c>
      <c r="F6" s="15" t="s">
        <v>73</v>
      </c>
      <c r="G6" s="16">
        <v>2.2999999999999998</v>
      </c>
      <c r="H6" s="15" t="s">
        <v>20</v>
      </c>
      <c r="I6" s="17" t="s">
        <v>83</v>
      </c>
    </row>
    <row r="7" spans="2:9" ht="51">
      <c r="B7" s="14" t="s">
        <v>72</v>
      </c>
      <c r="C7" s="15" t="s">
        <v>96</v>
      </c>
      <c r="D7" s="27" t="s">
        <v>79</v>
      </c>
      <c r="E7" s="16" t="s">
        <v>97</v>
      </c>
      <c r="F7" s="15" t="s">
        <v>73</v>
      </c>
      <c r="G7" s="16">
        <v>7.5</v>
      </c>
      <c r="H7" s="15" t="s">
        <v>20</v>
      </c>
      <c r="I7" s="17" t="s">
        <v>84</v>
      </c>
    </row>
    <row r="8" spans="2:9" ht="51">
      <c r="B8" s="14" t="s">
        <v>72</v>
      </c>
      <c r="C8" s="15" t="s">
        <v>96</v>
      </c>
      <c r="D8" s="27" t="s">
        <v>85</v>
      </c>
      <c r="E8" s="16" t="s">
        <v>97</v>
      </c>
      <c r="F8" s="15" t="s">
        <v>73</v>
      </c>
      <c r="G8" s="16">
        <v>1.4</v>
      </c>
      <c r="H8" s="15" t="s">
        <v>20</v>
      </c>
      <c r="I8" s="17" t="s">
        <v>86</v>
      </c>
    </row>
    <row r="9" spans="2:9" ht="51">
      <c r="B9" s="14" t="s">
        <v>72</v>
      </c>
      <c r="C9" s="15" t="s">
        <v>96</v>
      </c>
      <c r="D9" s="27" t="s">
        <v>87</v>
      </c>
      <c r="E9" s="16" t="s">
        <v>97</v>
      </c>
      <c r="F9" s="15" t="s">
        <v>73</v>
      </c>
      <c r="G9" s="16">
        <v>4.3</v>
      </c>
      <c r="H9" s="15" t="s">
        <v>20</v>
      </c>
      <c r="I9" s="17" t="s">
        <v>88</v>
      </c>
    </row>
    <row r="10" spans="2:9" ht="51">
      <c r="B10" s="14" t="s">
        <v>72</v>
      </c>
      <c r="C10" s="15" t="s">
        <v>96</v>
      </c>
      <c r="D10" s="27" t="s">
        <v>98</v>
      </c>
      <c r="E10" s="16" t="s">
        <v>97</v>
      </c>
      <c r="F10" s="15" t="s">
        <v>73</v>
      </c>
      <c r="G10" s="16">
        <v>0.7</v>
      </c>
      <c r="H10" s="15" t="s">
        <v>20</v>
      </c>
      <c r="I10" s="17" t="s">
        <v>91</v>
      </c>
    </row>
    <row r="11" spans="2:9" ht="51">
      <c r="B11" s="14" t="s">
        <v>72</v>
      </c>
      <c r="C11" s="15" t="s">
        <v>96</v>
      </c>
      <c r="D11" s="27" t="s">
        <v>76</v>
      </c>
      <c r="E11" s="16" t="s">
        <v>97</v>
      </c>
      <c r="F11" s="15" t="s">
        <v>73</v>
      </c>
      <c r="G11" s="16">
        <v>0.6</v>
      </c>
      <c r="H11" s="15" t="s">
        <v>20</v>
      </c>
      <c r="I11" s="17" t="s">
        <v>92</v>
      </c>
    </row>
    <row r="12" spans="2:9" ht="51">
      <c r="B12" s="14" t="s">
        <v>72</v>
      </c>
      <c r="C12" s="15" t="s">
        <v>80</v>
      </c>
      <c r="D12" s="27"/>
      <c r="E12" s="16" t="s">
        <v>40</v>
      </c>
      <c r="F12" s="15" t="s">
        <v>73</v>
      </c>
      <c r="G12" s="16">
        <v>7.2</v>
      </c>
      <c r="H12" s="15" t="s">
        <v>20</v>
      </c>
      <c r="I12" s="17" t="s">
        <v>95</v>
      </c>
    </row>
    <row r="13" spans="2:9" ht="68">
      <c r="B13" s="14" t="s">
        <v>72</v>
      </c>
      <c r="C13" s="15" t="s">
        <v>93</v>
      </c>
      <c r="D13" s="16"/>
      <c r="E13" s="16" t="s">
        <v>40</v>
      </c>
      <c r="F13" s="15" t="s">
        <v>73</v>
      </c>
      <c r="G13" s="16">
        <v>0.3</v>
      </c>
      <c r="H13" s="15" t="s">
        <v>20</v>
      </c>
      <c r="I13" s="17" t="s">
        <v>94</v>
      </c>
    </row>
    <row r="14" spans="2:9" ht="52" customHeight="1">
      <c r="B14" s="14" t="s">
        <v>72</v>
      </c>
      <c r="C14" s="15" t="s">
        <v>18</v>
      </c>
      <c r="D14" s="16"/>
      <c r="E14" s="16" t="s">
        <v>27</v>
      </c>
      <c r="F14" s="15"/>
      <c r="G14" s="16">
        <v>2.5</v>
      </c>
      <c r="H14" s="15" t="s">
        <v>27</v>
      </c>
      <c r="I14" s="17" t="s">
        <v>89</v>
      </c>
    </row>
    <row r="15" spans="2:9" ht="85">
      <c r="B15" s="14" t="s">
        <v>72</v>
      </c>
      <c r="C15" s="15" t="s">
        <v>18</v>
      </c>
      <c r="D15" s="27"/>
      <c r="E15" s="16" t="s">
        <v>40</v>
      </c>
      <c r="F15" s="15" t="s">
        <v>77</v>
      </c>
      <c r="G15" s="16">
        <v>1.3</v>
      </c>
      <c r="H15" s="15" t="s">
        <v>78</v>
      </c>
      <c r="I15" s="17" t="s">
        <v>74</v>
      </c>
    </row>
    <row r="16" spans="2:9" ht="17">
      <c r="B16" s="18"/>
      <c r="C16" s="19"/>
      <c r="D16" s="20"/>
      <c r="E16" s="20"/>
      <c r="F16" s="21" t="s">
        <v>67</v>
      </c>
      <c r="G16" s="31">
        <f>SUM(G3:G15)</f>
        <v>37.199999999999996</v>
      </c>
      <c r="H16" s="32"/>
      <c r="I16" s="33"/>
    </row>
    <row r="17" spans="2:9" ht="35" thickBot="1">
      <c r="B17" s="22"/>
      <c r="C17" s="23"/>
      <c r="D17" s="24"/>
      <c r="E17" s="24"/>
      <c r="F17" s="25" t="s">
        <v>68</v>
      </c>
      <c r="G17" s="28">
        <v>4</v>
      </c>
      <c r="H17" s="29"/>
      <c r="I17" s="30"/>
    </row>
    <row r="18" spans="2:9" ht="17" thickTop="1"/>
  </sheetData>
  <mergeCells count="2">
    <mergeCell ref="G17:I17"/>
    <mergeCell ref="G16:I16"/>
  </mergeCells>
  <phoneticPr fontId="3"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C4:C17</xm:sqref>
        </x14:dataValidation>
        <x14:dataValidation type="list" allowBlank="1" showInputMessage="1" showErrorMessage="1" xr:uid="{00000000-0002-0000-0000-000003000000}">
          <x14:formula1>
            <xm:f>数据标签!$B$11:$D$11</xm:f>
          </x14:formula1>
          <xm:sqref>E4:E17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42">
      <c r="A12" s="1" t="s">
        <v>42</v>
      </c>
      <c r="B12" s="3" t="s">
        <v>43</v>
      </c>
    </row>
    <row r="13" spans="1:8" ht="42">
      <c r="B13" s="3" t="s">
        <v>55</v>
      </c>
      <c r="C13" s="4" t="s">
        <v>56</v>
      </c>
      <c r="D13" s="4" t="s">
        <v>56</v>
      </c>
    </row>
    <row r="14" spans="1:8" ht="28">
      <c r="B14" s="3" t="s">
        <v>44</v>
      </c>
      <c r="C14" s="4" t="s">
        <v>56</v>
      </c>
      <c r="D14" s="4" t="s">
        <v>56</v>
      </c>
    </row>
    <row r="15" spans="1:8" ht="56">
      <c r="B15" s="3" t="s">
        <v>45</v>
      </c>
      <c r="C15" s="4" t="s">
        <v>56</v>
      </c>
      <c r="D15" s="4" t="s">
        <v>56</v>
      </c>
    </row>
    <row r="16" spans="1:8" ht="56">
      <c r="B16" s="3" t="s">
        <v>46</v>
      </c>
      <c r="C16" s="4" t="s">
        <v>56</v>
      </c>
      <c r="D16" s="4" t="s">
        <v>56</v>
      </c>
    </row>
    <row r="17" spans="2:4" ht="42">
      <c r="B17" s="3" t="s">
        <v>47</v>
      </c>
      <c r="C17" s="4" t="s">
        <v>56</v>
      </c>
      <c r="D17" s="4" t="s">
        <v>56</v>
      </c>
    </row>
    <row r="18" spans="2:4" ht="56">
      <c r="B18" s="3" t="s">
        <v>48</v>
      </c>
      <c r="C18" s="4" t="s">
        <v>56</v>
      </c>
      <c r="D18" s="4" t="s">
        <v>56</v>
      </c>
    </row>
    <row r="19" spans="2:4" ht="56">
      <c r="B19" s="3" t="s">
        <v>49</v>
      </c>
      <c r="C19" s="4" t="s">
        <v>56</v>
      </c>
      <c r="D19" s="4" t="s">
        <v>56</v>
      </c>
    </row>
    <row r="20" spans="2:4" ht="42">
      <c r="B20" s="3" t="s">
        <v>63</v>
      </c>
      <c r="C20" s="4" t="s">
        <v>56</v>
      </c>
      <c r="D20" s="4" t="s">
        <v>56</v>
      </c>
    </row>
    <row r="21" spans="2:4" ht="42">
      <c r="B21" s="3" t="s">
        <v>50</v>
      </c>
      <c r="C21" s="4" t="s">
        <v>56</v>
      </c>
      <c r="D21" s="4" t="s">
        <v>56</v>
      </c>
    </row>
    <row r="22" spans="2:4" ht="42">
      <c r="B22" s="3" t="s">
        <v>64</v>
      </c>
      <c r="C22" s="4" t="s">
        <v>56</v>
      </c>
      <c r="D22" s="4" t="s">
        <v>56</v>
      </c>
    </row>
    <row r="23" spans="2:4" ht="42">
      <c r="B23" s="3" t="s">
        <v>65</v>
      </c>
      <c r="C23" s="4"/>
      <c r="D23" s="4"/>
    </row>
    <row r="24" spans="2:4" ht="84">
      <c r="B24" s="3" t="s">
        <v>54</v>
      </c>
      <c r="C24" s="4" t="s">
        <v>56</v>
      </c>
      <c r="D24" s="4" t="s">
        <v>56</v>
      </c>
    </row>
    <row r="25" spans="2:4" ht="42">
      <c r="B25" s="3" t="s">
        <v>51</v>
      </c>
      <c r="C25" s="4" t="s">
        <v>56</v>
      </c>
      <c r="D25" s="4" t="s">
        <v>56</v>
      </c>
    </row>
    <row r="26" spans="2:4" ht="42">
      <c r="B26" s="3" t="s">
        <v>52</v>
      </c>
      <c r="C26" s="4" t="s">
        <v>56</v>
      </c>
      <c r="D26" s="4" t="s">
        <v>56</v>
      </c>
    </row>
    <row r="27" spans="2:4" ht="28">
      <c r="B27" s="3" t="s">
        <v>53</v>
      </c>
      <c r="C27" s="4" t="s">
        <v>56</v>
      </c>
      <c r="D27" s="4" t="s">
        <v>56</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T163583</cp:lastModifiedBy>
  <dcterms:created xsi:type="dcterms:W3CDTF">2024-12-10T02:24:00Z</dcterms:created>
  <dcterms:modified xsi:type="dcterms:W3CDTF">2025-07-10T09:12:46Z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