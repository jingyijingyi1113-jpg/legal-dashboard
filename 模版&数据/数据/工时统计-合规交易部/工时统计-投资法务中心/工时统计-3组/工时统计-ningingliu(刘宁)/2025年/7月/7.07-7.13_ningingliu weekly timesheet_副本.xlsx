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A89BF5B9-6644-DB41-B8FD-E1F7A4DB30E4}" xr6:coauthVersionLast="47" xr6:coauthVersionMax="47" xr10:uidLastSave="{00000000-0000-0000-0000-000000000000}"/>
  <bookViews>
    <workbookView xWindow="45460" yWindow="-9180" windowWidth="25260" windowHeight="2660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个人工时记录表!$I$10</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<sst xmlns="http://schemas.openxmlformats.org/spreadsheetml/2006/main" count="239" uniqueCount="143">
  <si>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</si>
  <si>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</si>
  <si>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</si>
  <si>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</si>
  <si>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</si>
  <si>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</si>
  <si>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</si>
  <si>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</si>
  <si>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</si>
  <si>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</si>
  <si>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</si>
  <si>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</si>
  <si>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</si>
  <si>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</si>
  <si>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</si>
  <si>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</si>
  <si>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</si>
  <si>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</si>
  <si>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</si>
  <si>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</si>
  <si>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</si>
  <si>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</si>
  <si>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</si>
  <si>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</si>
  <si>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</si>
  <si>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</si>
  <si>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</si>
  <si>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</si>
  <si>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</si>
  <si>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</si>
  <si>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</si>
  <si>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</si>
  <si>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</si>
  <si>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</si>
  <si>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</si>
  <si>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</si>
  <si>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</si>
  <si>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</si>
  <si>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</si>
  <si>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</si>
  <si>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</si>
  <si>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</si>
  <si>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</si>
  <si>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</si>
  <si>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</si>
  <si>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</si>
  <si>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</si>
  <si>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</si>
  <si>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</si>
  <si>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</si>
  <si>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</si>
  <si>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</si>
  <si>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</si>
  <si>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</si>
  <si>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</si>
  <si>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</si>
  <si>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</si>
  <si>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</si>
  <si>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</si>
  <si>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</si>
  <si>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</si>
  <si>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</si>
  <si>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</si>
  <si>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</si>
  <si>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</si>
  <si>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</si>
  <si>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</si>
  <si>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</si>
  <si>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</si>
  <si>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</si>
  <si>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</si>
  <si>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</si>
  <si>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</si>
  <si>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</si>
  <si>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</si>
  <si>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</si>
  <si>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</si>
  <si>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</si>
  <si>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</si>
  <si>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SEON</t>
    <phoneticPr fontId="3" type="noConversion"/>
  </si>
  <si>
    <t>Public - Knowledge Accumulation &amp; Sharing</t>
  </si>
  <si>
    <t>优化Hotdesk和专家组制度 Optimization of Hotdesk and expert panel system</t>
  </si>
  <si>
    <t>小时单&amp;deals update。</t>
    <phoneticPr fontId="3" type="noConversion"/>
  </si>
  <si>
    <t>Notion</t>
    <phoneticPr fontId="14" type="noConversion"/>
  </si>
  <si>
    <t xml:space="preserve">Invontic </t>
    <phoneticPr fontId="14" type="noConversion"/>
  </si>
  <si>
    <t xml:space="preserve">欢欢 </t>
    <phoneticPr fontId="14" type="noConversion"/>
  </si>
  <si>
    <t>Oversubscribe</t>
    <phoneticPr fontId="14" type="noConversion"/>
  </si>
  <si>
    <t>Flora去要时间</t>
    <phoneticPr fontId="14" type="noConversion"/>
  </si>
  <si>
    <t>欧洲基金投回美国</t>
    <phoneticPr fontId="14" type="noConversion"/>
  </si>
  <si>
    <t>按照现有材料看下风险， 不找Gp要资料了</t>
    <phoneticPr fontId="14" type="noConversion"/>
  </si>
  <si>
    <t>2周左右</t>
    <phoneticPr fontId="14" type="noConversion"/>
  </si>
  <si>
    <t>5mn</t>
    <phoneticPr fontId="14" type="noConversion"/>
  </si>
  <si>
    <t>IC deal</t>
    <phoneticPr fontId="14" type="noConversion"/>
  </si>
  <si>
    <t>博裕资本的人民币</t>
    <phoneticPr fontId="14" type="noConversion"/>
  </si>
  <si>
    <t>5亿人民</t>
    <phoneticPr fontId="14" type="noConversion"/>
  </si>
  <si>
    <t>小小江找了Martin</t>
    <phoneticPr fontId="14" type="noConversion"/>
  </si>
  <si>
    <t>7月初尽调</t>
    <phoneticPr fontId="14" type="noConversion"/>
  </si>
  <si>
    <t>830 DDL</t>
    <phoneticPr fontId="14" type="noConversion"/>
  </si>
  <si>
    <t>Credit fund.</t>
    <phoneticPr fontId="14" type="noConversion"/>
  </si>
  <si>
    <t>Hybrid</t>
    <phoneticPr fontId="14" type="noConversion"/>
  </si>
  <si>
    <t>香港基金</t>
    <phoneticPr fontId="14" type="noConversion"/>
  </si>
  <si>
    <t>1bn-腾讯2亿</t>
    <phoneticPr fontId="14" type="noConversion"/>
  </si>
  <si>
    <t>不会投资美国项目</t>
    <phoneticPr fontId="14" type="noConversion"/>
  </si>
  <si>
    <t xml:space="preserve">APAC </t>
    <phoneticPr fontId="14" type="noConversion"/>
  </si>
  <si>
    <t>Cat 可以先 Pre deal assessment 先搞。基金juridiction，投资区域啥的</t>
    <phoneticPr fontId="14" type="noConversion"/>
  </si>
  <si>
    <t>9月的时间表</t>
    <phoneticPr fontId="14" type="noConversion"/>
  </si>
  <si>
    <t>Vender CO</t>
    <phoneticPr fontId="14" type="noConversion"/>
  </si>
  <si>
    <t>Drangonner</t>
    <phoneticPr fontId="14" type="noConversion"/>
  </si>
  <si>
    <t>已投re-up</t>
    <phoneticPr fontId="14" type="noConversion"/>
  </si>
  <si>
    <t>流程快 金额不大变</t>
    <phoneticPr fontId="14" type="noConversion"/>
  </si>
  <si>
    <t>时间：930</t>
    <phoneticPr fontId="14" type="noConversion"/>
  </si>
  <si>
    <t>时间：815</t>
    <phoneticPr fontId="14" type="noConversion"/>
  </si>
  <si>
    <t>Bessmmer</t>
    <phoneticPr fontId="14" type="noConversion"/>
  </si>
  <si>
    <t xml:space="preserve">时间：915-930 </t>
    <phoneticPr fontId="14" type="noConversion"/>
  </si>
  <si>
    <t>这个基金会提前他们的时间表</t>
    <phoneticPr fontId="14" type="noConversion"/>
  </si>
  <si>
    <t>还有一些是12月中的国内基金 BAI之类的</t>
    <phoneticPr fontId="14" type="noConversion"/>
  </si>
  <si>
    <t>LS要在基金层面有些控制的操作。</t>
    <phoneticPr fontId="14" type="noConversion"/>
  </si>
  <si>
    <t>Activest fund</t>
    <phoneticPr fontId="14" type="noConversion"/>
  </si>
  <si>
    <t>buyout上市公司之后再带着公司去二次上市</t>
    <phoneticPr fontId="14" type="noConversion"/>
  </si>
  <si>
    <t>Martin 推荐项目</t>
    <phoneticPr fontId="14" type="noConversion"/>
  </si>
  <si>
    <t>Long position</t>
    <phoneticPr fontId="14" type="noConversion"/>
  </si>
  <si>
    <t xml:space="preserve"> 待定项目</t>
    <phoneticPr fontId="14" type="noConversion"/>
  </si>
  <si>
    <t>如果投资的话就是大项目</t>
    <phoneticPr fontId="14" type="noConversion"/>
  </si>
  <si>
    <t>与Lingoto不同</t>
    <phoneticPr fontId="14" type="noConversion"/>
  </si>
  <si>
    <t>占比【】？</t>
    <phoneticPr fontId="14" type="noConversion"/>
  </si>
  <si>
    <t>Non-IC deal</t>
    <phoneticPr fontId="14" type="noConversion"/>
  </si>
  <si>
    <t>Playground IV</t>
    <phoneticPr fontId="3" type="noConversion"/>
  </si>
  <si>
    <t>Playground整体基金请款的讨论情况和内部推进。</t>
    <phoneticPr fontId="3" type="noConversion"/>
  </si>
  <si>
    <t>黑鲸游戏</t>
    <phoneticPr fontId="3" type="noConversion"/>
  </si>
  <si>
    <t>Hotdesk：Fund of one文件更新Vertex + Allocated+律师费申请+Custodiam account分析，牌照分析</t>
    <phoneticPr fontId="3" type="noConversion"/>
  </si>
  <si>
    <t>签署版文件检查和closing binder检查。</t>
    <phoneticPr fontId="3" type="noConversion"/>
  </si>
  <si>
    <t>Investment Related - M&amp;A Deal</t>
    <phoneticPr fontId="3" type="noConversion"/>
  </si>
  <si>
    <t>统计表：律师费第二季度Q2</t>
    <phoneticPr fontId="3" type="noConversion"/>
  </si>
  <si>
    <t>统计表：Martin制裁表。</t>
    <phoneticPr fontId="3" type="noConversion"/>
  </si>
  <si>
    <t>深圳前海ixp</t>
  </si>
  <si>
    <t>2025年年度股东会会议议案审议。</t>
    <phoneticPr fontId="3" type="noConversion"/>
  </si>
  <si>
    <t>CFIUS反馈进一步分析和内部问询（Plaid+Apollo)</t>
    <phoneticPr fontId="3" type="noConversion"/>
  </si>
  <si>
    <t>ManinFunc</t>
  </si>
  <si>
    <t>新项目启动和项目同步，财务NRL letter审阅。</t>
    <phoneticPr fontId="3" type="noConversion"/>
  </si>
  <si>
    <t>投后管理：强制执行材料审阅</t>
    <phoneticPr fontId="3" type="noConversion"/>
  </si>
  <si>
    <t>盛诺一家</t>
  </si>
  <si>
    <t>申请办理《出版物经营许可证》的相关文件审阅。</t>
    <phoneticPr fontId="3" type="noConversion"/>
  </si>
  <si>
    <t>电话会和交易文件审阅和更新。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</si>
</sst>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22">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20"/>
      <color rgb="FF000000"/>
      <name val="Arial"/>
      <family val="2"/>
    </font>
    <font>
      <sz val="16"/>
      <color rgb="FF000000"/>
      <name val="PingFang SC"/>
      <family val="2"/>
      <charset val="134"/>
    </font>
    <font>
      <sz val="14"/>
      <color rgb="FF000000"/>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8" fillId="0" borderId="0" applyFont="0" applyFill="0" applyBorder="0" applyAlignment="0" applyProtection="0">
      <alignment vertical="center"/>
    </xf>
  </cellStyleXfs>
  <cellXfs count="5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3" fillId="0" borderId="0" xfId="0" applyFont="1">
      <alignment vertical="center"/>
    </xf>
    <xf numFmtId="0" fontId="15" fillId="0" borderId="0" xfId="0" applyFont="1">
      <alignment vertical="center"/>
    </xf>
    <xf numFmtId="0" fontId="16" fillId="0" borderId="0" xfId="0" applyFont="1">
      <alignment vertical="center"/>
    </xf>
    <xf numFmtId="0" fontId="17" fillId="3" borderId="0" xfId="0" applyFont="1" applyFill="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176" fontId="11" fillId="0" borderId="0" xfId="1" applyNumberFormat="1" applyFont="1" applyAlignment="1">
      <alignment horizontal="center" vertical="center" wrapText="1"/>
    </xf>
    <xf numFmtId="176" fontId="12" fillId="0" borderId="2" xfId="1" applyNumberFormat="1" applyFont="1" applyBorder="1" applyAlignment="1">
      <alignment horizontal="center" vertical="center" wrapText="1"/>
    </xf>
    <xf numFmtId="176" fontId="12" fillId="2" borderId="4" xfId="1" applyNumberFormat="1" applyFont="1" applyFill="1" applyBorder="1" applyAlignment="1">
      <alignment horizontal="center" vertical="center" wrapText="1"/>
    </xf>
    <xf numFmtId="176" fontId="11" fillId="0" borderId="4" xfId="1" applyNumberFormat="1" applyFont="1" applyBorder="1" applyAlignment="1">
      <alignment horizontal="center" vertical="center"/>
    </xf>
    <xf numFmtId="176" fontId="11" fillId="0" borderId="17" xfId="1" applyNumberFormat="1" applyFont="1" applyBorder="1" applyAlignment="1">
      <alignment horizontal="center" vertical="center"/>
    </xf>
    <xf numFmtId="176" fontId="11" fillId="0" borderId="13" xfId="1" applyNumberFormat="1" applyFont="1" applyBorder="1" applyAlignment="1">
      <alignment horizontal="center" vertical="center"/>
    </xf>
    <xf numFmtId="0" fontId="7" fillId="0" borderId="0" xfId="0" applyFont="1" applyAlignment="1">
      <alignment vertical="top"/>
    </xf>
    <xf numFmtId="176" fontId="11" fillId="0" borderId="0" xfId="1" applyNumberFormat="1" applyFont="1" applyAlignment="1">
      <alignment horizontal="center" vertical="top"/>
    </xf>
    <xf numFmtId="0" fontId="7" fillId="0" borderId="0" xfId="0" applyFont="1" applyAlignment="1">
      <alignment horizontal="left" vertical="top"/>
    </xf>
    <xf numFmtId="176" fontId="11" fillId="0" borderId="0" xfId="1" applyNumberFormat="1" applyFont="1" applyAlignment="1">
      <alignment horizontal="left" vertical="top"/>
    </xf>
    <xf numFmtId="176" fontId="7" fillId="0" borderId="0" xfId="1" applyNumberFormat="1" applyFont="1" applyAlignment="1">
      <alignment horizontal="left"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abSelected="1" zoomScale="80" zoomScaleNormal="80" workbookViewId="0">
      <pane ySplit="3" topLeftCell="A4" activePane="bottomLeft" state="frozen"/>
      <selection pane="bottomLeft" activeCell="N26" sqref="N26"/>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9" customWidth="1"/>
    <col min="8" max="8" width="18.1640625" style="30" customWidth="1"/>
    <col min="9" max="9" width="33.33203125" style="30" customWidth="1"/>
    <col min="10" max="16384" width="9" style="10"/>
  </cols>
  <sheetData>
    <row r="1" spans="2:9" ht="17" thickBot="1"/>
    <row r="2" spans="2:9" ht="35" thickTop="1">
      <c r="B2" s="7" t="s">
        <v>0</v>
      </c>
      <c r="C2" s="8" t="s">
        <v>70</v>
      </c>
      <c r="D2" s="8" t="s">
        <v>1</v>
      </c>
      <c r="E2" s="8" t="s">
        <v>2</v>
      </c>
      <c r="F2" s="8" t="s">
        <v>3</v>
      </c>
      <c r="G2" s="40" t="s">
        <v>4</v>
      </c>
      <c r="H2" s="8" t="s">
        <v>5</v>
      </c>
      <c r="I2" s="9" t="s">
        <v>6</v>
      </c>
    </row>
    <row r="3" spans="2:9" ht="119" customHeight="1">
      <c r="B3" s="11" t="s">
        <v>7</v>
      </c>
      <c r="C3" s="12" t="s">
        <v>8</v>
      </c>
      <c r="D3" s="12" t="s">
        <v>9</v>
      </c>
      <c r="E3" s="12" t="s">
        <v>59</v>
      </c>
      <c r="F3" s="12" t="s">
        <v>57</v>
      </c>
      <c r="G3" s="41" t="s">
        <v>10</v>
      </c>
      <c r="H3" s="12" t="s">
        <v>11</v>
      </c>
      <c r="I3" s="13" t="s">
        <v>12</v>
      </c>
    </row>
    <row r="4" spans="2:9" ht="51">
      <c r="B4" s="14" t="s">
        <v>72</v>
      </c>
      <c r="C4" s="15" t="s">
        <v>14</v>
      </c>
      <c r="D4" s="31" t="s">
        <v>74</v>
      </c>
      <c r="E4" s="16" t="s">
        <v>40</v>
      </c>
      <c r="F4" s="15" t="s">
        <v>73</v>
      </c>
      <c r="G4" s="42">
        <v>1.9</v>
      </c>
      <c r="H4" s="15" t="s">
        <v>20</v>
      </c>
      <c r="I4" s="17" t="s">
        <v>142</v>
      </c>
    </row>
    <row r="5" spans="2:9" ht="51">
      <c r="B5" s="14" t="s">
        <v>72</v>
      </c>
      <c r="C5" s="15" t="s">
        <v>14</v>
      </c>
      <c r="D5" s="31" t="s">
        <v>77</v>
      </c>
      <c r="E5" s="16" t="s">
        <v>40</v>
      </c>
      <c r="F5" s="15" t="s">
        <v>73</v>
      </c>
      <c r="G5" s="42">
        <v>1.1000000000000001</v>
      </c>
      <c r="H5" s="15" t="s">
        <v>20</v>
      </c>
      <c r="I5" s="17" t="s">
        <v>130</v>
      </c>
    </row>
    <row r="6" spans="2:9" ht="51">
      <c r="B6" s="14" t="s">
        <v>72</v>
      </c>
      <c r="C6" s="15" t="s">
        <v>14</v>
      </c>
      <c r="D6" s="31" t="s">
        <v>79</v>
      </c>
      <c r="E6" s="16" t="s">
        <v>40</v>
      </c>
      <c r="F6" s="15" t="s">
        <v>73</v>
      </c>
      <c r="G6" s="42">
        <v>18.600000000000001</v>
      </c>
      <c r="H6" s="15" t="s">
        <v>20</v>
      </c>
      <c r="I6" s="17" t="s">
        <v>136</v>
      </c>
    </row>
    <row r="7" spans="2:9" ht="51">
      <c r="B7" s="14" t="s">
        <v>72</v>
      </c>
      <c r="C7" s="15" t="s">
        <v>14</v>
      </c>
      <c r="D7" s="36" t="s">
        <v>134</v>
      </c>
      <c r="E7" s="16" t="s">
        <v>40</v>
      </c>
      <c r="F7" s="15" t="s">
        <v>73</v>
      </c>
      <c r="G7" s="42">
        <v>1.2</v>
      </c>
      <c r="H7" s="15" t="s">
        <v>20</v>
      </c>
      <c r="I7" s="17" t="s">
        <v>135</v>
      </c>
    </row>
    <row r="8" spans="2:9" ht="51">
      <c r="B8" s="14" t="s">
        <v>72</v>
      </c>
      <c r="C8" s="15" t="s">
        <v>14</v>
      </c>
      <c r="D8" s="37" t="s">
        <v>137</v>
      </c>
      <c r="E8" s="16" t="s">
        <v>40</v>
      </c>
      <c r="F8" s="15" t="s">
        <v>73</v>
      </c>
      <c r="G8" s="42">
        <v>1.5</v>
      </c>
      <c r="H8" s="15" t="s">
        <v>20</v>
      </c>
      <c r="I8" s="17" t="s">
        <v>138</v>
      </c>
    </row>
    <row r="9" spans="2:9" ht="51">
      <c r="B9" s="14" t="s">
        <v>72</v>
      </c>
      <c r="C9" s="15" t="s">
        <v>131</v>
      </c>
      <c r="D9" s="31" t="s">
        <v>128</v>
      </c>
      <c r="E9" s="16" t="s">
        <v>40</v>
      </c>
      <c r="F9" s="15" t="s">
        <v>73</v>
      </c>
      <c r="G9" s="42">
        <v>0.8</v>
      </c>
      <c r="H9" s="15" t="s">
        <v>20</v>
      </c>
      <c r="I9" s="17" t="s">
        <v>139</v>
      </c>
    </row>
    <row r="10" spans="2:9" ht="51">
      <c r="B10" s="14" t="s">
        <v>72</v>
      </c>
      <c r="C10" s="15" t="s">
        <v>14</v>
      </c>
      <c r="D10" s="38" t="s">
        <v>140</v>
      </c>
      <c r="E10" s="16" t="s">
        <v>40</v>
      </c>
      <c r="F10" s="15" t="s">
        <v>73</v>
      </c>
      <c r="G10" s="42">
        <v>0.5</v>
      </c>
      <c r="H10" s="15" t="s">
        <v>20</v>
      </c>
      <c r="I10" s="17" t="s">
        <v>141</v>
      </c>
    </row>
    <row r="11" spans="2:9" ht="51">
      <c r="B11" s="14" t="s">
        <v>72</v>
      </c>
      <c r="C11" s="15" t="s">
        <v>14</v>
      </c>
      <c r="D11" s="31" t="s">
        <v>126</v>
      </c>
      <c r="E11" s="16" t="s">
        <v>40</v>
      </c>
      <c r="F11" s="15" t="s">
        <v>73</v>
      </c>
      <c r="G11" s="42">
        <v>3.5</v>
      </c>
      <c r="H11" s="15" t="s">
        <v>20</v>
      </c>
      <c r="I11" s="17" t="s">
        <v>127</v>
      </c>
    </row>
    <row r="12" spans="2:9" ht="68">
      <c r="B12" s="14" t="s">
        <v>72</v>
      </c>
      <c r="C12" s="15" t="s">
        <v>78</v>
      </c>
      <c r="D12" s="31"/>
      <c r="E12" s="16" t="s">
        <v>40</v>
      </c>
      <c r="F12" s="15" t="s">
        <v>81</v>
      </c>
      <c r="G12" s="42">
        <v>16.8</v>
      </c>
      <c r="H12" s="15" t="s">
        <v>20</v>
      </c>
      <c r="I12" s="17" t="s">
        <v>129</v>
      </c>
    </row>
    <row r="13" spans="2:9" ht="68">
      <c r="B13" s="14" t="s">
        <v>72</v>
      </c>
      <c r="C13" s="15" t="s">
        <v>80</v>
      </c>
      <c r="D13" s="16"/>
      <c r="E13" s="16" t="s">
        <v>40</v>
      </c>
      <c r="F13" s="15" t="s">
        <v>73</v>
      </c>
      <c r="G13" s="42">
        <v>2</v>
      </c>
      <c r="H13" s="15" t="s">
        <v>20</v>
      </c>
      <c r="I13" s="17" t="s">
        <v>133</v>
      </c>
    </row>
    <row r="14" spans="2:9" ht="68">
      <c r="B14" s="14" t="s">
        <v>72</v>
      </c>
      <c r="C14" s="15" t="s">
        <v>80</v>
      </c>
      <c r="D14" s="16"/>
      <c r="E14" s="16" t="s">
        <v>40</v>
      </c>
      <c r="F14" s="15" t="s">
        <v>73</v>
      </c>
      <c r="G14" s="42">
        <v>2.8</v>
      </c>
      <c r="H14" s="15" t="s">
        <v>20</v>
      </c>
      <c r="I14" s="17" t="s">
        <v>132</v>
      </c>
    </row>
    <row r="15" spans="2:9" ht="85">
      <c r="B15" s="14" t="s">
        <v>72</v>
      </c>
      <c r="C15" s="15" t="s">
        <v>18</v>
      </c>
      <c r="D15" s="31"/>
      <c r="E15" s="16" t="s">
        <v>40</v>
      </c>
      <c r="F15" s="15" t="s">
        <v>75</v>
      </c>
      <c r="G15" s="42">
        <v>1</v>
      </c>
      <c r="H15" s="15" t="s">
        <v>76</v>
      </c>
      <c r="I15" s="17" t="s">
        <v>82</v>
      </c>
    </row>
    <row r="16" spans="2:9" ht="17">
      <c r="B16" s="18"/>
      <c r="C16" s="19"/>
      <c r="D16" s="20"/>
      <c r="E16" s="20"/>
      <c r="F16" s="21" t="s">
        <v>67</v>
      </c>
      <c r="G16" s="43">
        <f>SUM(G4:G15)</f>
        <v>51.7</v>
      </c>
      <c r="H16" s="22"/>
      <c r="I16" s="23"/>
    </row>
    <row r="17" spans="2:9" ht="35" thickBot="1">
      <c r="B17" s="24"/>
      <c r="C17" s="25"/>
      <c r="D17" s="26"/>
      <c r="E17" s="26"/>
      <c r="F17" s="27" t="s">
        <v>68</v>
      </c>
      <c r="G17" s="44">
        <v>5</v>
      </c>
      <c r="H17" s="28"/>
      <c r="I17" s="29"/>
    </row>
    <row r="18" spans="2:9" ht="17" thickTop="1"/>
    <row r="21" spans="2:9">
      <c r="F21" s="47"/>
      <c r="G21" s="48"/>
    </row>
    <row r="22" spans="2:9">
      <c r="F22" s="47"/>
      <c r="G22" s="48"/>
    </row>
    <row r="23" spans="2:9">
      <c r="F23" s="47"/>
      <c r="G23" s="49"/>
    </row>
    <row r="24" spans="2:9">
      <c r="F24" s="47"/>
      <c r="G24" s="48"/>
    </row>
    <row r="25" spans="2:9">
      <c r="F25" s="47"/>
      <c r="G25" s="48"/>
    </row>
    <row r="26" spans="2:9">
      <c r="F26" s="47"/>
      <c r="G26" s="48"/>
    </row>
    <row r="27" spans="2:9">
      <c r="F27" s="47"/>
      <c r="G27" s="48"/>
    </row>
    <row r="28" spans="2:9">
      <c r="F28" s="47"/>
      <c r="G28" s="48"/>
    </row>
    <row r="29" spans="2:9">
      <c r="F29" s="47"/>
      <c r="G29" s="48"/>
    </row>
    <row r="30" spans="2:9">
      <c r="F30" s="47"/>
      <c r="G30" s="48"/>
    </row>
    <row r="31" spans="2:9">
      <c r="F31" s="47"/>
      <c r="G31" s="48"/>
    </row>
    <row r="32" spans="2:9">
      <c r="F32" s="45"/>
      <c r="G32" s="46"/>
    </row>
  </sheetData>
  <phoneticPr fontId="3"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O25" sqref="A1:O25"/>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2" t="s">
        <v>83</v>
      </c>
    </row>
    <row r="2" spans="1:13">
      <c r="A2" s="32" t="s">
        <v>84</v>
      </c>
      <c r="B2" s="32" t="s">
        <v>85</v>
      </c>
      <c r="C2">
        <v>630</v>
      </c>
      <c r="D2" s="32" t="s">
        <v>86</v>
      </c>
      <c r="E2" s="32" t="s">
        <v>87</v>
      </c>
      <c r="F2" s="32" t="s">
        <v>88</v>
      </c>
      <c r="G2" s="32" t="s">
        <v>89</v>
      </c>
      <c r="K2" s="32" t="s">
        <v>90</v>
      </c>
      <c r="L2" s="32" t="s">
        <v>91</v>
      </c>
    </row>
    <row r="4" spans="1:13">
      <c r="A4" s="35" t="s">
        <v>92</v>
      </c>
    </row>
    <row r="5" spans="1:13">
      <c r="A5" s="34" t="s">
        <v>93</v>
      </c>
      <c r="B5" s="34" t="s">
        <v>94</v>
      </c>
      <c r="C5" s="34" t="s">
        <v>95</v>
      </c>
      <c r="D5" s="34" t="s">
        <v>96</v>
      </c>
      <c r="E5" s="34" t="s">
        <v>97</v>
      </c>
      <c r="F5" s="34" t="s">
        <v>124</v>
      </c>
    </row>
    <row r="6" spans="1:13">
      <c r="A6" s="33" t="s">
        <v>98</v>
      </c>
      <c r="B6" s="32" t="s">
        <v>99</v>
      </c>
      <c r="C6" s="32" t="s">
        <v>100</v>
      </c>
      <c r="D6" s="32" t="s">
        <v>101</v>
      </c>
      <c r="E6" s="32" t="s">
        <v>102</v>
      </c>
      <c r="F6" s="32" t="s">
        <v>103</v>
      </c>
      <c r="G6" s="32" t="s">
        <v>104</v>
      </c>
      <c r="M6" s="32" t="s">
        <v>105</v>
      </c>
    </row>
    <row r="7" spans="1:13">
      <c r="A7" s="33"/>
      <c r="B7" s="32"/>
      <c r="C7" s="32"/>
      <c r="D7" s="32"/>
      <c r="E7" s="32"/>
      <c r="F7" s="32"/>
      <c r="G7" s="32"/>
      <c r="M7" s="32"/>
    </row>
    <row r="8" spans="1:13">
      <c r="A8" s="35" t="s">
        <v>125</v>
      </c>
    </row>
    <row r="9" spans="1:13">
      <c r="A9" s="32" t="s">
        <v>106</v>
      </c>
      <c r="B9" s="32" t="s">
        <v>108</v>
      </c>
      <c r="C9" s="32" t="s">
        <v>109</v>
      </c>
      <c r="D9" s="32" t="s">
        <v>110</v>
      </c>
    </row>
    <row r="10" spans="1:13">
      <c r="A10" s="32" t="s">
        <v>107</v>
      </c>
      <c r="B10" s="32" t="s">
        <v>108</v>
      </c>
      <c r="C10" s="32" t="s">
        <v>109</v>
      </c>
      <c r="D10" s="32" t="s">
        <v>111</v>
      </c>
    </row>
    <row r="11" spans="1:13">
      <c r="A11" s="32" t="s">
        <v>112</v>
      </c>
      <c r="B11" s="32" t="s">
        <v>114</v>
      </c>
      <c r="D11" s="32" t="s">
        <v>113</v>
      </c>
    </row>
    <row r="13" spans="1:13">
      <c r="A13" s="32" t="s">
        <v>115</v>
      </c>
    </row>
    <row r="14" spans="1:13">
      <c r="A14" s="32" t="s">
        <v>116</v>
      </c>
    </row>
    <row r="16" spans="1:13">
      <c r="A16" s="32" t="s">
        <v>119</v>
      </c>
      <c r="B16" s="33" t="s">
        <v>117</v>
      </c>
      <c r="C16" s="32" t="s">
        <v>118</v>
      </c>
      <c r="E16" s="32" t="s">
        <v>121</v>
      </c>
      <c r="F16" s="32" t="s">
        <v>122</v>
      </c>
    </row>
    <row r="17" spans="2:3">
      <c r="B17" s="32" t="s">
        <v>123</v>
      </c>
      <c r="C17" s="32" t="s">
        <v>120</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2025-08-05T03:01:05Z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