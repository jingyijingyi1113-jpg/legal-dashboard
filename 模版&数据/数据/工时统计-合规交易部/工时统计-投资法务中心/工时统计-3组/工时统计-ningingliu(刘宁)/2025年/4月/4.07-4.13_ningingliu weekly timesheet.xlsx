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ning/Documents/- CTD /# Timesheet/2. Weipan version/"/>
    </mc:Choice>
  </mc:AlternateContent>
  <xr:revisionPtr revIDLastSave="0" documentId="13_ncr:1_{E92ED03E-A66C-AA4B-B755-B7EFD7393007}" xr6:coauthVersionLast="47" xr6:coauthVersionMax="47" xr10:uidLastSave="{00000000-0000-0000-0000-000000000000}"/>
  <bookViews>
    <workbookView xWindow="9640" yWindow="760" windowWidth="20600" windowHeight="17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<sst xmlns="http://schemas.openxmlformats.org/spreadsheetml/2006/main" count="220" uniqueCount="104">
  <si>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</si>
  <si>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</si>
  <si>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</si>
  <si>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</si>
  <si>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</si>
  <si>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</si>
  <si>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</si>
  <si>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</si>
  <si>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</si>
  <si>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</si>
  <si>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</si>
  <si>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</si>
  <si>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</si>
  <si>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</si>
  <si>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</si>
  <si>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</si>
  <si>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</si>
  <si>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</si>
  <si>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</si>
  <si>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</si>
  <si>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</si>
  <si>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</si>
  <si>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</si>
  <si>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</si>
  <si>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</si>
  <si>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</si>
  <si>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</si>
  <si>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</si>
  <si>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</si>
  <si>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</si>
  <si>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</si>
  <si>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</si>
  <si>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</si>
  <si>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</si>
  <si>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</si>
  <si>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</si>
  <si>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</si>
  <si>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</si>
  <si>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</si>
  <si>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</si>
  <si>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</si>
  <si>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</si>
  <si>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</si>
  <si>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</si>
  <si>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</si>
  <si>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</si>
  <si>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</si>
  <si>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</si>
  <si>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</si>
  <si>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</si>
  <si>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</si>
  <si>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</si>
  <si>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</si>
  <si>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</si>
  <si>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</si>
  <si>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</si>
  <si>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</si>
  <si>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</si>
  <si>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</si>
  <si>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</si>
  <si>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</si>
  <si>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</si>
  <si>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</si>
  <si>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</si>
  <si>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</si>
  <si>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</si>
  <si>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</si>
  <si>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</si>
  <si>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</si>
  <si>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</si>
  <si>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</si>
  <si>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</si>
  <si>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</si>
  <si>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</si>
  <si>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SEON</t>
    <phoneticPr fontId="7" type="noConversion"/>
  </si>
  <si>
    <t>小时单&amp;deals update</t>
    <phoneticPr fontId="7" type="noConversion"/>
  </si>
  <si>
    <t>Crytek</t>
    <phoneticPr fontId="7" type="noConversion"/>
  </si>
  <si>
    <t>海航JV</t>
    <phoneticPr fontId="7" type="noConversion"/>
  </si>
  <si>
    <t>Public - Knowledge Accumulation &amp; Sharing</t>
  </si>
  <si>
    <t>项目跟进和内部沟通</t>
  </si>
  <si>
    <t>夏尔巴三期</t>
    <phoneticPr fontId="7" type="noConversion"/>
  </si>
  <si>
    <t>海航JV 回购安排沟通</t>
  </si>
  <si>
    <t>精细化管理工具搭建 Adoption of refined management tools</t>
  </si>
  <si>
    <t>Recording/reviewing deals updates/weekly time reports/other team summaries</t>
  </si>
  <si>
    <t>春雨医生</t>
    <phoneticPr fontId="7" type="noConversion"/>
  </si>
  <si>
    <t>Final close文件预沟通。</t>
    <phoneticPr fontId="7" type="noConversion"/>
  </si>
  <si>
    <t>Hiro Capital II</t>
  </si>
  <si>
    <t xml:space="preserve">AML/KYC Periodic Review </t>
  </si>
  <si>
    <t>律师费汇总与统计</t>
    <phoneticPr fontId="7" type="noConversion"/>
  </si>
  <si>
    <t>例会</t>
    <phoneticPr fontId="7" type="noConversion"/>
  </si>
  <si>
    <t xml:space="preserve"> 2025年第一次定期董事会会议议案和应对方案，开会内部汇报文件，本次议案内容审阅</t>
    <phoneticPr fontId="7" type="noConversion"/>
  </si>
  <si>
    <t xml:space="preserve">红杉七期LP出资违约条款核查和反馈 </t>
  </si>
  <si>
    <t>红杉七期</t>
    <phoneticPr fontId="7" type="noConversion"/>
  </si>
  <si>
    <t>Northzone</t>
  </si>
  <si>
    <t>投后工作</t>
    <phoneticPr fontId="7" type="noConversion"/>
  </si>
  <si>
    <t>交易定稿以及付款审批+周会调整 +Crytek签署流程和释放安排对齐</t>
    <phoneticPr fontId="7" type="noConversion"/>
  </si>
  <si>
    <t>杏泽S基金</t>
    <phoneticPr fontId="7" type="noConversion"/>
  </si>
  <si>
    <t>基金交割和付款推进</t>
  </si>
  <si>
    <t>境内外金融业务资质申请 Application for domestic and overseas financial business licenses</t>
  </si>
  <si>
    <t>ISDA Documentation-CSA部分</t>
    <phoneticPr fontId="7" type="noConversion"/>
  </si>
  <si>
    <t>Khosla Funds</t>
    <phoneticPr fontId="7" type="noConversion"/>
  </si>
  <si>
    <t>项目卷入和对齐</t>
    <phoneticPr fontId="7" type="noConversion"/>
  </si>
  <si>
    <t>FOF fund of one TS</t>
  </si>
  <si>
    <t>与Jia&amp;Yufei沟通基金项目情况</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</si>
</sst>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91" zoomScaleNormal="150" workbookViewId="0">
      <selection activeCell="G8" sqref="G8"/>
    </sheetView>
  </sheetViews>
  <sheetFormatPr baseColWidth="10" defaultColWidth="9" defaultRowHeight="15"/>
  <cols>
    <col min="3" max="3" width="26.1640625" style="13" customWidth="1"/>
    <col min="4" max="4" width="15.1640625" customWidth="1"/>
    <col min="5" max="5" width="10.6640625" customWidth="1"/>
    <col min="6" max="6" width="29.83203125" style="13" customWidth="1"/>
    <col min="8" max="8" width="18.1640625" style="13" customWidth="1"/>
    <col min="9" max="9" width="56.66406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6" t="s">
        <v>84</v>
      </c>
      <c r="E4" s="8" t="s">
        <v>40</v>
      </c>
      <c r="F4" s="12" t="s">
        <v>73</v>
      </c>
      <c r="G4" s="8">
        <v>6.1</v>
      </c>
      <c r="H4" s="12" t="s">
        <v>20</v>
      </c>
      <c r="I4" s="25" t="s">
        <v>90</v>
      </c>
    </row>
    <row r="5" spans="2:9" ht="42">
      <c r="B5" s="14" t="s">
        <v>72</v>
      </c>
      <c r="C5" s="12" t="s">
        <v>14</v>
      </c>
      <c r="D5" s="26" t="s">
        <v>80</v>
      </c>
      <c r="E5" s="8" t="s">
        <v>40</v>
      </c>
      <c r="F5" s="12" t="s">
        <v>73</v>
      </c>
      <c r="G5" s="26">
        <v>0.3</v>
      </c>
      <c r="H5" s="12" t="s">
        <v>20</v>
      </c>
      <c r="I5" s="25" t="s">
        <v>85</v>
      </c>
    </row>
    <row r="6" spans="2:9" ht="42">
      <c r="B6" s="14" t="s">
        <v>72</v>
      </c>
      <c r="C6" s="12" t="s">
        <v>14</v>
      </c>
      <c r="D6" s="26" t="s">
        <v>74</v>
      </c>
      <c r="E6" s="8" t="s">
        <v>40</v>
      </c>
      <c r="F6" s="12" t="s">
        <v>73</v>
      </c>
      <c r="G6" s="8">
        <v>1.3</v>
      </c>
      <c r="H6" s="12" t="s">
        <v>20</v>
      </c>
      <c r="I6" s="25" t="s">
        <v>79</v>
      </c>
    </row>
    <row r="7" spans="2:9" ht="42">
      <c r="B7" s="14" t="s">
        <v>72</v>
      </c>
      <c r="C7" s="12" t="s">
        <v>14</v>
      </c>
      <c r="D7" s="26" t="s">
        <v>86</v>
      </c>
      <c r="E7" s="8" t="s">
        <v>40</v>
      </c>
      <c r="F7" s="12" t="s">
        <v>73</v>
      </c>
      <c r="G7" s="26">
        <v>0.5</v>
      </c>
      <c r="H7" s="12" t="s">
        <v>20</v>
      </c>
      <c r="I7" s="25" t="s">
        <v>87</v>
      </c>
    </row>
    <row r="8" spans="2:9" ht="28">
      <c r="B8" s="14" t="s">
        <v>72</v>
      </c>
      <c r="C8" s="12" t="s">
        <v>14</v>
      </c>
      <c r="D8" s="26" t="s">
        <v>76</v>
      </c>
      <c r="E8" s="8" t="s">
        <v>40</v>
      </c>
      <c r="F8" s="12" t="s">
        <v>73</v>
      </c>
      <c r="G8" s="8">
        <v>7.2</v>
      </c>
      <c r="H8" s="12" t="s">
        <v>36</v>
      </c>
      <c r="I8" s="25" t="s">
        <v>95</v>
      </c>
    </row>
    <row r="9" spans="2:9" ht="42">
      <c r="B9" s="14" t="s">
        <v>72</v>
      </c>
      <c r="C9" s="12" t="s">
        <v>14</v>
      </c>
      <c r="D9" s="26" t="s">
        <v>92</v>
      </c>
      <c r="E9" s="8" t="s">
        <v>40</v>
      </c>
      <c r="F9" s="12" t="s">
        <v>73</v>
      </c>
      <c r="G9" s="8">
        <v>0.7</v>
      </c>
      <c r="H9" s="12" t="s">
        <v>20</v>
      </c>
      <c r="I9" s="25" t="s">
        <v>91</v>
      </c>
    </row>
    <row r="10" spans="2:9" ht="42">
      <c r="B10" s="14" t="s">
        <v>72</v>
      </c>
      <c r="C10" s="12" t="s">
        <v>14</v>
      </c>
      <c r="D10" s="26" t="s">
        <v>100</v>
      </c>
      <c r="E10" s="8" t="s">
        <v>40</v>
      </c>
      <c r="F10" s="12" t="s">
        <v>73</v>
      </c>
      <c r="G10" s="8">
        <v>1</v>
      </c>
      <c r="H10" s="12" t="s">
        <v>20</v>
      </c>
      <c r="I10" s="25" t="s">
        <v>101</v>
      </c>
    </row>
    <row r="11" spans="2:9" ht="42">
      <c r="B11" s="14" t="s">
        <v>72</v>
      </c>
      <c r="C11" s="12" t="s">
        <v>14</v>
      </c>
      <c r="D11" s="26" t="s">
        <v>93</v>
      </c>
      <c r="E11" s="8" t="s">
        <v>40</v>
      </c>
      <c r="F11" s="12" t="s">
        <v>73</v>
      </c>
      <c r="G11" s="8">
        <v>0.6</v>
      </c>
      <c r="H11" s="12" t="s">
        <v>20</v>
      </c>
      <c r="I11" s="25" t="s">
        <v>94</v>
      </c>
    </row>
    <row r="12" spans="2:9" ht="42">
      <c r="B12" s="14" t="s">
        <v>72</v>
      </c>
      <c r="C12" s="12" t="s">
        <v>14</v>
      </c>
      <c r="D12" s="26" t="s">
        <v>96</v>
      </c>
      <c r="E12" s="8" t="s">
        <v>40</v>
      </c>
      <c r="F12" s="12" t="s">
        <v>73</v>
      </c>
      <c r="G12" s="8">
        <v>5.3</v>
      </c>
      <c r="H12" s="12" t="s">
        <v>20</v>
      </c>
      <c r="I12" s="25" t="s">
        <v>97</v>
      </c>
    </row>
    <row r="13" spans="2:9" ht="42">
      <c r="B13" s="14" t="s">
        <v>72</v>
      </c>
      <c r="C13" s="12" t="s">
        <v>14</v>
      </c>
      <c r="D13" s="26" t="s">
        <v>77</v>
      </c>
      <c r="E13" s="8" t="s">
        <v>40</v>
      </c>
      <c r="F13" s="12" t="s">
        <v>73</v>
      </c>
      <c r="G13" s="8">
        <v>0.7</v>
      </c>
      <c r="H13" s="12" t="s">
        <v>20</v>
      </c>
      <c r="I13" s="25" t="s">
        <v>81</v>
      </c>
    </row>
    <row r="14" spans="2:9" ht="28">
      <c r="B14" s="14" t="s">
        <v>72</v>
      </c>
      <c r="C14" s="12" t="s">
        <v>14</v>
      </c>
      <c r="D14" s="26"/>
      <c r="E14" s="8" t="s">
        <v>40</v>
      </c>
      <c r="F14" s="12" t="s">
        <v>73</v>
      </c>
      <c r="G14" s="8">
        <v>3.8</v>
      </c>
      <c r="H14" s="12" t="s">
        <v>27</v>
      </c>
      <c r="I14" s="25" t="s">
        <v>88</v>
      </c>
    </row>
    <row r="15" spans="2:9" ht="28">
      <c r="B15" s="14" t="s">
        <v>72</v>
      </c>
      <c r="C15" s="12" t="s">
        <v>14</v>
      </c>
      <c r="D15" s="26"/>
      <c r="E15" s="8" t="s">
        <v>40</v>
      </c>
      <c r="F15" s="12" t="s">
        <v>73</v>
      </c>
      <c r="G15" s="8">
        <v>1.1000000000000001</v>
      </c>
      <c r="H15" s="12" t="s">
        <v>34</v>
      </c>
      <c r="I15" s="25" t="s">
        <v>89</v>
      </c>
    </row>
    <row r="16" spans="2:9" ht="28">
      <c r="B16" s="14" t="s">
        <v>72</v>
      </c>
      <c r="C16" s="12" t="s">
        <v>78</v>
      </c>
      <c r="D16" s="26"/>
      <c r="E16" s="8" t="s">
        <v>40</v>
      </c>
      <c r="F16" s="12" t="s">
        <v>82</v>
      </c>
      <c r="G16" s="8">
        <v>1.5</v>
      </c>
      <c r="H16" s="12" t="s">
        <v>27</v>
      </c>
      <c r="I16" s="25" t="s">
        <v>102</v>
      </c>
    </row>
    <row r="17" spans="2:9" ht="28">
      <c r="B17" s="14" t="s">
        <v>72</v>
      </c>
      <c r="C17" s="12" t="s">
        <v>78</v>
      </c>
      <c r="D17" s="26"/>
      <c r="E17" s="8" t="s">
        <v>40</v>
      </c>
      <c r="F17" s="12" t="s">
        <v>82</v>
      </c>
      <c r="G17" s="8">
        <v>1.6</v>
      </c>
      <c r="H17" s="12" t="s">
        <v>27</v>
      </c>
      <c r="I17" s="25" t="s">
        <v>103</v>
      </c>
    </row>
    <row r="18" spans="2:9" ht="42">
      <c r="B18" s="14" t="s">
        <v>72</v>
      </c>
      <c r="C18" s="12" t="s">
        <v>78</v>
      </c>
      <c r="D18" s="26"/>
      <c r="E18" s="8" t="s">
        <v>40</v>
      </c>
      <c r="F18" s="12" t="s">
        <v>98</v>
      </c>
      <c r="G18" s="8">
        <v>2</v>
      </c>
      <c r="H18" s="12" t="s">
        <v>34</v>
      </c>
      <c r="I18" s="25" t="s">
        <v>99</v>
      </c>
    </row>
    <row r="19" spans="2:9" ht="56">
      <c r="B19" s="14" t="s">
        <v>72</v>
      </c>
      <c r="C19" s="27" t="s">
        <v>18</v>
      </c>
      <c r="D19" s="26"/>
      <c r="E19" s="8" t="s">
        <v>40</v>
      </c>
      <c r="F19" s="27" t="s">
        <v>82</v>
      </c>
      <c r="G19" s="26">
        <v>1.8</v>
      </c>
      <c r="H19" s="27" t="s">
        <v>83</v>
      </c>
      <c r="I19" s="25" t="s">
        <v>75</v>
      </c>
    </row>
    <row r="20" spans="2:9">
      <c r="B20" s="20"/>
      <c r="C20" s="21"/>
      <c r="D20" s="22"/>
      <c r="E20" s="22"/>
      <c r="F20" s="24" t="s">
        <v>67</v>
      </c>
      <c r="G20" s="31">
        <f>SUM(G3:G19)</f>
        <v>35.5</v>
      </c>
      <c r="H20" s="32"/>
      <c r="I20" s="33"/>
    </row>
    <row r="21" spans="2:9" ht="16" thickBot="1">
      <c r="B21" s="17"/>
      <c r="C21" s="18"/>
      <c r="D21" s="19"/>
      <c r="E21" s="19"/>
      <c r="F21" s="23" t="s">
        <v>68</v>
      </c>
      <c r="G21" s="28">
        <v>4.5</v>
      </c>
      <c r="H21" s="29"/>
      <c r="I21" s="30"/>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C20:C21 C4:C18</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2025-04-14T03:37:05Z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