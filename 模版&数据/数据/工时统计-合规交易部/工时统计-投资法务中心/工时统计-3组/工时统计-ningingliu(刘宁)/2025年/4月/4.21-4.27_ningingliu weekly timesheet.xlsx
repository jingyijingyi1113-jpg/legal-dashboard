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891BB131-FC18-2843-9890-7BBB1405B96B}" xr6:coauthVersionLast="47" xr6:coauthVersionMax="47" xr10:uidLastSave="{00000000-0000-0000-0000-000000000000}"/>
  <bookViews>
    <workbookView xWindow="34360" yWindow="-5820" windowWidth="41240" windowHeight="27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<sst xmlns="http://schemas.openxmlformats.org/spreadsheetml/2006/main" count="212" uniqueCount="103">
  <si>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</si>
  <si>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</si>
  <si>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</si>
  <si>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</si>
  <si>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</si>
  <si>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</si>
  <si>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</si>
  <si>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</si>
  <si>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</si>
  <si>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</si>
  <si>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</si>
  <si>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</si>
  <si>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</si>
  <si>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</si>
  <si>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</si>
  <si>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</si>
  <si>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</si>
  <si>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</si>
  <si>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</si>
  <si>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</si>
  <si>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</si>
  <si>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</si>
  <si>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</si>
  <si>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</si>
  <si>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</si>
  <si>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</si>
  <si>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</si>
  <si>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</si>
  <si>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</si>
  <si>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</si>
  <si>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</si>
  <si>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</si>
  <si>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</si>
  <si>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</si>
  <si>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</si>
  <si>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</si>
  <si>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</si>
  <si>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</si>
  <si>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</si>
  <si>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</si>
  <si>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</si>
  <si>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</si>
  <si>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</si>
  <si>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</si>
  <si>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</si>
  <si>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</si>
  <si>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</si>
  <si>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</si>
  <si>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</si>
  <si>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</si>
  <si>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</si>
  <si>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</si>
  <si>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</si>
  <si>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</si>
  <si>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</si>
  <si>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</si>
  <si>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</si>
  <si>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</si>
  <si>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</si>
  <si>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</si>
  <si>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</si>
  <si>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</si>
  <si>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</si>
  <si>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</si>
  <si>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</si>
  <si>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</si>
  <si>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</si>
  <si>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</si>
  <si>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</si>
  <si>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</si>
  <si>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</si>
  <si>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</si>
  <si>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</si>
  <si>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</si>
  <si>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SEON</t>
    <phoneticPr fontId="7" type="noConversion"/>
  </si>
  <si>
    <t>小时单&amp;deals update</t>
    <phoneticPr fontId="7" type="noConversion"/>
  </si>
  <si>
    <t>Crytek</t>
    <phoneticPr fontId="7" type="noConversion"/>
  </si>
  <si>
    <t>海航JV</t>
    <phoneticPr fontId="7" type="noConversion"/>
  </si>
  <si>
    <t>Public - Knowledge Accumulation &amp; Sharing</t>
  </si>
  <si>
    <t>夏尔巴三期</t>
    <phoneticPr fontId="7" type="noConversion"/>
  </si>
  <si>
    <t>精细化管理工具搭建 Adoption of refined management tools</t>
  </si>
  <si>
    <t>Recording/reviewing deals updates/weekly time reports/other team summaries</t>
  </si>
  <si>
    <t>例会</t>
    <phoneticPr fontId="7" type="noConversion"/>
  </si>
  <si>
    <t>境内外金融业务资质申请 Application for domestic and overseas financial business licenses</t>
  </si>
  <si>
    <t>Providing training sessions/knowledge sharing</t>
  </si>
  <si>
    <t>Hotdesk 项目咨询</t>
    <phoneticPr fontId="7" type="noConversion"/>
  </si>
  <si>
    <t xml:space="preserve">Felicis Ventures lll,L.P. </t>
  </si>
  <si>
    <t xml:space="preserve"> 延期查询 </t>
    <phoneticPr fontId="7" type="noConversion"/>
  </si>
  <si>
    <t>夏尔巴三期延期事宜</t>
  </si>
  <si>
    <t>基金项目交接清单</t>
  </si>
  <si>
    <t>DST</t>
    <phoneticPr fontId="7" type="noConversion"/>
  </si>
  <si>
    <t>定期讨论+bullet point的核心要点。</t>
  </si>
  <si>
    <t>同步会</t>
    <phoneticPr fontId="7" type="noConversion"/>
  </si>
  <si>
    <t>与Mia开会同步项目情况</t>
  </si>
  <si>
    <t>基金项目跟进+NDA审阅+KYC安排 +电话会和文件清单发出</t>
    <phoneticPr fontId="7" type="noConversion"/>
  </si>
  <si>
    <t>Fund of one</t>
    <phoneticPr fontId="7" type="noConversion"/>
  </si>
  <si>
    <t>Public - Infrastructure &amp; Guidance</t>
  </si>
  <si>
    <t>CFIUS and LF 情况跟进和回复文件review+TS延期</t>
    <phoneticPr fontId="7" type="noConversion"/>
  </si>
  <si>
    <t>爱钥科技</t>
    <phoneticPr fontId="7" type="noConversion"/>
  </si>
  <si>
    <t>舟宇项目交接+丹宁项目会议</t>
    <phoneticPr fontId="7" type="noConversion"/>
  </si>
  <si>
    <t>保腾盛</t>
    <phoneticPr fontId="7" type="noConversion"/>
  </si>
  <si>
    <t>关于召开深圳市保腾盛私募股权基金管理有限公司第一届董事会第二十四次会议事宜</t>
  </si>
  <si>
    <t xml:space="preserve">律师电话会 文件审阅+微信讨论和邮件跟进+项目对齐和会议+Reserve matters 审阅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</si>
</sst>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6" fillId="0" borderId="7" xfId="0" applyFont="1" applyBorder="1" applyAlignment="1">
      <alignment horizontal="center" vertical="center" wrapText="1"/>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10" zoomScaleNormal="110" workbookViewId="0">
      <selection activeCell="N4" sqref="N4"/>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32" t="s">
        <v>6</v>
      </c>
    </row>
    <row r="3" spans="2:9" ht="208" customHeight="1">
      <c r="B3" s="6" t="s">
        <v>7</v>
      </c>
      <c r="C3" s="7" t="s">
        <v>8</v>
      </c>
      <c r="D3" s="7" t="s">
        <v>9</v>
      </c>
      <c r="E3" s="7" t="s">
        <v>59</v>
      </c>
      <c r="F3" s="7" t="s">
        <v>57</v>
      </c>
      <c r="G3" s="7" t="s">
        <v>10</v>
      </c>
      <c r="H3" s="7" t="s">
        <v>11</v>
      </c>
      <c r="I3" s="9" t="s">
        <v>12</v>
      </c>
    </row>
    <row r="4" spans="2:9" ht="42">
      <c r="B4" s="13" t="s">
        <v>72</v>
      </c>
      <c r="C4" s="11" t="s">
        <v>14</v>
      </c>
      <c r="D4" s="24" t="s">
        <v>76</v>
      </c>
      <c r="E4" s="8" t="s">
        <v>40</v>
      </c>
      <c r="F4" s="11" t="s">
        <v>73</v>
      </c>
      <c r="G4" s="8">
        <v>19.100000000000001</v>
      </c>
      <c r="H4" s="11" t="s">
        <v>20</v>
      </c>
      <c r="I4" s="33" t="s">
        <v>102</v>
      </c>
    </row>
    <row r="5" spans="2:9" ht="28">
      <c r="B5" s="13" t="s">
        <v>72</v>
      </c>
      <c r="C5" s="11" t="s">
        <v>14</v>
      </c>
      <c r="D5" s="24" t="s">
        <v>86</v>
      </c>
      <c r="E5" s="8" t="s">
        <v>40</v>
      </c>
      <c r="F5" s="11" t="s">
        <v>73</v>
      </c>
      <c r="G5" s="8">
        <v>0.6</v>
      </c>
      <c r="H5" s="11" t="s">
        <v>36</v>
      </c>
      <c r="I5" s="33" t="s">
        <v>87</v>
      </c>
    </row>
    <row r="6" spans="2:9" ht="42">
      <c r="B6" s="13" t="s">
        <v>72</v>
      </c>
      <c r="C6" s="11" t="s">
        <v>14</v>
      </c>
      <c r="D6" s="24" t="s">
        <v>79</v>
      </c>
      <c r="E6" s="8" t="s">
        <v>40</v>
      </c>
      <c r="F6" s="11" t="s">
        <v>73</v>
      </c>
      <c r="G6" s="24">
        <v>3.2</v>
      </c>
      <c r="H6" s="11" t="s">
        <v>20</v>
      </c>
      <c r="I6" s="33" t="s">
        <v>88</v>
      </c>
    </row>
    <row r="7" spans="2:9" ht="42">
      <c r="B7" s="13" t="s">
        <v>72</v>
      </c>
      <c r="C7" s="11" t="s">
        <v>14</v>
      </c>
      <c r="D7" s="24" t="s">
        <v>90</v>
      </c>
      <c r="E7" s="8" t="s">
        <v>40</v>
      </c>
      <c r="F7" s="11" t="s">
        <v>73</v>
      </c>
      <c r="G7" s="8">
        <v>6.7</v>
      </c>
      <c r="H7" s="11" t="s">
        <v>20</v>
      </c>
      <c r="I7" s="33" t="s">
        <v>94</v>
      </c>
    </row>
    <row r="8" spans="2:9" ht="42">
      <c r="B8" s="13" t="s">
        <v>72</v>
      </c>
      <c r="C8" s="11" t="s">
        <v>14</v>
      </c>
      <c r="D8" s="24" t="s">
        <v>74</v>
      </c>
      <c r="E8" s="8" t="s">
        <v>40</v>
      </c>
      <c r="F8" s="11" t="s">
        <v>73</v>
      </c>
      <c r="G8" s="24">
        <v>4.5</v>
      </c>
      <c r="H8" s="11" t="s">
        <v>20</v>
      </c>
      <c r="I8" s="33" t="s">
        <v>97</v>
      </c>
    </row>
    <row r="9" spans="2:9" ht="42">
      <c r="B9" s="13" t="s">
        <v>72</v>
      </c>
      <c r="C9" s="11" t="s">
        <v>14</v>
      </c>
      <c r="D9" s="24" t="s">
        <v>98</v>
      </c>
      <c r="E9" s="8" t="s">
        <v>40</v>
      </c>
      <c r="F9" s="11" t="s">
        <v>73</v>
      </c>
      <c r="G9" s="8">
        <v>1.5</v>
      </c>
      <c r="H9" s="11" t="s">
        <v>20</v>
      </c>
      <c r="I9" s="33" t="s">
        <v>91</v>
      </c>
    </row>
    <row r="10" spans="2:9" ht="42">
      <c r="B10" s="13" t="s">
        <v>72</v>
      </c>
      <c r="C10" s="11" t="s">
        <v>14</v>
      </c>
      <c r="D10" s="24" t="s">
        <v>77</v>
      </c>
      <c r="E10" s="8" t="s">
        <v>40</v>
      </c>
      <c r="F10" s="11" t="s">
        <v>73</v>
      </c>
      <c r="G10" s="8">
        <v>0.7</v>
      </c>
      <c r="H10" s="11" t="s">
        <v>20</v>
      </c>
      <c r="I10" s="33" t="s">
        <v>92</v>
      </c>
    </row>
    <row r="11" spans="2:9" ht="42">
      <c r="B11" s="13" t="s">
        <v>72</v>
      </c>
      <c r="C11" s="11" t="s">
        <v>14</v>
      </c>
      <c r="D11" s="24" t="s">
        <v>100</v>
      </c>
      <c r="E11" s="8" t="s">
        <v>40</v>
      </c>
      <c r="F11" s="11" t="s">
        <v>73</v>
      </c>
      <c r="G11" s="8">
        <v>0.7</v>
      </c>
      <c r="H11" s="11" t="s">
        <v>20</v>
      </c>
      <c r="I11" s="33" t="s">
        <v>101</v>
      </c>
    </row>
    <row r="12" spans="2:9" ht="42">
      <c r="B12" s="13" t="s">
        <v>72</v>
      </c>
      <c r="C12" s="11" t="s">
        <v>96</v>
      </c>
      <c r="D12" s="24"/>
      <c r="E12" s="8" t="s">
        <v>40</v>
      </c>
      <c r="F12" s="11" t="s">
        <v>73</v>
      </c>
      <c r="G12" s="8">
        <v>5</v>
      </c>
      <c r="H12" s="11" t="s">
        <v>20</v>
      </c>
      <c r="I12" s="33" t="s">
        <v>95</v>
      </c>
    </row>
    <row r="13" spans="2:9" ht="42">
      <c r="B13" s="13" t="s">
        <v>72</v>
      </c>
      <c r="C13" s="11" t="s">
        <v>78</v>
      </c>
      <c r="D13" s="24"/>
      <c r="E13" s="8" t="s">
        <v>40</v>
      </c>
      <c r="F13" s="11" t="s">
        <v>73</v>
      </c>
      <c r="G13" s="8">
        <v>3</v>
      </c>
      <c r="H13" s="11" t="s">
        <v>84</v>
      </c>
      <c r="I13" s="33" t="s">
        <v>85</v>
      </c>
    </row>
    <row r="14" spans="2:9" ht="28">
      <c r="B14" s="13" t="s">
        <v>72</v>
      </c>
      <c r="C14" s="11" t="s">
        <v>78</v>
      </c>
      <c r="D14" s="24"/>
      <c r="E14" s="8" t="s">
        <v>40</v>
      </c>
      <c r="F14" s="11" t="s">
        <v>80</v>
      </c>
      <c r="G14" s="8">
        <v>2</v>
      </c>
      <c r="H14" s="11" t="s">
        <v>27</v>
      </c>
      <c r="I14" s="33" t="s">
        <v>89</v>
      </c>
    </row>
    <row r="15" spans="2:9" ht="28">
      <c r="B15" s="13" t="s">
        <v>72</v>
      </c>
      <c r="C15" s="11" t="s">
        <v>14</v>
      </c>
      <c r="D15" s="24"/>
      <c r="E15" s="8" t="s">
        <v>40</v>
      </c>
      <c r="F15" s="11" t="s">
        <v>73</v>
      </c>
      <c r="G15" s="8">
        <v>1.5</v>
      </c>
      <c r="H15" s="11" t="s">
        <v>34</v>
      </c>
      <c r="I15" s="33" t="s">
        <v>82</v>
      </c>
    </row>
    <row r="16" spans="2:9" ht="28">
      <c r="B16" s="13" t="s">
        <v>72</v>
      </c>
      <c r="C16" s="11" t="s">
        <v>78</v>
      </c>
      <c r="D16" s="24"/>
      <c r="E16" s="8" t="s">
        <v>40</v>
      </c>
      <c r="F16" s="11" t="s">
        <v>80</v>
      </c>
      <c r="G16" s="8">
        <v>1.6</v>
      </c>
      <c r="H16" s="11" t="s">
        <v>27</v>
      </c>
      <c r="I16" s="33" t="s">
        <v>93</v>
      </c>
    </row>
    <row r="17" spans="2:9" ht="42">
      <c r="B17" s="13" t="s">
        <v>72</v>
      </c>
      <c r="C17" s="11" t="s">
        <v>78</v>
      </c>
      <c r="D17" s="24"/>
      <c r="E17" s="8" t="s">
        <v>40</v>
      </c>
      <c r="F17" s="11" t="s">
        <v>83</v>
      </c>
      <c r="G17" s="8">
        <v>1.5</v>
      </c>
      <c r="H17" s="11" t="s">
        <v>27</v>
      </c>
      <c r="I17" s="33" t="s">
        <v>99</v>
      </c>
    </row>
    <row r="18" spans="2:9" ht="56">
      <c r="B18" s="13" t="s">
        <v>72</v>
      </c>
      <c r="C18" s="25" t="s">
        <v>18</v>
      </c>
      <c r="D18" s="24"/>
      <c r="E18" s="8" t="s">
        <v>40</v>
      </c>
      <c r="F18" s="25" t="s">
        <v>80</v>
      </c>
      <c r="G18" s="24">
        <v>1.8</v>
      </c>
      <c r="H18" s="25" t="s">
        <v>81</v>
      </c>
      <c r="I18" s="33" t="s">
        <v>75</v>
      </c>
    </row>
    <row r="19" spans="2:9">
      <c r="B19" s="19"/>
      <c r="C19" s="20"/>
      <c r="D19" s="21"/>
      <c r="E19" s="21"/>
      <c r="F19" s="23" t="s">
        <v>67</v>
      </c>
      <c r="G19" s="29">
        <f>SUM(G3:G18)</f>
        <v>53.400000000000006</v>
      </c>
      <c r="H19" s="30"/>
      <c r="I19" s="31"/>
    </row>
    <row r="20" spans="2:9" ht="16" thickBot="1">
      <c r="B20" s="16"/>
      <c r="C20" s="17"/>
      <c r="D20" s="18"/>
      <c r="E20" s="18"/>
      <c r="F20" s="22" t="s">
        <v>68</v>
      </c>
      <c r="G20" s="26">
        <v>6</v>
      </c>
      <c r="H20" s="27"/>
      <c r="I20" s="28"/>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 C4:C17</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2025-04-30T08:25:01Z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