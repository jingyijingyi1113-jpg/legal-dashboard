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mc:AlternateContent xmlns:mc="http://schemas.openxmlformats.org/markup-compatibility/2006">
    <mc:Choice Requires="x15">
      <x15ac:absPath xmlns:x15ac="http://schemas.microsoft.com/office/spreadsheetml/2010/11/ac" url="/Users/ning/Documents/- CTD /# Timesheet/2. Weipan version/2025 Q1/"/>
    </mc:Choice>
  </mc:AlternateContent>
  <xr:revisionPtr revIDLastSave="0" documentId="13_ncr:1_{F363D2FB-B6F6-B848-B75C-6CF7FEBF6EC1}" xr6:coauthVersionLast="47" xr6:coauthVersionMax="47" xr10:uidLastSave="{00000000-0000-0000-0000-000000000000}"/>
  <bookViews>
    <workbookView xWindow="36740" yWindow="-5480" windowWidth="21880" windowHeight="177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<sst xmlns="http://schemas.openxmlformats.org/spreadsheetml/2006/main" count="233" uniqueCount="107">
  <si>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</si>
  <si>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</si>
  <si>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</si>
  <si>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</si>
  <si>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</si>
  <si>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</si>
  <si>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</si>
  <si>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</si>
  <si>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</si>
  <si>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</si>
  <si>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</si>
  <si>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</si>
  <si>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</si>
  <si>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</si>
  <si>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</si>
  <si>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</si>
  <si>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</si>
  <si>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</si>
  <si>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</si>
  <si>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</si>
  <si>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</si>
  <si>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</si>
  <si>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</si>
  <si>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</si>
  <si>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</si>
  <si>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</si>
  <si>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</si>
  <si>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</si>
  <si>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</si>
  <si>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</si>
  <si>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</si>
  <si>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</si>
  <si>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</si>
  <si>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</si>
  <si>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</si>
  <si>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</si>
  <si>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</si>
  <si>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</si>
  <si>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</si>
  <si>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</si>
  <si>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</si>
  <si>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</si>
  <si>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</si>
  <si>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</si>
  <si>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</si>
  <si>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</si>
  <si>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</si>
  <si>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</si>
  <si>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</si>
  <si>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</si>
  <si>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</si>
  <si>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</si>
  <si>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</si>
  <si>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</si>
  <si>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</si>
  <si>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</si>
  <si>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</si>
  <si>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</si>
  <si>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</si>
  <si>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</si>
  <si>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</si>
  <si>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</si>
  <si>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</si>
  <si>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</si>
  <si>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</si>
  <si>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</si>
  <si>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</si>
  <si>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</si>
  <si>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</si>
  <si>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</si>
  <si>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</si>
  <si>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</si>
  <si>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</si>
  <si>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</si>
  <si>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更美</t>
    <phoneticPr fontId="7" type="noConversion"/>
  </si>
  <si>
    <t>SEON</t>
    <phoneticPr fontId="7" type="noConversion"/>
  </si>
  <si>
    <t>夜莺科技</t>
    <phoneticPr fontId="7" type="noConversion"/>
  </si>
  <si>
    <t>春雨医生</t>
  </si>
  <si>
    <t>小时单&amp;deals update</t>
    <phoneticPr fontId="7" type="noConversion"/>
  </si>
  <si>
    <t>Crytek</t>
    <phoneticPr fontId="7" type="noConversion"/>
  </si>
  <si>
    <t>TPP Funds</t>
  </si>
  <si>
    <t>智谱科技</t>
    <phoneticPr fontId="7" type="noConversion"/>
  </si>
  <si>
    <t>智谱股改文件审阅</t>
  </si>
  <si>
    <t>优化Hotdesk和专家组制度 Optimization of Hotdesk and expert panel system</t>
  </si>
  <si>
    <t>Public - Knowledge Accumulation &amp; Sharing</t>
  </si>
  <si>
    <t>爱钥科技</t>
    <phoneticPr fontId="7" type="noConversion"/>
  </si>
  <si>
    <t>Khosla Funds</t>
    <phoneticPr fontId="7" type="noConversion"/>
  </si>
  <si>
    <t>CMC汉坤军工表格</t>
  </si>
  <si>
    <t>法务管理节点数据确认&amp;利通转股对投资公司的影响</t>
  </si>
  <si>
    <t>与同事电话沟通基金设立相关问题。</t>
    <phoneticPr fontId="7" type="noConversion"/>
  </si>
  <si>
    <t>收购碰头会</t>
  </si>
  <si>
    <t>LP核查情况</t>
  </si>
  <si>
    <t>深圳IXP</t>
  </si>
  <si>
    <t>股东会文件审阅</t>
  </si>
  <si>
    <t>内部汇报和SHA补充协议的修改</t>
  </si>
  <si>
    <t>华云中盛</t>
    <phoneticPr fontId="7" type="noConversion"/>
  </si>
  <si>
    <t>项目情况沟通，资金安全问题</t>
    <phoneticPr fontId="7" type="noConversion"/>
  </si>
  <si>
    <t>CFIUS DPW分析汇报</t>
  </si>
  <si>
    <t xml:space="preserve">进展情况沟通和内部汇报+诉讼文件申请审批和背景信息沟通+诉讼文件查询，分享与审批 </t>
    <phoneticPr fontId="7" type="noConversion"/>
  </si>
  <si>
    <t>CFIUS Alternative Structure结构邮件梳理和回报</t>
  </si>
  <si>
    <t>股东核查表格</t>
    <phoneticPr fontId="7" type="noConversion"/>
  </si>
  <si>
    <t>文件梳理和内部信息审阅+电话会update情况+文件审阅和跟进</t>
    <phoneticPr fontId="7" type="noConversion"/>
  </si>
  <si>
    <t xml:space="preserve">Kickoff，找律师， 并内部沟通+ Cfius 核查和yan总汇报 </t>
    <phoneticPr fontId="7" type="noConversion"/>
  </si>
  <si>
    <t xml:space="preserve">Dragonfly内部沟通 </t>
  </si>
  <si>
    <t>TS finalized</t>
    <phoneticPr fontId="7" type="noConversion"/>
  </si>
  <si>
    <t>Recording/reviewing deals updates/weekly time reports/other team summaries</t>
  </si>
  <si>
    <t>精细化管理工具搭建 Adoption of refined management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</si>
</sst>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12" zoomScale="91" zoomScaleNormal="150" workbookViewId="0">
      <selection activeCell="H10" sqref="H10"/>
    </sheetView>
  </sheetViews>
  <sheetFormatPr baseColWidth="10" defaultColWidth="9" defaultRowHeight="15"/>
  <cols>
    <col min="3" max="3" width="26.1640625" style="13" customWidth="1"/>
    <col min="4" max="4" width="15.1640625" customWidth="1"/>
    <col min="5" max="5" width="10.6640625" customWidth="1"/>
    <col min="6" max="6" width="29.83203125" style="13" customWidth="1"/>
    <col min="8" max="8" width="18.1640625" style="13" customWidth="1"/>
    <col min="9" max="9" width="56.66406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42">
      <c r="B4" s="14" t="s">
        <v>72</v>
      </c>
      <c r="C4" s="12" t="s">
        <v>14</v>
      </c>
      <c r="D4" s="26" t="s">
        <v>86</v>
      </c>
      <c r="E4" s="8" t="s">
        <v>40</v>
      </c>
      <c r="F4" s="12" t="s">
        <v>73</v>
      </c>
      <c r="G4" s="26">
        <v>3.6</v>
      </c>
      <c r="H4" s="12" t="s">
        <v>20</v>
      </c>
      <c r="I4" s="25" t="s">
        <v>102</v>
      </c>
    </row>
    <row r="5" spans="2:9" ht="42">
      <c r="B5" s="14" t="s">
        <v>72</v>
      </c>
      <c r="C5" s="12" t="s">
        <v>18</v>
      </c>
      <c r="D5" s="26"/>
      <c r="E5" s="8" t="s">
        <v>40</v>
      </c>
      <c r="F5" s="12" t="s">
        <v>73</v>
      </c>
      <c r="G5" s="8">
        <v>2.2000000000000002</v>
      </c>
      <c r="H5" s="12" t="s">
        <v>20</v>
      </c>
      <c r="I5" s="25" t="s">
        <v>87</v>
      </c>
    </row>
    <row r="6" spans="2:9" ht="42">
      <c r="B6" s="14" t="s">
        <v>72</v>
      </c>
      <c r="C6" s="12" t="s">
        <v>84</v>
      </c>
      <c r="D6" s="26"/>
      <c r="E6" s="8" t="s">
        <v>40</v>
      </c>
      <c r="F6" s="12" t="s">
        <v>73</v>
      </c>
      <c r="G6" s="8">
        <v>0.8</v>
      </c>
      <c r="H6" s="12" t="s">
        <v>20</v>
      </c>
      <c r="I6" s="25" t="s">
        <v>88</v>
      </c>
    </row>
    <row r="7" spans="2:9" ht="42">
      <c r="B7" s="14" t="s">
        <v>72</v>
      </c>
      <c r="C7" s="12" t="s">
        <v>14</v>
      </c>
      <c r="D7" s="26"/>
      <c r="E7" s="8" t="s">
        <v>40</v>
      </c>
      <c r="F7" s="12" t="s">
        <v>83</v>
      </c>
      <c r="G7" s="8">
        <v>0.6</v>
      </c>
      <c r="H7" s="12" t="s">
        <v>20</v>
      </c>
      <c r="I7" s="25" t="s">
        <v>89</v>
      </c>
    </row>
    <row r="8" spans="2:9" ht="42">
      <c r="B8" s="14" t="s">
        <v>72</v>
      </c>
      <c r="C8" s="12" t="s">
        <v>14</v>
      </c>
      <c r="D8" s="26" t="s">
        <v>77</v>
      </c>
      <c r="E8" s="8" t="s">
        <v>40</v>
      </c>
      <c r="F8" s="12" t="s">
        <v>73</v>
      </c>
      <c r="G8" s="8">
        <v>1.2</v>
      </c>
      <c r="H8" s="12" t="s">
        <v>20</v>
      </c>
      <c r="I8" s="25" t="s">
        <v>90</v>
      </c>
    </row>
    <row r="9" spans="2:9" ht="42">
      <c r="B9" s="14" t="s">
        <v>72</v>
      </c>
      <c r="C9" s="12" t="s">
        <v>14</v>
      </c>
      <c r="D9" s="26" t="s">
        <v>80</v>
      </c>
      <c r="E9" s="8" t="s">
        <v>40</v>
      </c>
      <c r="F9" s="12" t="s">
        <v>73</v>
      </c>
      <c r="G9" s="8">
        <v>2.6</v>
      </c>
      <c r="H9" s="12" t="s">
        <v>20</v>
      </c>
      <c r="I9" s="25" t="s">
        <v>91</v>
      </c>
    </row>
    <row r="10" spans="2:9" ht="42">
      <c r="B10" s="14" t="s">
        <v>72</v>
      </c>
      <c r="C10" s="12" t="s">
        <v>14</v>
      </c>
      <c r="D10" s="26" t="s">
        <v>92</v>
      </c>
      <c r="E10" s="8" t="s">
        <v>40</v>
      </c>
      <c r="F10" s="12" t="s">
        <v>73</v>
      </c>
      <c r="G10" s="26">
        <v>1</v>
      </c>
      <c r="H10" s="12" t="s">
        <v>20</v>
      </c>
      <c r="I10" s="25" t="s">
        <v>93</v>
      </c>
    </row>
    <row r="11" spans="2:9" ht="42">
      <c r="B11" s="14" t="s">
        <v>72</v>
      </c>
      <c r="C11" s="12" t="s">
        <v>14</v>
      </c>
      <c r="D11" s="26" t="s">
        <v>85</v>
      </c>
      <c r="E11" s="8" t="s">
        <v>40</v>
      </c>
      <c r="F11" s="12" t="s">
        <v>73</v>
      </c>
      <c r="G11" s="8">
        <v>3.2</v>
      </c>
      <c r="H11" s="12" t="s">
        <v>20</v>
      </c>
      <c r="I11" s="25" t="s">
        <v>98</v>
      </c>
    </row>
    <row r="12" spans="2:9" ht="42">
      <c r="B12" s="14" t="s">
        <v>72</v>
      </c>
      <c r="C12" s="12" t="s">
        <v>14</v>
      </c>
      <c r="D12" s="26" t="s">
        <v>79</v>
      </c>
      <c r="E12" s="8" t="s">
        <v>40</v>
      </c>
      <c r="F12" s="12" t="s">
        <v>73</v>
      </c>
      <c r="G12" s="8">
        <v>11.1</v>
      </c>
      <c r="H12" s="12" t="s">
        <v>20</v>
      </c>
      <c r="I12" s="25" t="s">
        <v>101</v>
      </c>
    </row>
    <row r="13" spans="2:9" ht="42">
      <c r="B13" s="14" t="s">
        <v>72</v>
      </c>
      <c r="C13" s="12" t="s">
        <v>14</v>
      </c>
      <c r="D13" s="26" t="s">
        <v>75</v>
      </c>
      <c r="E13" s="8" t="s">
        <v>40</v>
      </c>
      <c r="F13" s="12" t="s">
        <v>73</v>
      </c>
      <c r="G13" s="8">
        <v>3.1</v>
      </c>
      <c r="H13" s="12" t="s">
        <v>20</v>
      </c>
      <c r="I13" s="25" t="s">
        <v>104</v>
      </c>
    </row>
    <row r="14" spans="2:9" ht="42">
      <c r="B14" s="14" t="s">
        <v>72</v>
      </c>
      <c r="C14" s="12" t="s">
        <v>14</v>
      </c>
      <c r="D14" s="26" t="s">
        <v>76</v>
      </c>
      <c r="E14" s="8" t="s">
        <v>40</v>
      </c>
      <c r="F14" s="12" t="s">
        <v>73</v>
      </c>
      <c r="G14" s="8">
        <v>1.1000000000000001</v>
      </c>
      <c r="H14" s="12" t="s">
        <v>20</v>
      </c>
      <c r="I14" s="25" t="s">
        <v>94</v>
      </c>
    </row>
    <row r="15" spans="2:9" ht="42">
      <c r="B15" s="14" t="s">
        <v>72</v>
      </c>
      <c r="C15" s="12" t="s">
        <v>14</v>
      </c>
      <c r="D15" s="26" t="s">
        <v>95</v>
      </c>
      <c r="E15" s="8" t="s">
        <v>40</v>
      </c>
      <c r="F15" s="12" t="s">
        <v>73</v>
      </c>
      <c r="G15" s="8">
        <v>0.5</v>
      </c>
      <c r="H15" s="12" t="s">
        <v>20</v>
      </c>
      <c r="I15" s="25" t="s">
        <v>96</v>
      </c>
    </row>
    <row r="16" spans="2:9" ht="42">
      <c r="B16" s="14" t="s">
        <v>72</v>
      </c>
      <c r="C16" s="12" t="s">
        <v>84</v>
      </c>
      <c r="D16" s="26"/>
      <c r="E16" s="8" t="s">
        <v>40</v>
      </c>
      <c r="F16" s="12" t="s">
        <v>73</v>
      </c>
      <c r="G16" s="8">
        <v>2</v>
      </c>
      <c r="H16" s="12" t="s">
        <v>20</v>
      </c>
      <c r="I16" s="25" t="s">
        <v>97</v>
      </c>
    </row>
    <row r="17" spans="2:9" ht="42">
      <c r="B17" s="14" t="s">
        <v>72</v>
      </c>
      <c r="C17" s="12" t="s">
        <v>84</v>
      </c>
      <c r="D17" s="26"/>
      <c r="E17" s="8" t="s">
        <v>40</v>
      </c>
      <c r="F17" s="12" t="s">
        <v>73</v>
      </c>
      <c r="G17" s="8">
        <v>10.5</v>
      </c>
      <c r="H17" s="12" t="s">
        <v>20</v>
      </c>
      <c r="I17" s="25" t="s">
        <v>99</v>
      </c>
    </row>
    <row r="18" spans="2:9" ht="42">
      <c r="B18" s="14" t="s">
        <v>72</v>
      </c>
      <c r="C18" s="12" t="s">
        <v>14</v>
      </c>
      <c r="D18" s="26" t="s">
        <v>81</v>
      </c>
      <c r="E18" s="8" t="s">
        <v>40</v>
      </c>
      <c r="F18" s="12" t="s">
        <v>73</v>
      </c>
      <c r="G18" s="26">
        <v>1.1000000000000001</v>
      </c>
      <c r="H18" s="12" t="s">
        <v>20</v>
      </c>
      <c r="I18" s="25" t="s">
        <v>82</v>
      </c>
    </row>
    <row r="19" spans="2:9" ht="42">
      <c r="B19" s="14" t="s">
        <v>72</v>
      </c>
      <c r="C19" s="12" t="s">
        <v>14</v>
      </c>
      <c r="D19" s="26" t="s">
        <v>74</v>
      </c>
      <c r="E19" s="8" t="s">
        <v>40</v>
      </c>
      <c r="F19" s="12" t="s">
        <v>73</v>
      </c>
      <c r="G19" s="8">
        <v>0.5</v>
      </c>
      <c r="H19" s="12" t="s">
        <v>20</v>
      </c>
      <c r="I19" s="25" t="s">
        <v>100</v>
      </c>
    </row>
    <row r="20" spans="2:9" ht="42">
      <c r="B20" s="14" t="s">
        <v>72</v>
      </c>
      <c r="C20" s="12" t="s">
        <v>18</v>
      </c>
      <c r="D20" s="26"/>
      <c r="E20" s="8" t="s">
        <v>40</v>
      </c>
      <c r="F20" s="12" t="s">
        <v>83</v>
      </c>
      <c r="G20" s="8">
        <v>0.6</v>
      </c>
      <c r="H20" s="12" t="s">
        <v>20</v>
      </c>
      <c r="I20" s="25" t="s">
        <v>103</v>
      </c>
    </row>
    <row r="21" spans="2:9" ht="56">
      <c r="B21" s="14" t="s">
        <v>72</v>
      </c>
      <c r="C21" s="27" t="s">
        <v>18</v>
      </c>
      <c r="D21" s="26"/>
      <c r="E21" s="8" t="s">
        <v>40</v>
      </c>
      <c r="F21" s="27" t="s">
        <v>106</v>
      </c>
      <c r="G21" s="26">
        <v>0.8</v>
      </c>
      <c r="H21" s="27" t="s">
        <v>105</v>
      </c>
      <c r="I21" s="25" t="s">
        <v>78</v>
      </c>
    </row>
    <row r="22" spans="2:9">
      <c r="B22" s="20"/>
      <c r="C22" s="21"/>
      <c r="D22" s="22"/>
      <c r="E22" s="22"/>
      <c r="F22" s="24" t="s">
        <v>67</v>
      </c>
      <c r="G22" s="31">
        <f>SUM(G3:G21)</f>
        <v>46.5</v>
      </c>
      <c r="H22" s="32"/>
      <c r="I22" s="33"/>
    </row>
    <row r="23" spans="2:9" ht="16" thickBot="1">
      <c r="B23" s="17"/>
      <c r="C23" s="18"/>
      <c r="D23" s="19"/>
      <c r="E23" s="19"/>
      <c r="F23" s="23" t="s">
        <v>68</v>
      </c>
      <c r="G23" s="28">
        <v>5</v>
      </c>
      <c r="H23" s="29"/>
      <c r="I23" s="30"/>
    </row>
    <row r="24" spans="2:9" ht="16" thickTop="1"/>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C22:C23 C4:C20</xm:sqref>
        </x14:dataValidation>
        <x14:dataValidation type="list" allowBlank="1" showInputMessage="1" showErrorMessage="1" xr:uid="{00000000-0002-0000-0000-000003000000}">
          <x14:formula1>
            <xm:f>数据标签!$B$11:$D$11</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2025-04-09T06:37:45Z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