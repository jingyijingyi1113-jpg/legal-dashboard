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mc:AlternateContent xmlns:mc="http://schemas.openxmlformats.org/markup-compatibility/2006">
    <mc:Choice Requires="x15">
      <x15ac:absPath xmlns:x15ac="http://schemas.microsoft.com/office/spreadsheetml/2010/11/ac" url="/Users/ning/Documents/- CTD /# Timesheet/2. Weipan version/2025 Q1/"/>
    </mc:Choice>
  </mc:AlternateContent>
  <xr:revisionPtr revIDLastSave="0" documentId="13_ncr:1_{45886933-F9E6-4242-9834-6A2D04BA6E42}" xr6:coauthVersionLast="47" xr6:coauthVersionMax="47" xr10:uidLastSave="{00000000-0000-0000-0000-000000000000}"/>
  <bookViews>
    <workbookView xWindow="44600" yWindow="-5820" windowWidth="24260" windowHeight="28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<sst xmlns="http://schemas.openxmlformats.org/spreadsheetml/2006/main" count="195" uniqueCount="98">
  <si>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</si>
  <si>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</si>
  <si>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</si>
  <si>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</si>
  <si>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</si>
  <si>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</si>
  <si>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</si>
  <si>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</si>
  <si>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</si>
  <si>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</si>
  <si>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</si>
  <si>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</si>
  <si>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</si>
  <si>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</si>
  <si>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</si>
  <si>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</si>
  <si>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</si>
  <si>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</si>
  <si>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</si>
  <si>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</si>
  <si>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</si>
  <si>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</si>
  <si>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</si>
  <si>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</si>
  <si>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</si>
  <si>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</si>
  <si>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</si>
  <si>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</si>
  <si>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</si>
  <si>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</si>
  <si>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</si>
  <si>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</si>
  <si>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</si>
  <si>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</si>
  <si>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</si>
  <si>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</si>
  <si>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</si>
  <si>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</si>
  <si>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</si>
  <si>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</si>
  <si>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</si>
  <si>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</si>
  <si>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</si>
  <si>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</si>
  <si>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</si>
  <si>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</si>
  <si>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</si>
  <si>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</si>
  <si>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</si>
  <si>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</si>
  <si>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</si>
  <si>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</si>
  <si>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</si>
  <si>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</si>
  <si>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</si>
  <si>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</si>
  <si>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</si>
  <si>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</si>
  <si>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</si>
  <si>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</si>
  <si>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</si>
  <si>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</si>
  <si>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</si>
  <si>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</si>
  <si>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</si>
  <si>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</si>
  <si>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</si>
  <si>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</si>
  <si>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</si>
  <si>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</si>
  <si>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</si>
  <si>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</si>
  <si>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</si>
  <si>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</si>
  <si>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SEON</t>
    <phoneticPr fontId="7" type="noConversion"/>
  </si>
  <si>
    <t>小时单&amp;deals update</t>
    <phoneticPr fontId="7" type="noConversion"/>
  </si>
  <si>
    <t>Crytek</t>
    <phoneticPr fontId="7" type="noConversion"/>
  </si>
  <si>
    <t>海航JV</t>
    <phoneticPr fontId="7" type="noConversion"/>
  </si>
  <si>
    <t>Public - Knowledge Accumulation &amp; Sharing</t>
  </si>
  <si>
    <t>杏泽S资产包</t>
    <phoneticPr fontId="7" type="noConversion"/>
  </si>
  <si>
    <t>与领导汇报近期工作进展。</t>
    <phoneticPr fontId="7" type="noConversion"/>
  </si>
  <si>
    <t>杏泽四期</t>
    <phoneticPr fontId="7" type="noConversion"/>
  </si>
  <si>
    <t>项目跟进和内部沟通</t>
  </si>
  <si>
    <t>Khosla</t>
    <phoneticPr fontId="7" type="noConversion"/>
  </si>
  <si>
    <t>新基金电话会时间调整</t>
  </si>
  <si>
    <r>
      <t xml:space="preserve"> 基金管理人涉诉问题沟通</t>
    </r>
    <r>
      <rPr>
        <b/>
        <sz val="10"/>
        <color theme="1"/>
        <rFont val="等线"/>
        <family val="4"/>
        <charset val="134"/>
        <scheme val="minor"/>
      </rPr>
      <t>，项目跟进和内部会议安排</t>
    </r>
    <phoneticPr fontId="7" type="noConversion"/>
  </si>
  <si>
    <t>夏尔巴三期</t>
    <phoneticPr fontId="7" type="noConversion"/>
  </si>
  <si>
    <t>夏尔巴人民币三期基金2025年第一次合伙人会议</t>
  </si>
  <si>
    <t>智谱科技</t>
  </si>
  <si>
    <t>定稿文件和审批</t>
    <phoneticPr fontId="7" type="noConversion"/>
  </si>
  <si>
    <t>海航JV 回购安排沟通</t>
  </si>
  <si>
    <t>金苗</t>
    <phoneticPr fontId="7" type="noConversion"/>
  </si>
  <si>
    <t>项目人员对接核实问题的讨论。</t>
    <phoneticPr fontId="7" type="noConversion"/>
  </si>
  <si>
    <t>Kickoff会议+协调律师+LF审批文件审阅和同步+</t>
    <phoneticPr fontId="7" type="noConversion"/>
  </si>
  <si>
    <t>bridge loan项目进展跟进+约会议时间+文件审阅</t>
    <phoneticPr fontId="7" type="noConversion"/>
  </si>
  <si>
    <t>律师费统计</t>
    <phoneticPr fontId="7" type="noConversion"/>
  </si>
  <si>
    <t>精细化管理工具搭建 Adoption of refined management tools</t>
  </si>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</sst>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b/>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91" zoomScaleNormal="150" workbookViewId="0">
      <selection activeCell="I11" sqref="I11"/>
    </sheetView>
  </sheetViews>
  <sheetFormatPr baseColWidth="10" defaultColWidth="9" defaultRowHeight="15"/>
  <cols>
    <col min="3" max="3" width="26.1640625" style="13" customWidth="1"/>
    <col min="4" max="4" width="15.1640625" customWidth="1"/>
    <col min="5" max="5" width="10.6640625" customWidth="1"/>
    <col min="6" max="6" width="29.83203125" style="13" customWidth="1"/>
    <col min="8" max="8" width="18.1640625" style="13" customWidth="1"/>
    <col min="9" max="9" width="56.66406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42">
      <c r="B4" s="14" t="s">
        <v>72</v>
      </c>
      <c r="C4" s="12" t="s">
        <v>14</v>
      </c>
      <c r="D4" s="26" t="s">
        <v>79</v>
      </c>
      <c r="E4" s="8" t="s">
        <v>40</v>
      </c>
      <c r="F4" s="12" t="s">
        <v>73</v>
      </c>
      <c r="G4" s="8">
        <v>24.6</v>
      </c>
      <c r="H4" s="12" t="s">
        <v>20</v>
      </c>
      <c r="I4" s="25" t="s">
        <v>93</v>
      </c>
    </row>
    <row r="5" spans="2:9" ht="28">
      <c r="B5" s="14" t="s">
        <v>72</v>
      </c>
      <c r="C5" s="12" t="s">
        <v>14</v>
      </c>
      <c r="D5" s="26" t="s">
        <v>81</v>
      </c>
      <c r="E5" s="8" t="s">
        <v>40</v>
      </c>
      <c r="F5" s="12" t="s">
        <v>73</v>
      </c>
      <c r="G5" s="8">
        <v>1.4</v>
      </c>
      <c r="H5" s="12" t="s">
        <v>36</v>
      </c>
      <c r="I5" s="25" t="s">
        <v>85</v>
      </c>
    </row>
    <row r="6" spans="2:9" ht="42">
      <c r="B6" s="14" t="s">
        <v>72</v>
      </c>
      <c r="C6" s="12" t="s">
        <v>14</v>
      </c>
      <c r="D6" s="26" t="s">
        <v>76</v>
      </c>
      <c r="E6" s="8" t="s">
        <v>40</v>
      </c>
      <c r="F6" s="12" t="s">
        <v>73</v>
      </c>
      <c r="G6" s="26">
        <v>16.600000000000001</v>
      </c>
      <c r="H6" s="12" t="s">
        <v>20</v>
      </c>
      <c r="I6" s="25" t="s">
        <v>94</v>
      </c>
    </row>
    <row r="7" spans="2:9" ht="42">
      <c r="B7" s="14" t="s">
        <v>72</v>
      </c>
      <c r="C7" s="12" t="s">
        <v>14</v>
      </c>
      <c r="D7" s="26" t="s">
        <v>74</v>
      </c>
      <c r="E7" s="8" t="s">
        <v>40</v>
      </c>
      <c r="F7" s="12" t="s">
        <v>73</v>
      </c>
      <c r="G7" s="8">
        <v>0.8</v>
      </c>
      <c r="H7" s="12" t="s">
        <v>20</v>
      </c>
      <c r="I7" s="25" t="s">
        <v>82</v>
      </c>
    </row>
    <row r="8" spans="2:9" ht="28">
      <c r="B8" s="14" t="s">
        <v>72</v>
      </c>
      <c r="C8" s="12" t="s">
        <v>14</v>
      </c>
      <c r="D8" s="26" t="s">
        <v>83</v>
      </c>
      <c r="E8" s="8" t="s">
        <v>40</v>
      </c>
      <c r="F8" s="12" t="s">
        <v>73</v>
      </c>
      <c r="G8" s="8">
        <v>4</v>
      </c>
      <c r="H8" s="12" t="s">
        <v>36</v>
      </c>
      <c r="I8" s="25" t="s">
        <v>84</v>
      </c>
    </row>
    <row r="9" spans="2:9" ht="42">
      <c r="B9" s="14" t="s">
        <v>72</v>
      </c>
      <c r="C9" s="12" t="s">
        <v>14</v>
      </c>
      <c r="D9" s="26" t="s">
        <v>86</v>
      </c>
      <c r="E9" s="8" t="s">
        <v>40</v>
      </c>
      <c r="F9" s="12" t="s">
        <v>73</v>
      </c>
      <c r="G9" s="26">
        <v>0.5</v>
      </c>
      <c r="H9" s="12" t="s">
        <v>20</v>
      </c>
      <c r="I9" s="25" t="s">
        <v>87</v>
      </c>
    </row>
    <row r="10" spans="2:9" ht="42">
      <c r="B10" s="14" t="s">
        <v>72</v>
      </c>
      <c r="C10" s="12" t="s">
        <v>14</v>
      </c>
      <c r="D10" s="26" t="s">
        <v>88</v>
      </c>
      <c r="E10" s="8" t="s">
        <v>40</v>
      </c>
      <c r="F10" s="12" t="s">
        <v>73</v>
      </c>
      <c r="G10" s="8">
        <v>0.3</v>
      </c>
      <c r="H10" s="12" t="s">
        <v>20</v>
      </c>
      <c r="I10" s="25" t="s">
        <v>89</v>
      </c>
    </row>
    <row r="11" spans="2:9" ht="42">
      <c r="B11" s="14" t="s">
        <v>72</v>
      </c>
      <c r="C11" s="12" t="s">
        <v>14</v>
      </c>
      <c r="D11" s="26" t="s">
        <v>91</v>
      </c>
      <c r="E11" s="8" t="s">
        <v>40</v>
      </c>
      <c r="F11" s="12" t="s">
        <v>73</v>
      </c>
      <c r="G11" s="8">
        <v>0.4</v>
      </c>
      <c r="H11" s="12" t="s">
        <v>20</v>
      </c>
      <c r="I11" s="25" t="s">
        <v>92</v>
      </c>
    </row>
    <row r="12" spans="2:9" ht="42">
      <c r="B12" s="14" t="s">
        <v>72</v>
      </c>
      <c r="C12" s="12" t="s">
        <v>14</v>
      </c>
      <c r="D12" s="26" t="s">
        <v>77</v>
      </c>
      <c r="E12" s="8" t="s">
        <v>40</v>
      </c>
      <c r="F12" s="12" t="s">
        <v>73</v>
      </c>
      <c r="G12" s="8">
        <v>0.5</v>
      </c>
      <c r="H12" s="12" t="s">
        <v>20</v>
      </c>
      <c r="I12" s="25" t="s">
        <v>90</v>
      </c>
    </row>
    <row r="13" spans="2:9" ht="28">
      <c r="B13" s="14" t="s">
        <v>72</v>
      </c>
      <c r="C13" s="12" t="s">
        <v>14</v>
      </c>
      <c r="D13" s="26"/>
      <c r="E13" s="8" t="s">
        <v>40</v>
      </c>
      <c r="F13" s="12" t="s">
        <v>73</v>
      </c>
      <c r="G13" s="8">
        <v>1</v>
      </c>
      <c r="H13" s="12" t="s">
        <v>27</v>
      </c>
      <c r="I13" s="25" t="s">
        <v>95</v>
      </c>
    </row>
    <row r="14" spans="2:9" ht="28">
      <c r="B14" s="14" t="s">
        <v>72</v>
      </c>
      <c r="C14" s="12" t="s">
        <v>78</v>
      </c>
      <c r="D14" s="26"/>
      <c r="E14" s="8" t="s">
        <v>40</v>
      </c>
      <c r="F14" s="12" t="s">
        <v>73</v>
      </c>
      <c r="G14" s="8">
        <v>2.1</v>
      </c>
      <c r="H14" s="12" t="s">
        <v>27</v>
      </c>
      <c r="I14" s="25" t="s">
        <v>80</v>
      </c>
    </row>
    <row r="15" spans="2:9" ht="56">
      <c r="B15" s="14" t="s">
        <v>72</v>
      </c>
      <c r="C15" s="27" t="s">
        <v>18</v>
      </c>
      <c r="D15" s="26"/>
      <c r="E15" s="8" t="s">
        <v>40</v>
      </c>
      <c r="F15" s="27" t="s">
        <v>96</v>
      </c>
      <c r="G15" s="26">
        <v>1.7</v>
      </c>
      <c r="H15" s="27" t="s">
        <v>97</v>
      </c>
      <c r="I15" s="25" t="s">
        <v>75</v>
      </c>
    </row>
    <row r="16" spans="2:9">
      <c r="B16" s="20"/>
      <c r="C16" s="21"/>
      <c r="D16" s="22"/>
      <c r="E16" s="22"/>
      <c r="F16" s="24" t="s">
        <v>67</v>
      </c>
      <c r="G16" s="31">
        <f>SUM(G3:G15)</f>
        <v>53.9</v>
      </c>
      <c r="H16" s="32"/>
      <c r="I16" s="33"/>
    </row>
    <row r="17" spans="2:9" ht="16" thickBot="1">
      <c r="B17" s="17"/>
      <c r="C17" s="18"/>
      <c r="D17" s="19"/>
      <c r="E17" s="19"/>
      <c r="F17" s="23" t="s">
        <v>68</v>
      </c>
      <c r="G17" s="28">
        <v>4</v>
      </c>
      <c r="H17" s="29"/>
      <c r="I17" s="30"/>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C16:C17 C4:C14</xm:sqref>
        </x14:dataValidation>
        <x14:dataValidation type="list" allowBlank="1" showInputMessage="1" showErrorMessage="1" xr:uid="{00000000-0002-0000-0000-000003000000}">
          <x14:formula1>
            <xm:f>数据标签!$B$11:$D$11</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2025-04-09T06:42:59Z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