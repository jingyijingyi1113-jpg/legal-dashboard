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8"/>
  <workbookPr/>
  <mc:AlternateContent xmlns:mc="http://schemas.openxmlformats.org/markup-compatibility/2006">
    <mc:Choice Requires="x15">
      <x15ac:absPath xmlns:x15ac="http://schemas.microsoft.com/office/spreadsheetml/2010/11/ac" url="/Users/tinatyu/Desktop/投资法务中心工作记录/"/>
    </mc:Choice>
  </mc:AlternateContent>
  <xr:revisionPtr revIDLastSave="0" documentId="13_ncr:1_{CF587AC1-6810-3E42-B6E3-4D89E215768F}" xr6:coauthVersionLast="45" xr6:coauthVersionMax="47" xr10:uidLastSave="{00000000-0000-0000-0000-000000000000}"/>
  <bookViews>
    <workbookView xWindow="0" yWindow="500" windowWidth="25780" windowHeight="139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<sst xmlns="http://schemas.openxmlformats.org/spreadsheetml/2006/main" count="211" uniqueCount="98">
  <si>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</si>
  <si>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</si>
  <si>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</si>
  <si>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</si>
  <si>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</si>
  <si>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</si>
  <si>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</si>
  <si>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</si>
  <si>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</si>
  <si>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</si>
  <si>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</si>
  <si>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</si>
  <si>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</si>
  <si>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</si>
  <si>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</si>
  <si>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</si>
  <si>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</si>
  <si>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</si>
  <si>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</si>
  <si>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</si>
  <si>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</si>
  <si>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</si>
  <si>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</si>
  <si>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</si>
  <si>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</si>
  <si>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</si>
  <si>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</si>
  <si>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</si>
  <si>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</si>
  <si>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</si>
  <si>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</si>
  <si>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</si>
  <si>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</si>
  <si>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</si>
  <si>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</si>
  <si>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</si>
  <si>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</si>
  <si>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</si>
  <si>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</si>
  <si>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</si>
  <si>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</si>
  <si>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</si>
  <si>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</si>
  <si>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</si>
  <si>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</si>
  <si>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</si>
  <si>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</si>
  <si>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</si>
  <si>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</si>
  <si>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</si>
  <si>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</si>
  <si>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</si>
  <si>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</si>
  <si>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</si>
  <si>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</si>
  <si>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</si>
  <si>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</si>
  <si>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</si>
  <si>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</si>
  <si>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</si>
  <si>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</si>
  <si>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</si>
  <si>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</si>
  <si>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</si>
  <si>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</si>
  <si>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</si>
  <si>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</si>
  <si>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</si>
  <si>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</si>
  <si>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</si>
  <si>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</si>
  <si>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</si>
  <si>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tinatyu</t>
    <phoneticPr fontId="7" type="noConversion"/>
  </si>
  <si>
    <t>Recording/reviewing deals updates/weekly time reports/other team summaries</t>
  </si>
  <si>
    <t>填写time sheet</t>
    <phoneticPr fontId="7" type="noConversion"/>
  </si>
  <si>
    <t>Project Potato</t>
    <phoneticPr fontId="7" type="noConversion"/>
  </si>
  <si>
    <t>投资项目全流程法务支持 Full-process legal support for investments</t>
  </si>
  <si>
    <t>买团与WD讨论尽调问题checklist</t>
    <phoneticPr fontId="7" type="noConversion"/>
  </si>
  <si>
    <t>买团与WD讨论框架协议KIL</t>
    <phoneticPr fontId="7" type="noConversion"/>
  </si>
  <si>
    <t>审阅dd checklist以及框架协议KIL</t>
    <phoneticPr fontId="7" type="noConversion"/>
  </si>
  <si>
    <t>就TML设立WFOE事宜准备董事会决议，与GCTSM和
外部律师沟通</t>
    <phoneticPr fontId="7" type="noConversion"/>
  </si>
  <si>
    <t>TGIF 杭州灵羽</t>
    <phoneticPr fontId="7" type="noConversion"/>
  </si>
  <si>
    <t>与公司就管理层变更出资方式问题进行讨论</t>
    <phoneticPr fontId="7" type="noConversion"/>
  </si>
  <si>
    <t>奥格</t>
    <phoneticPr fontId="7" type="noConversion"/>
  </si>
  <si>
    <t>与公司就减资框架协议条款进行讨论</t>
    <phoneticPr fontId="7" type="noConversion"/>
  </si>
  <si>
    <t>参加小组例会</t>
    <phoneticPr fontId="7" type="noConversion"/>
  </si>
  <si>
    <t>灵雀</t>
    <phoneticPr fontId="7" type="noConversion"/>
  </si>
  <si>
    <t>审阅公司转让子公司股权相关决议及协议，并就背景
情况deal team沟通</t>
    <phoneticPr fontId="7" type="noConversion"/>
  </si>
  <si>
    <t>处理越南投资主体Quantum银行KYC以及董事变更事宜</t>
    <phoneticPr fontId="7" type="noConversion"/>
  </si>
  <si>
    <t>扬腾创新</t>
    <phoneticPr fontId="7" type="noConversion"/>
  </si>
  <si>
    <t>交易文件审阅定稿</t>
    <phoneticPr fontId="7" type="noConversion"/>
  </si>
  <si>
    <t>光鉴科技</t>
    <phoneticPr fontId="7" type="noConversion"/>
  </si>
  <si>
    <t>与DL沟通退出策略</t>
    <phoneticPr fontId="7" type="noConversion"/>
  </si>
  <si>
    <t>居理新房</t>
    <phoneticPr fontId="7" type="noConversion"/>
  </si>
  <si>
    <t>与DL就退出方案进行沟通</t>
    <phoneticPr fontId="7" type="noConversion"/>
  </si>
  <si>
    <t>与Jane进行项目交接</t>
    <phoneticPr fontId="7" type="noConversion"/>
  </si>
  <si>
    <t>协鑫钙碳矿</t>
    <phoneticPr fontId="7" type="noConversion"/>
  </si>
  <si>
    <t>与公司沟通获取签署版文件并确认交割日期</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</si>
</sst>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8" xfId="0" applyFont="1" applyBorder="1">
      <alignment vertical="center"/>
    </xf>
    <xf numFmtId="0" fontId="1" fillId="0" borderId="4" xfId="0" applyFont="1" applyBorder="1">
      <alignment vertical="center"/>
    </xf>
    <xf numFmtId="0" fontId="1" fillId="0" borderId="8" xfId="0" applyFont="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3"/>
  <sheetViews>
    <sheetView tabSelected="1" zoomScaleNormal="100" workbookViewId="0">
      <selection activeCell="H23" sqref="H23"/>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18</v>
      </c>
      <c r="D4" s="9"/>
      <c r="E4" s="9" t="s">
        <v>27</v>
      </c>
      <c r="F4" s="14"/>
      <c r="G4" s="9">
        <v>1.5</v>
      </c>
      <c r="H4" s="14" t="s">
        <v>73</v>
      </c>
      <c r="I4" s="35" t="s">
        <v>74</v>
      </c>
    </row>
    <row r="5" spans="2:9" ht="28">
      <c r="B5" s="16" t="s">
        <v>72</v>
      </c>
      <c r="C5" s="14" t="s">
        <v>14</v>
      </c>
      <c r="D5" s="36" t="s">
        <v>75</v>
      </c>
      <c r="E5" s="9" t="s">
        <v>40</v>
      </c>
      <c r="F5" s="14" t="s">
        <v>76</v>
      </c>
      <c r="G5" s="9">
        <v>6</v>
      </c>
      <c r="H5" s="14" t="s">
        <v>27</v>
      </c>
      <c r="I5" s="35" t="s">
        <v>77</v>
      </c>
    </row>
    <row r="6" spans="2:9" ht="28">
      <c r="B6" s="16" t="s">
        <v>72</v>
      </c>
      <c r="C6" s="14" t="s">
        <v>14</v>
      </c>
      <c r="D6" s="36" t="s">
        <v>75</v>
      </c>
      <c r="E6" s="9" t="s">
        <v>40</v>
      </c>
      <c r="F6" s="14" t="s">
        <v>76</v>
      </c>
      <c r="G6" s="9">
        <v>4.5</v>
      </c>
      <c r="H6" s="14" t="s">
        <v>27</v>
      </c>
      <c r="I6" s="35" t="s">
        <v>78</v>
      </c>
    </row>
    <row r="7" spans="2:9" ht="28">
      <c r="B7" s="16" t="s">
        <v>72</v>
      </c>
      <c r="C7" s="14" t="s">
        <v>14</v>
      </c>
      <c r="D7" s="36" t="s">
        <v>75</v>
      </c>
      <c r="E7" s="9" t="s">
        <v>40</v>
      </c>
      <c r="F7" s="14" t="s">
        <v>76</v>
      </c>
      <c r="G7" s="9">
        <v>4.5</v>
      </c>
      <c r="H7" s="14" t="s">
        <v>20</v>
      </c>
      <c r="I7" s="35" t="s">
        <v>79</v>
      </c>
    </row>
    <row r="8" spans="2:9" ht="28">
      <c r="B8" s="16" t="s">
        <v>72</v>
      </c>
      <c r="C8" s="14" t="s">
        <v>14</v>
      </c>
      <c r="D8" s="36" t="s">
        <v>75</v>
      </c>
      <c r="E8" s="9" t="s">
        <v>40</v>
      </c>
      <c r="F8" s="14" t="s">
        <v>76</v>
      </c>
      <c r="G8" s="9">
        <v>4</v>
      </c>
      <c r="H8" s="14" t="s">
        <v>27</v>
      </c>
      <c r="I8" s="37" t="s">
        <v>80</v>
      </c>
    </row>
    <row r="9" spans="2:9" ht="28">
      <c r="B9" s="16" t="s">
        <v>72</v>
      </c>
      <c r="C9" s="14" t="s">
        <v>16</v>
      </c>
      <c r="D9" s="36" t="s">
        <v>81</v>
      </c>
      <c r="E9" s="9" t="s">
        <v>40</v>
      </c>
      <c r="F9" s="14" t="s">
        <v>76</v>
      </c>
      <c r="G9" s="9">
        <v>1</v>
      </c>
      <c r="H9" s="14" t="s">
        <v>27</v>
      </c>
      <c r="I9" s="35" t="s">
        <v>82</v>
      </c>
    </row>
    <row r="10" spans="2:9" ht="28">
      <c r="B10" s="16" t="s">
        <v>72</v>
      </c>
      <c r="C10" s="14" t="s">
        <v>14</v>
      </c>
      <c r="D10" s="36" t="s">
        <v>83</v>
      </c>
      <c r="E10" s="9" t="s">
        <v>40</v>
      </c>
      <c r="F10" s="14" t="s">
        <v>76</v>
      </c>
      <c r="G10" s="9">
        <v>2</v>
      </c>
      <c r="H10" s="14" t="s">
        <v>27</v>
      </c>
      <c r="I10" s="35" t="s">
        <v>84</v>
      </c>
    </row>
    <row r="11" spans="2:9">
      <c r="B11" s="16" t="s">
        <v>72</v>
      </c>
      <c r="C11" s="14" t="s">
        <v>18</v>
      </c>
      <c r="D11" s="9"/>
      <c r="E11" s="9" t="s">
        <v>27</v>
      </c>
      <c r="F11" s="14"/>
      <c r="G11" s="9">
        <v>1.2</v>
      </c>
      <c r="H11" s="14" t="s">
        <v>24</v>
      </c>
      <c r="I11" s="35" t="s">
        <v>85</v>
      </c>
    </row>
    <row r="12" spans="2:9" ht="28">
      <c r="B12" s="16" t="s">
        <v>72</v>
      </c>
      <c r="C12" s="14" t="s">
        <v>16</v>
      </c>
      <c r="D12" s="36" t="s">
        <v>86</v>
      </c>
      <c r="E12" s="9" t="s">
        <v>40</v>
      </c>
      <c r="F12" s="14" t="s">
        <v>76</v>
      </c>
      <c r="G12" s="9">
        <v>2.5</v>
      </c>
      <c r="H12" s="14" t="s">
        <v>20</v>
      </c>
      <c r="I12" s="37" t="s">
        <v>87</v>
      </c>
    </row>
    <row r="13" spans="2:9">
      <c r="B13" s="16" t="s">
        <v>72</v>
      </c>
      <c r="C13" s="14" t="s">
        <v>18</v>
      </c>
      <c r="D13" s="9"/>
      <c r="E13" s="9" t="s">
        <v>27</v>
      </c>
      <c r="F13" s="14"/>
      <c r="G13" s="9">
        <v>2.8</v>
      </c>
      <c r="H13" s="14" t="s">
        <v>31</v>
      </c>
      <c r="I13" s="35" t="s">
        <v>88</v>
      </c>
    </row>
    <row r="14" spans="2:9" ht="28">
      <c r="B14" s="16" t="s">
        <v>72</v>
      </c>
      <c r="C14" s="14" t="s">
        <v>14</v>
      </c>
      <c r="D14" s="36" t="s">
        <v>89</v>
      </c>
      <c r="E14" s="9" t="s">
        <v>40</v>
      </c>
      <c r="F14" s="14" t="s">
        <v>76</v>
      </c>
      <c r="G14" s="9">
        <v>1.4</v>
      </c>
      <c r="H14" s="14" t="s">
        <v>20</v>
      </c>
      <c r="I14" s="35" t="s">
        <v>90</v>
      </c>
    </row>
    <row r="15" spans="2:9" ht="28">
      <c r="B15" s="16" t="s">
        <v>72</v>
      </c>
      <c r="C15" s="14" t="s">
        <v>14</v>
      </c>
      <c r="D15" s="36" t="s">
        <v>91</v>
      </c>
      <c r="E15" s="9" t="s">
        <v>40</v>
      </c>
      <c r="F15" s="14" t="s">
        <v>76</v>
      </c>
      <c r="G15" s="9">
        <v>1.5</v>
      </c>
      <c r="H15" s="14" t="s">
        <v>27</v>
      </c>
      <c r="I15" s="35" t="s">
        <v>92</v>
      </c>
    </row>
    <row r="16" spans="2:9" ht="28">
      <c r="B16" s="16" t="s">
        <v>72</v>
      </c>
      <c r="C16" s="14" t="s">
        <v>14</v>
      </c>
      <c r="D16" s="36" t="s">
        <v>93</v>
      </c>
      <c r="E16" s="9" t="s">
        <v>40</v>
      </c>
      <c r="F16" s="14" t="s">
        <v>76</v>
      </c>
      <c r="G16" s="9">
        <v>1.5</v>
      </c>
      <c r="H16" s="14" t="s">
        <v>27</v>
      </c>
      <c r="I16" s="35" t="s">
        <v>94</v>
      </c>
    </row>
    <row r="17" spans="2:9">
      <c r="B17" s="16" t="s">
        <v>72</v>
      </c>
      <c r="C17" s="14" t="s">
        <v>18</v>
      </c>
      <c r="D17" s="9"/>
      <c r="E17" s="9" t="s">
        <v>27</v>
      </c>
      <c r="F17" s="14"/>
      <c r="G17" s="9">
        <v>0.5</v>
      </c>
      <c r="H17" s="14" t="s">
        <v>27</v>
      </c>
      <c r="I17" s="35" t="s">
        <v>95</v>
      </c>
    </row>
    <row r="18" spans="2:9" ht="28">
      <c r="B18" s="16" t="s">
        <v>72</v>
      </c>
      <c r="C18" s="14" t="s">
        <v>14</v>
      </c>
      <c r="D18" s="36" t="s">
        <v>96</v>
      </c>
      <c r="E18" s="9" t="s">
        <v>40</v>
      </c>
      <c r="F18" s="14" t="s">
        <v>76</v>
      </c>
      <c r="G18" s="9">
        <v>0.5</v>
      </c>
      <c r="H18" s="14" t="s">
        <v>27</v>
      </c>
      <c r="I18" s="35" t="s">
        <v>97</v>
      </c>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8"/>
      <c r="C28" s="14"/>
      <c r="D28" s="9"/>
      <c r="E28" s="9"/>
      <c r="F28" s="14"/>
      <c r="G28" s="9"/>
      <c r="H28" s="14"/>
      <c r="I28" s="12"/>
    </row>
    <row r="29" spans="2:9">
      <c r="B29" s="8"/>
      <c r="C29" s="14"/>
      <c r="D29" s="9"/>
      <c r="E29" s="9"/>
      <c r="F29" s="14"/>
      <c r="G29" s="9"/>
      <c r="H29" s="14"/>
      <c r="I29" s="12"/>
    </row>
    <row r="30" spans="2:9">
      <c r="B30" s="8"/>
      <c r="C30" s="14"/>
      <c r="D30" s="9"/>
      <c r="E30" s="9"/>
      <c r="F30" s="14"/>
      <c r="G30" s="9"/>
      <c r="H30" s="14"/>
      <c r="I30" s="12"/>
    </row>
    <row r="31" spans="2:9">
      <c r="B31" s="24"/>
      <c r="C31" s="25"/>
      <c r="D31" s="26"/>
      <c r="E31" s="26"/>
      <c r="F31" s="28" t="s">
        <v>67</v>
      </c>
      <c r="G31" s="32">
        <f>SUM(G3:G30)</f>
        <v>35.4</v>
      </c>
      <c r="H31" s="33"/>
      <c r="I31" s="34"/>
    </row>
    <row r="32" spans="2:9" ht="16" thickBot="1">
      <c r="B32" s="20"/>
      <c r="C32" s="21"/>
      <c r="D32" s="22"/>
      <c r="E32" s="22"/>
      <c r="F32" s="27" t="s">
        <v>68</v>
      </c>
      <c r="G32" s="29"/>
      <c r="H32" s="30"/>
      <c r="I32" s="31"/>
    </row>
    <row r="33" ht="16" thickTop="1"/>
  </sheetData>
  <mergeCells count="2">
    <mergeCell ref="G32:I32"/>
    <mergeCell ref="G31:I31"/>
  </mergeCells>
  <phoneticPr fontId="7" type="noConversion"/>
  <dataValidations count="2">
    <dataValidation type="list" allowBlank="1" showInputMessage="1" showErrorMessage="1" sqref="H4:H30" xr:uid="{00000000-0002-0000-0000-000000000000}">
      <formula1>hh</formula1>
    </dataValidation>
    <dataValidation type="list" allowBlank="1" showInputMessage="1" showErrorMessage="1" sqref="F4:F3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C4:C13 C14:C32</xm:sqref>
        </x14:dataValidation>
        <x14:dataValidation type="list" allowBlank="1" showInputMessage="1" showErrorMessage="1" xr:uid="{00000000-0002-0000-0000-000003000000}">
          <x14:formula1>
            <xm:f>数据标签!$B$11:$D$11</xm:f>
          </x14:formula1>
          <xm:sqref>E4:E32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23" t="s">
        <v>71</v>
      </c>
    </row>
    <row r="9" spans="1:8">
      <c r="C9" s="18"/>
      <c r="D9" s="18"/>
      <c r="H9" s="1" t="s">
        <v>66</v>
      </c>
    </row>
    <row r="11" spans="1:8">
      <c r="A11" s="1" t="s">
        <v>39</v>
      </c>
      <c r="B11" s="1" t="s">
        <v>40</v>
      </c>
      <c r="C11" s="1" t="s">
        <v>41</v>
      </c>
      <c r="D11" s="1" t="s">
        <v>27</v>
      </c>
    </row>
    <row r="12" spans="1:8" ht="42">
      <c r="A12" s="1" t="s">
        <v>42</v>
      </c>
      <c r="B12" s="3" t="s">
        <v>43</v>
      </c>
    </row>
    <row r="13" spans="1:8" ht="42">
      <c r="B13" s="19" t="s">
        <v>55</v>
      </c>
      <c r="C13" s="13" t="s">
        <v>56</v>
      </c>
      <c r="D13" s="13" t="s">
        <v>56</v>
      </c>
    </row>
    <row r="14" spans="1:8" ht="28">
      <c r="B14" s="19" t="s">
        <v>44</v>
      </c>
      <c r="C14" s="13" t="s">
        <v>56</v>
      </c>
      <c r="D14" s="13" t="s">
        <v>56</v>
      </c>
    </row>
    <row r="15" spans="1:8" ht="56">
      <c r="B15" s="19" t="s">
        <v>45</v>
      </c>
      <c r="C15" s="13" t="s">
        <v>56</v>
      </c>
      <c r="D15" s="13" t="s">
        <v>56</v>
      </c>
    </row>
    <row r="16" spans="1:8" ht="56">
      <c r="B16" s="19" t="s">
        <v>46</v>
      </c>
      <c r="C16" s="13" t="s">
        <v>56</v>
      </c>
      <c r="D16" s="13" t="s">
        <v>56</v>
      </c>
    </row>
    <row r="17" spans="2:4" ht="42">
      <c r="B17" s="19" t="s">
        <v>47</v>
      </c>
      <c r="C17" s="13" t="s">
        <v>56</v>
      </c>
      <c r="D17" s="13" t="s">
        <v>56</v>
      </c>
    </row>
    <row r="18" spans="2:4" ht="56">
      <c r="B18" s="19" t="s">
        <v>48</v>
      </c>
      <c r="C18" s="13" t="s">
        <v>56</v>
      </c>
      <c r="D18" s="13" t="s">
        <v>56</v>
      </c>
    </row>
    <row r="19" spans="2:4" ht="56">
      <c r="B19" s="19" t="s">
        <v>49</v>
      </c>
      <c r="C19" s="13" t="s">
        <v>56</v>
      </c>
      <c r="D19" s="13" t="s">
        <v>56</v>
      </c>
    </row>
    <row r="20" spans="2:4" ht="42">
      <c r="B20" s="19" t="s">
        <v>63</v>
      </c>
      <c r="C20" s="13" t="s">
        <v>56</v>
      </c>
      <c r="D20" s="13" t="s">
        <v>56</v>
      </c>
    </row>
    <row r="21" spans="2:4" ht="42">
      <c r="B21" s="19" t="s">
        <v>50</v>
      </c>
      <c r="C21" s="13" t="s">
        <v>56</v>
      </c>
      <c r="D21" s="13" t="s">
        <v>56</v>
      </c>
    </row>
    <row r="22" spans="2:4" ht="42">
      <c r="B22" s="19" t="s">
        <v>64</v>
      </c>
      <c r="C22" s="13" t="s">
        <v>56</v>
      </c>
      <c r="D22" s="13" t="s">
        <v>56</v>
      </c>
    </row>
    <row r="23" spans="2:4" ht="42">
      <c r="B23" s="19" t="s">
        <v>65</v>
      </c>
      <c r="C23" s="13"/>
      <c r="D23" s="13"/>
    </row>
    <row r="24" spans="2:4" ht="84">
      <c r="B24" s="19" t="s">
        <v>54</v>
      </c>
      <c r="C24" s="13" t="s">
        <v>56</v>
      </c>
      <c r="D24" s="13" t="s">
        <v>56</v>
      </c>
    </row>
    <row r="25" spans="2:4" ht="42">
      <c r="B25" s="19" t="s">
        <v>51</v>
      </c>
      <c r="C25" s="13" t="s">
        <v>56</v>
      </c>
      <c r="D25" s="13" t="s">
        <v>56</v>
      </c>
    </row>
    <row r="26" spans="2:4" ht="42">
      <c r="B26" s="19" t="s">
        <v>52</v>
      </c>
      <c r="C26" s="13" t="s">
        <v>56</v>
      </c>
      <c r="D26" s="13" t="s">
        <v>56</v>
      </c>
    </row>
    <row r="27" spans="2:4" ht="28">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2024-12-23T11:23:46Z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