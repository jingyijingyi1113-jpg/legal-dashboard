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工时统计-jeremyor(柯嘉傑)\2025\9月\"/>
    </mc:Choice>
  </mc:AlternateContent>
  <xr:revisionPtr revIDLastSave="0" documentId="13_ncr:1_{B57C30BE-C2FA-4B13-A6AC-179807E28EF6}" xr6:coauthVersionLast="47" xr6:coauthVersionMax="47" xr10:uidLastSave="{00000000-0000-0000-0000-000000000000}"/>
  <bookViews>
    <workbookView xWindow="8136" yWindow="1320" windowWidth="23112" windowHeight="14904"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<sst xmlns="http://schemas.openxmlformats.org/spreadsheetml/2006/main" count="242" uniqueCount="85">
  <si>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</si>
  <si>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</si>
  <si>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</si>
  <si>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</si>
  <si>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</si>
  <si>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</si>
  <si>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</si>
  <si>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</si>
  <si>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</si>
  <si>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</si>
  <si>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</si>
  <si>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</si>
  <si>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</si>
  <si>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</si>
  <si>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</si>
  <si>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</si>
  <si>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</si>
  <si>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</si>
  <si>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</si>
  <si>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</si>
  <si>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</si>
  <si>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</si>
  <si>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</si>
  <si>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</si>
  <si>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</si>
  <si>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</si>
  <si>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</si>
  <si>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</si>
  <si>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</si>
  <si>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</si>
  <si>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</si>
  <si>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</si>
  <si>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</si>
  <si>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</si>
  <si>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</si>
  <si>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</si>
  <si>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</si>
  <si>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</si>
  <si>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</si>
  <si>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</si>
  <si>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</si>
  <si>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</si>
  <si>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</si>
  <si>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9" type="noConversion"/>
  </si>
  <si>
    <t>敏感投资领域投资指引 Guidance for sensitive investment fields</t>
    <phoneticPr fontId="9" type="noConversion"/>
  </si>
  <si>
    <t>资本市场、投融资活动创新突破 Innovative breakthroughs in investments and capital market transactions</t>
    <phoneticPr fontId="9" type="noConversion"/>
  </si>
  <si>
    <t>境内外主体/办公室合规管理 Compliance management for domestic and overseas entities/offices</t>
    <phoneticPr fontId="9" type="noConversion"/>
  </si>
  <si>
    <t>反洗钱及制裁法务支持 Legal support for anti-money laundering and sanctions compliance</t>
    <phoneticPr fontId="9" type="noConversion"/>
  </si>
  <si>
    <t>资本市场证券交易全流程合规体系建设 Full-process compliance system  for securities trading in capital markets</t>
    <phoneticPr fontId="9" type="noConversion"/>
  </si>
  <si>
    <t>控股和重点投资公司法务风险管理 Legal risk management for controlled and key invested portfolios</t>
    <phoneticPr fontId="9" type="noConversion"/>
  </si>
  <si>
    <t>海外投资合规管理 Overseas investment compliance management</t>
    <phoneticPr fontId="9" type="noConversion"/>
  </si>
  <si>
    <t>执业管理平台体系完善 Perfection of the professional management platform</t>
    <phoneticPr fontId="9" type="noConversion"/>
  </si>
  <si>
    <t>优化Hotdesk和专家组制度 Optimization of Hotdesk and expert panel system</t>
    <phoneticPr fontId="9" type="noConversion"/>
  </si>
  <si>
    <t>精细化管理工具搭建 Adoption of refined management tools</t>
    <phoneticPr fontId="9" type="noConversion"/>
  </si>
  <si>
    <t>境内投融资资本市场监管发展与重大政策争取与风险应对 Regulatory compliance in domestic investments and capital markets; lobbying for major policies and risk mitigation</t>
    <phoneticPr fontId="9" type="noConversion"/>
  </si>
  <si>
    <t>投资项目全流程法务支持 Full-process legal support for investments</t>
    <phoneticPr fontId="9" type="noConversion"/>
  </si>
  <si>
    <t xml:space="preserve"> </t>
    <phoneticPr fontId="9" type="noConversion"/>
  </si>
  <si>
    <t xml:space="preserve">如为CTD-投资法务中心BSC或OKR事项，请相应勾选下拉菜单中的BSC/OKR事项选项
In the case of a CTD-ILC BSC or OKR item, please select the detailed item in the drop-down menu </t>
    <phoneticPr fontId="9" type="noConversion"/>
  </si>
  <si>
    <t>Providing training sessions/knowledge sharing</t>
    <phoneticPr fontId="9" type="noConversion"/>
  </si>
  <si>
    <t>请确认该项事务是否为CTD-投资法务中心的OKR事项
Confirm whether it's a CTD-ILC OKR iteam</t>
    <phoneticPr fontId="9" type="noConversion"/>
  </si>
  <si>
    <t>Public - Knowledge Accumulation &amp; Sharing</t>
    <phoneticPr fontId="9" type="noConversion"/>
  </si>
  <si>
    <t>Recording/reviewing deals updates/weekly time reports/other team summaries</t>
    <phoneticPr fontId="9" type="noConversion"/>
  </si>
  <si>
    <t>Establishing/improving IT systems</t>
    <phoneticPr fontId="9" type="noConversion"/>
  </si>
  <si>
    <t>金融投资公司业务合规管理 Compliance management for  invested financial portfolios</t>
    <phoneticPr fontId="9" type="noConversion"/>
  </si>
  <si>
    <t>国际业务(投资)监管应对Interaction with regulators for international investments</t>
    <phoneticPr fontId="9" type="noConversion"/>
  </si>
  <si>
    <t>国际监管趋势监测、预判 Monitoring and forecasting international regulatory trends</t>
    <phoneticPr fontId="9" type="noConversion"/>
  </si>
  <si>
    <t>Others</t>
    <phoneticPr fontId="9" type="noConversion"/>
  </si>
  <si>
    <t xml:space="preserve">Total Hours:  </t>
    <phoneticPr fontId="9" type="noConversion"/>
  </si>
  <si>
    <t>Number of Actual Working Days:</t>
    <phoneticPr fontId="9" type="noConversion"/>
  </si>
  <si>
    <t>Public - Infrastructure &amp; Guidance</t>
    <phoneticPr fontId="9" type="noConversion"/>
  </si>
  <si>
    <t>Deal/Matter Category</t>
    <phoneticPr fontId="9" type="noConversion"/>
  </si>
  <si>
    <t>Interacting with regulators</t>
    <phoneticPr fontId="9" type="noConversion"/>
  </si>
  <si>
    <t>jeremyor</t>
  </si>
  <si>
    <t>投资项目全流程法务支持 Full-process legal support for investments</t>
  </si>
  <si>
    <t>首次投资</t>
  </si>
  <si>
    <t>Ziina</t>
  </si>
  <si>
    <t>Follow-on investment</t>
  </si>
  <si>
    <t>赛神医药</t>
  </si>
  <si>
    <t>Recording/reviewing deals updates/weekly time reports/other team summaries</t>
  </si>
  <si>
    <t>Timesheet</t>
  </si>
  <si>
    <t>Project Saury</t>
  </si>
  <si>
    <t>Induction</t>
  </si>
  <si>
    <t>S-Robots</t>
  </si>
  <si>
    <t>Verdent</t>
  </si>
  <si>
    <t>逸文科技 Even Realities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</si>
</sst>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Calibri"/>
      <family val="2"/>
      <scheme val="minor"/>
    </font>
    <font>
      <sz val="11"/>
      <color theme="1"/>
      <name val="Calibri"/>
      <family val="2"/>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8">
    <xf numFmtId="0" fontId="0" fillId="0" borderId="0" xfId="0">
      <alignment vertical="center"/>
    </xf>
    <xf numFmtId="0" fontId="3" fillId="0" borderId="0" xfId="0" applyFont="1">
      <alignment vertical="center"/>
    </xf>
    <xf numFmtId="49" fontId="4" fillId="0" borderId="0" xfId="0" applyNumberFormat="1" applyFont="1" applyAlignment="1">
      <alignment horizontal="center" vertical="center" wrapText="1"/>
    </xf>
    <xf numFmtId="0" fontId="3"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7" fillId="0" borderId="3" xfId="0" applyFont="1" applyBorder="1">
      <alignment vertical="center"/>
    </xf>
    <xf numFmtId="0" fontId="7" fillId="0" borderId="4" xfId="0" applyFont="1" applyBorder="1">
      <alignment vertical="center"/>
    </xf>
    <xf numFmtId="0" fontId="8" fillId="0" borderId="7" xfId="0" applyFont="1" applyBorder="1" applyAlignment="1">
      <alignment horizontal="center" vertical="center"/>
    </xf>
    <xf numFmtId="0" fontId="6" fillId="2" borderId="8" xfId="0" applyFont="1" applyFill="1" applyBorder="1" applyAlignment="1">
      <alignment vertical="center" wrapText="1"/>
    </xf>
    <xf numFmtId="0" fontId="7" fillId="0" borderId="8" xfId="0" applyFont="1" applyBorder="1">
      <alignment vertical="center"/>
    </xf>
    <xf numFmtId="49" fontId="3" fillId="0" borderId="0" xfId="0" applyNumberFormat="1" applyFont="1">
      <alignment vertical="center"/>
    </xf>
    <xf numFmtId="0" fontId="7" fillId="0" borderId="4" xfId="0" applyFont="1" applyBorder="1" applyAlignment="1">
      <alignment vertical="center" wrapText="1"/>
    </xf>
    <xf numFmtId="0" fontId="0" fillId="0" borderId="0" xfId="0" applyAlignment="1">
      <alignment vertical="center" wrapText="1"/>
    </xf>
    <xf numFmtId="0" fontId="3" fillId="0" borderId="3" xfId="0" applyFont="1" applyBorder="1">
      <alignment vertical="center"/>
    </xf>
    <xf numFmtId="0" fontId="10" fillId="0" borderId="0" xfId="0" applyFont="1">
      <alignment vertical="center"/>
    </xf>
    <xf numFmtId="0" fontId="10" fillId="0" borderId="0" xfId="0" applyFont="1" applyAlignment="1">
      <alignment vertical="center" wrapText="1"/>
    </xf>
    <xf numFmtId="0" fontId="7" fillId="0" borderId="5" xfId="0" applyFont="1" applyBorder="1">
      <alignment vertical="center"/>
    </xf>
    <xf numFmtId="0" fontId="7" fillId="0" borderId="6" xfId="0" applyFont="1" applyBorder="1" applyAlignment="1">
      <alignment vertical="center" wrapText="1"/>
    </xf>
    <xf numFmtId="0" fontId="7" fillId="0" borderId="6" xfId="0" applyFont="1" applyBorder="1">
      <alignment vertical="center"/>
    </xf>
    <xf numFmtId="0" fontId="7" fillId="0" borderId="9" xfId="0" applyFont="1" applyBorder="1">
      <alignment vertical="center"/>
    </xf>
    <xf numFmtId="0" fontId="7" fillId="0" borderId="10" xfId="0" applyFont="1" applyBorder="1" applyAlignment="1">
      <alignment vertical="center" wrapText="1"/>
    </xf>
    <xf numFmtId="0" fontId="7" fillId="0" borderId="10" xfId="0" applyFont="1" applyBorder="1">
      <alignment vertical="center"/>
    </xf>
    <xf numFmtId="0" fontId="3" fillId="0" borderId="12" xfId="0" applyFont="1" applyBorder="1" applyAlignment="1">
      <alignment horizontal="right" vertical="center" wrapText="1"/>
    </xf>
    <xf numFmtId="0" fontId="3" fillId="0" borderId="13" xfId="0" applyFont="1" applyBorder="1" applyAlignment="1">
      <alignment horizontal="right" vertical="center" wrapText="1"/>
    </xf>
    <xf numFmtId="0" fontId="3" fillId="0" borderId="4" xfId="0" applyFont="1" applyBorder="1">
      <alignment vertical="center"/>
    </xf>
    <xf numFmtId="0" fontId="3" fillId="0" borderId="8" xfId="0" applyFont="1" applyBorder="1">
      <alignment vertical="center"/>
    </xf>
    <xf numFmtId="0" fontId="11" fillId="0" borderId="0" xfId="0" applyFont="1">
      <alignment vertical="center"/>
    </xf>
    <xf numFmtId="0" fontId="2" fillId="0" borderId="0" xfId="0" applyFont="1">
      <alignment vertical="center"/>
    </xf>
    <xf numFmtId="0" fontId="1" fillId="0" borderId="0" xfId="0" applyFont="1">
      <alignment vertical="center"/>
    </xf>
    <xf numFmtId="0" fontId="3" fillId="0" borderId="16" xfId="0" applyFont="1" applyBorder="1" applyAlignment="1">
      <alignment horizontal="left" vertical="center"/>
    </xf>
    <xf numFmtId="0" fontId="3" fillId="0" borderId="6" xfId="0" applyFont="1" applyBorder="1" applyAlignment="1">
      <alignment horizontal="left" vertical="center"/>
    </xf>
    <xf numFmtId="0" fontId="3" fillId="0" borderId="17" xfId="0" applyFont="1" applyBorder="1" applyAlignment="1">
      <alignment horizontal="left" vertical="center"/>
    </xf>
    <xf numFmtId="0" fontId="3" fillId="0" borderId="14" xfId="0" applyFont="1" applyBorder="1" applyAlignment="1">
      <alignment horizontal="left" vertical="center"/>
    </xf>
    <xf numFmtId="0" fontId="7" fillId="0" borderId="15" xfId="0" applyFont="1" applyBorder="1" applyAlignment="1">
      <alignment horizontal="left" vertical="center"/>
    </xf>
    <xf numFmtId="0" fontId="7"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7"/>
  <sheetViews>
    <sheetView tabSelected="1" topLeftCell="A8" zoomScale="85" zoomScaleNormal="85" workbookViewId="0">
      <selection activeCell="J21" sqref="J21"/>
    </sheetView>
  </sheetViews>
  <sheetFormatPr defaultColWidth="9" defaultRowHeight="14.4"/>
  <cols>
    <col min="3" max="3" width="34.44140625" style="15" customWidth="1"/>
    <col min="4" max="4" width="15.109375" customWidth="1"/>
    <col min="5" max="5" width="10.44140625" customWidth="1"/>
    <col min="6" max="6" width="29.6640625" style="15" customWidth="1"/>
    <col min="8" max="8" width="41.44140625" style="15" customWidth="1"/>
    <col min="9" max="9" width="39.6640625" customWidth="1"/>
  </cols>
  <sheetData>
    <row r="2" spans="1:9" ht="27.6">
      <c r="B2" s="4" t="s">
        <v>0</v>
      </c>
      <c r="C2" s="5" t="s">
        <v>70</v>
      </c>
      <c r="D2" s="5" t="s">
        <v>1</v>
      </c>
      <c r="E2" s="5" t="s">
        <v>2</v>
      </c>
      <c r="F2" s="5" t="s">
        <v>3</v>
      </c>
      <c r="G2" s="5" t="s">
        <v>4</v>
      </c>
      <c r="H2" s="5" t="s">
        <v>5</v>
      </c>
      <c r="I2" s="10" t="s">
        <v>6</v>
      </c>
    </row>
    <row r="3" spans="1:9" ht="208.2" customHeight="1">
      <c r="B3" s="6" t="s">
        <v>7</v>
      </c>
      <c r="C3" s="7" t="s">
        <v>8</v>
      </c>
      <c r="D3" s="7" t="s">
        <v>9</v>
      </c>
      <c r="E3" s="7" t="s">
        <v>59</v>
      </c>
      <c r="F3" s="7" t="s">
        <v>57</v>
      </c>
      <c r="G3" s="7" t="s">
        <v>10</v>
      </c>
      <c r="H3" s="7" t="s">
        <v>11</v>
      </c>
      <c r="I3" s="11" t="s">
        <v>12</v>
      </c>
    </row>
    <row r="4" spans="1:9" ht="41.4">
      <c r="A4" s="29"/>
      <c r="B4" s="16" t="s">
        <v>72</v>
      </c>
      <c r="C4" s="14" t="s">
        <v>14</v>
      </c>
      <c r="D4" s="27" t="s">
        <v>75</v>
      </c>
      <c r="E4" s="9" t="s">
        <v>40</v>
      </c>
      <c r="F4" s="14" t="s">
        <v>73</v>
      </c>
      <c r="G4" s="9">
        <v>1</v>
      </c>
      <c r="H4" s="14" t="s">
        <v>20</v>
      </c>
      <c r="I4" s="28" t="s">
        <v>74</v>
      </c>
    </row>
    <row r="5" spans="1:9" ht="41.4">
      <c r="A5" s="29"/>
      <c r="B5" s="16" t="s">
        <v>72</v>
      </c>
      <c r="C5" s="14" t="s">
        <v>14</v>
      </c>
      <c r="D5" s="27" t="s">
        <v>82</v>
      </c>
      <c r="E5" s="9" t="s">
        <v>40</v>
      </c>
      <c r="F5" s="14" t="s">
        <v>73</v>
      </c>
      <c r="G5" s="9">
        <v>1</v>
      </c>
      <c r="H5" s="14" t="s">
        <v>25</v>
      </c>
      <c r="I5" s="28" t="s">
        <v>74</v>
      </c>
    </row>
    <row r="6" spans="1:9" ht="41.4">
      <c r="A6" s="29"/>
      <c r="B6" s="16" t="s">
        <v>72</v>
      </c>
      <c r="C6" s="14" t="s">
        <v>14</v>
      </c>
      <c r="D6" s="27" t="s">
        <v>83</v>
      </c>
      <c r="E6" s="9" t="s">
        <v>40</v>
      </c>
      <c r="F6" s="14" t="s">
        <v>73</v>
      </c>
      <c r="G6" s="9">
        <v>1</v>
      </c>
      <c r="H6" s="14" t="s">
        <v>20</v>
      </c>
      <c r="I6" s="28" t="s">
        <v>74</v>
      </c>
    </row>
    <row r="7" spans="1:9" ht="41.4">
      <c r="A7" s="29"/>
      <c r="B7" s="16" t="s">
        <v>72</v>
      </c>
      <c r="C7" s="14" t="s">
        <v>14</v>
      </c>
      <c r="D7" s="27" t="s">
        <v>77</v>
      </c>
      <c r="E7" s="9" t="s">
        <v>40</v>
      </c>
      <c r="F7" s="14" t="s">
        <v>73</v>
      </c>
      <c r="G7" s="9">
        <v>0.5</v>
      </c>
      <c r="H7" s="14" t="s">
        <v>27</v>
      </c>
      <c r="I7" s="28" t="s">
        <v>76</v>
      </c>
    </row>
    <row r="8" spans="1:9" ht="41.4">
      <c r="A8" s="29"/>
      <c r="B8" s="16" t="s">
        <v>72</v>
      </c>
      <c r="C8" s="14" t="s">
        <v>14</v>
      </c>
      <c r="D8" s="27" t="s">
        <v>82</v>
      </c>
      <c r="E8" s="9" t="s">
        <v>40</v>
      </c>
      <c r="F8" s="14" t="s">
        <v>73</v>
      </c>
      <c r="G8" s="9">
        <v>1</v>
      </c>
      <c r="H8" s="14" t="s">
        <v>20</v>
      </c>
      <c r="I8" s="28" t="s">
        <v>74</v>
      </c>
    </row>
    <row r="9" spans="1:9" ht="27.6">
      <c r="A9" s="29"/>
      <c r="B9" s="16" t="s">
        <v>72</v>
      </c>
      <c r="C9" s="14" t="s">
        <v>18</v>
      </c>
      <c r="D9" s="27"/>
      <c r="E9" s="9"/>
      <c r="F9" s="14"/>
      <c r="G9" s="9">
        <v>0.5</v>
      </c>
      <c r="H9" s="14" t="s">
        <v>78</v>
      </c>
      <c r="I9" s="28" t="s">
        <v>79</v>
      </c>
    </row>
    <row r="10" spans="1:9" ht="41.4">
      <c r="A10" s="29"/>
      <c r="B10" s="16" t="s">
        <v>72</v>
      </c>
      <c r="C10" s="14" t="s">
        <v>14</v>
      </c>
      <c r="D10" s="27" t="s">
        <v>84</v>
      </c>
      <c r="E10" s="9" t="s">
        <v>40</v>
      </c>
      <c r="F10" s="14" t="s">
        <v>73</v>
      </c>
      <c r="G10" s="9">
        <v>3</v>
      </c>
      <c r="H10" s="14" t="s">
        <v>20</v>
      </c>
      <c r="I10" s="28" t="s">
        <v>74</v>
      </c>
    </row>
    <row r="11" spans="1:9" ht="41.4">
      <c r="A11" s="29"/>
      <c r="B11" s="16" t="s">
        <v>72</v>
      </c>
      <c r="C11" s="14" t="s">
        <v>14</v>
      </c>
      <c r="D11" s="27" t="s">
        <v>82</v>
      </c>
      <c r="E11" s="9" t="s">
        <v>40</v>
      </c>
      <c r="F11" s="14" t="s">
        <v>73</v>
      </c>
      <c r="G11" s="9">
        <v>1</v>
      </c>
      <c r="H11" s="14" t="s">
        <v>25</v>
      </c>
      <c r="I11" s="28" t="s">
        <v>74</v>
      </c>
    </row>
    <row r="12" spans="1:9" ht="41.4">
      <c r="A12" s="29"/>
      <c r="B12" s="16" t="s">
        <v>72</v>
      </c>
      <c r="C12" s="14" t="s">
        <v>14</v>
      </c>
      <c r="D12" s="27" t="s">
        <v>77</v>
      </c>
      <c r="E12" s="9" t="s">
        <v>40</v>
      </c>
      <c r="F12" s="14" t="s">
        <v>73</v>
      </c>
      <c r="G12" s="9">
        <v>1</v>
      </c>
      <c r="H12" s="14" t="s">
        <v>20</v>
      </c>
      <c r="I12" s="28" t="s">
        <v>76</v>
      </c>
    </row>
    <row r="13" spans="1:9" ht="41.4">
      <c r="A13" s="29"/>
      <c r="B13" s="16" t="s">
        <v>72</v>
      </c>
      <c r="C13" s="14" t="s">
        <v>14</v>
      </c>
      <c r="D13" s="27" t="s">
        <v>83</v>
      </c>
      <c r="E13" s="9" t="s">
        <v>40</v>
      </c>
      <c r="F13" s="14" t="s">
        <v>73</v>
      </c>
      <c r="G13" s="9">
        <v>0.5</v>
      </c>
      <c r="H13" s="14" t="s">
        <v>25</v>
      </c>
      <c r="I13" s="28" t="s">
        <v>74</v>
      </c>
    </row>
    <row r="14" spans="1:9" ht="41.4">
      <c r="A14" s="29"/>
      <c r="B14" s="16" t="s">
        <v>72</v>
      </c>
      <c r="C14" s="14" t="s">
        <v>14</v>
      </c>
      <c r="D14" s="27" t="s">
        <v>75</v>
      </c>
      <c r="E14" s="9" t="s">
        <v>40</v>
      </c>
      <c r="F14" s="14" t="s">
        <v>73</v>
      </c>
      <c r="G14" s="9">
        <v>0.5</v>
      </c>
      <c r="H14" s="14" t="s">
        <v>20</v>
      </c>
      <c r="I14" s="28" t="s">
        <v>74</v>
      </c>
    </row>
    <row r="15" spans="1:9" ht="41.4">
      <c r="A15" s="30"/>
      <c r="B15" s="16" t="s">
        <v>72</v>
      </c>
      <c r="C15" s="14" t="s">
        <v>14</v>
      </c>
      <c r="D15" s="27" t="s">
        <v>84</v>
      </c>
      <c r="E15" s="9" t="s">
        <v>40</v>
      </c>
      <c r="F15" s="14" t="s">
        <v>73</v>
      </c>
      <c r="G15" s="9">
        <v>3</v>
      </c>
      <c r="H15" s="14" t="s">
        <v>20</v>
      </c>
      <c r="I15" s="28" t="s">
        <v>74</v>
      </c>
    </row>
    <row r="16" spans="1:9" ht="41.4">
      <c r="A16" s="30"/>
      <c r="B16" s="16" t="s">
        <v>72</v>
      </c>
      <c r="C16" s="14" t="s">
        <v>14</v>
      </c>
      <c r="D16" s="27" t="s">
        <v>80</v>
      </c>
      <c r="E16" s="9" t="s">
        <v>40</v>
      </c>
      <c r="F16" s="14" t="s">
        <v>73</v>
      </c>
      <c r="G16" s="9">
        <v>2</v>
      </c>
      <c r="H16" s="14" t="s">
        <v>25</v>
      </c>
      <c r="I16" s="28" t="s">
        <v>74</v>
      </c>
    </row>
    <row r="17" spans="1:9" ht="41.4">
      <c r="A17" s="31"/>
      <c r="B17" s="16" t="s">
        <v>72</v>
      </c>
      <c r="C17" s="14" t="s">
        <v>14</v>
      </c>
      <c r="D17" s="27" t="s">
        <v>84</v>
      </c>
      <c r="E17" s="9" t="s">
        <v>40</v>
      </c>
      <c r="F17" s="14" t="s">
        <v>73</v>
      </c>
      <c r="G17" s="9">
        <v>2</v>
      </c>
      <c r="H17" s="14" t="s">
        <v>20</v>
      </c>
      <c r="I17" s="28" t="s">
        <v>74</v>
      </c>
    </row>
    <row r="18" spans="1:9" ht="41.4">
      <c r="A18" s="31"/>
      <c r="B18" s="16" t="s">
        <v>72</v>
      </c>
      <c r="C18" s="14" t="s">
        <v>14</v>
      </c>
      <c r="D18" s="27" t="s">
        <v>82</v>
      </c>
      <c r="E18" s="9" t="s">
        <v>40</v>
      </c>
      <c r="F18" s="14" t="s">
        <v>73</v>
      </c>
      <c r="G18" s="9">
        <v>1</v>
      </c>
      <c r="H18" s="14" t="s">
        <v>25</v>
      </c>
      <c r="I18" s="28" t="s">
        <v>74</v>
      </c>
    </row>
    <row r="19" spans="1:9">
      <c r="A19" s="31"/>
      <c r="B19" s="16" t="s">
        <v>72</v>
      </c>
      <c r="C19" s="14" t="s">
        <v>18</v>
      </c>
      <c r="D19" s="27"/>
      <c r="E19" s="9"/>
      <c r="F19" s="14"/>
      <c r="G19" s="9">
        <v>4</v>
      </c>
      <c r="H19" s="14" t="s">
        <v>27</v>
      </c>
      <c r="I19" s="28" t="s">
        <v>81</v>
      </c>
    </row>
    <row r="20" spans="1:9">
      <c r="A20" s="31"/>
      <c r="B20" s="16" t="s">
        <v>72</v>
      </c>
      <c r="C20" s="14" t="s">
        <v>18</v>
      </c>
      <c r="D20" s="27"/>
      <c r="E20" s="9"/>
      <c r="F20" s="14"/>
      <c r="G20" s="9">
        <v>4</v>
      </c>
      <c r="H20" s="14" t="s">
        <v>27</v>
      </c>
      <c r="I20" s="28" t="s">
        <v>81</v>
      </c>
    </row>
    <row r="21" spans="1:9" ht="41.4">
      <c r="A21" s="31"/>
      <c r="B21" s="16" t="s">
        <v>72</v>
      </c>
      <c r="C21" s="14" t="s">
        <v>14</v>
      </c>
      <c r="D21" s="27" t="s">
        <v>75</v>
      </c>
      <c r="E21" s="9" t="s">
        <v>40</v>
      </c>
      <c r="F21" s="14" t="s">
        <v>73</v>
      </c>
      <c r="G21" s="9">
        <v>1</v>
      </c>
      <c r="H21" s="14" t="s">
        <v>20</v>
      </c>
      <c r="I21" s="28" t="s">
        <v>74</v>
      </c>
    </row>
    <row r="22" spans="1:9" ht="41.4">
      <c r="A22" s="31"/>
      <c r="B22" s="16" t="s">
        <v>72</v>
      </c>
      <c r="C22" s="14" t="s">
        <v>14</v>
      </c>
      <c r="D22" s="27" t="s">
        <v>84</v>
      </c>
      <c r="E22" s="9" t="s">
        <v>40</v>
      </c>
      <c r="F22" s="14" t="s">
        <v>73</v>
      </c>
      <c r="G22" s="9">
        <v>2</v>
      </c>
      <c r="H22" s="14" t="s">
        <v>20</v>
      </c>
      <c r="I22" s="28" t="s">
        <v>74</v>
      </c>
    </row>
    <row r="23" spans="1:9">
      <c r="A23" s="31"/>
      <c r="B23" s="16" t="s">
        <v>72</v>
      </c>
      <c r="C23" s="14" t="s">
        <v>18</v>
      </c>
      <c r="D23" s="27"/>
      <c r="E23" s="9"/>
      <c r="F23" s="14"/>
      <c r="G23" s="9">
        <v>4</v>
      </c>
      <c r="H23" s="14" t="s">
        <v>27</v>
      </c>
      <c r="I23" s="28" t="s">
        <v>81</v>
      </c>
    </row>
    <row r="24" spans="1:9">
      <c r="A24" s="29"/>
      <c r="B24" s="16"/>
      <c r="C24" s="14"/>
      <c r="D24" s="27"/>
      <c r="E24" s="9"/>
      <c r="F24" s="14"/>
      <c r="G24" s="9"/>
      <c r="H24" s="14"/>
      <c r="I24" s="28"/>
    </row>
    <row r="25" spans="1:9">
      <c r="A25" s="29"/>
      <c r="B25" s="16"/>
      <c r="C25" s="14"/>
      <c r="D25" s="27"/>
      <c r="E25" s="9"/>
      <c r="F25" s="14"/>
      <c r="G25" s="9"/>
      <c r="H25" s="14"/>
      <c r="I25" s="28"/>
    </row>
    <row r="26" spans="1:9">
      <c r="A26" s="29"/>
      <c r="B26" s="16"/>
      <c r="C26" s="14"/>
      <c r="D26" s="27"/>
      <c r="E26" s="9"/>
      <c r="F26" s="14"/>
      <c r="G26" s="9"/>
      <c r="H26" s="14"/>
      <c r="I26" s="28"/>
    </row>
    <row r="27" spans="1:9">
      <c r="A27" s="29"/>
      <c r="B27" s="16"/>
      <c r="C27" s="14"/>
      <c r="D27" s="27"/>
      <c r="E27" s="9"/>
      <c r="F27" s="14"/>
      <c r="G27" s="9"/>
      <c r="H27" s="14"/>
      <c r="I27" s="28"/>
    </row>
    <row r="28" spans="1:9">
      <c r="A28" s="29"/>
      <c r="B28" s="16"/>
      <c r="C28" s="14"/>
      <c r="D28" s="27"/>
      <c r="E28" s="9"/>
      <c r="F28" s="14"/>
      <c r="G28" s="9"/>
      <c r="H28" s="14"/>
      <c r="I28" s="28"/>
    </row>
    <row r="29" spans="1:9">
      <c r="B29" s="8"/>
      <c r="C29" s="14"/>
      <c r="D29" s="9"/>
      <c r="E29" s="9"/>
      <c r="F29" s="14"/>
      <c r="G29" s="9"/>
      <c r="H29" s="14"/>
      <c r="I29" s="12"/>
    </row>
    <row r="30" spans="1:9">
      <c r="B30" s="8"/>
      <c r="C30" s="14"/>
      <c r="D30" s="9"/>
      <c r="E30" s="9"/>
      <c r="F30" s="14"/>
      <c r="G30" s="9"/>
      <c r="H30" s="14"/>
      <c r="I30" s="12"/>
    </row>
    <row r="31" spans="1:9">
      <c r="B31" s="8"/>
      <c r="C31" s="14"/>
      <c r="D31" s="9"/>
      <c r="E31" s="9"/>
      <c r="F31" s="14"/>
      <c r="G31" s="9"/>
      <c r="H31" s="14"/>
      <c r="I31" s="12"/>
    </row>
    <row r="32" spans="1:9">
      <c r="B32" s="8"/>
      <c r="C32" s="14"/>
      <c r="D32" s="9"/>
      <c r="E32" s="9"/>
      <c r="F32" s="14"/>
      <c r="G32" s="9"/>
      <c r="H32" s="14"/>
      <c r="I32" s="12"/>
    </row>
    <row r="33" spans="2:9">
      <c r="B33" s="8"/>
      <c r="C33" s="14"/>
      <c r="D33" s="9"/>
      <c r="E33" s="9"/>
      <c r="F33" s="14"/>
      <c r="G33" s="9"/>
      <c r="H33" s="14"/>
      <c r="I33" s="12"/>
    </row>
    <row r="34" spans="2:9">
      <c r="B34" s="8"/>
      <c r="C34" s="14"/>
      <c r="D34" s="9"/>
      <c r="E34" s="9"/>
      <c r="F34" s="14"/>
      <c r="G34" s="9"/>
      <c r="H34" s="14"/>
      <c r="I34" s="12"/>
    </row>
    <row r="35" spans="2:9">
      <c r="B35" s="22"/>
      <c r="C35" s="23"/>
      <c r="D35" s="24"/>
      <c r="E35" s="24"/>
      <c r="F35" s="26" t="s">
        <v>67</v>
      </c>
      <c r="G35" s="35">
        <f>SUM(G3:G34)</f>
        <v>34</v>
      </c>
      <c r="H35" s="36"/>
      <c r="I35" s="37"/>
    </row>
    <row r="36" spans="2:9" ht="15" thickBot="1">
      <c r="B36" s="19"/>
      <c r="C36" s="20"/>
      <c r="D36" s="21"/>
      <c r="E36" s="21"/>
      <c r="F36" s="25" t="s">
        <v>68</v>
      </c>
      <c r="G36" s="32">
        <v>5</v>
      </c>
      <c r="H36" s="33"/>
      <c r="I36" s="34"/>
    </row>
    <row r="37" spans="2:9" ht="15" thickTop="1"/>
  </sheetData>
  <mergeCells count="2">
    <mergeCell ref="G36:I36"/>
    <mergeCell ref="G35:I35"/>
  </mergeCells>
  <phoneticPr fontId="9"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E4:E36</xm:sqref>
        </x14:dataValidation>
        <x14:dataValidation type="list" allowBlank="1" showInputMessage="1" showErrorMessage="1" xr:uid="{00000000-0002-0000-0000-000002000000}">
          <x14:formula1>
            <xm:f>数据标签!$B$2:$H$2</xm:f>
          </x14:formula1>
          <xm:sqref>C4:C36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F12" sqref="F12"/>
    </sheetView>
  </sheetViews>
  <sheetFormatPr defaultColWidth="8.6640625" defaultRowHeight="13.8"/>
  <cols>
    <col min="1" max="1" width="8.6640625" style="1"/>
    <col min="2" max="2" width="26.6640625" style="1" customWidth="1"/>
    <col min="3" max="3" width="21.6640625" style="1" customWidth="1"/>
    <col min="4" max="7" width="28.44140625" style="1" customWidth="1"/>
    <col min="8" max="8" width="27.33203125" style="1" customWidth="1"/>
    <col min="9" max="16384" width="8.664062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7"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5.2">
      <c r="A12" s="1" t="s">
        <v>42</v>
      </c>
      <c r="B12" s="3" t="s">
        <v>43</v>
      </c>
    </row>
    <row r="13" spans="1:8" ht="41.4">
      <c r="B13" s="3" t="s">
        <v>55</v>
      </c>
      <c r="C13" s="13" t="s">
        <v>56</v>
      </c>
      <c r="D13" s="13" t="s">
        <v>56</v>
      </c>
    </row>
    <row r="14" spans="1:8" ht="41.4">
      <c r="B14" s="3" t="s">
        <v>44</v>
      </c>
      <c r="C14" s="13" t="s">
        <v>56</v>
      </c>
      <c r="D14" s="13" t="s">
        <v>56</v>
      </c>
    </row>
    <row r="15" spans="1:8" ht="55.2">
      <c r="B15" s="3" t="s">
        <v>45</v>
      </c>
      <c r="C15" s="13" t="s">
        <v>56</v>
      </c>
      <c r="D15" s="13" t="s">
        <v>56</v>
      </c>
    </row>
    <row r="16" spans="1:8" ht="55.2">
      <c r="B16" s="3" t="s">
        <v>46</v>
      </c>
      <c r="C16" s="13" t="s">
        <v>56</v>
      </c>
      <c r="D16" s="13" t="s">
        <v>56</v>
      </c>
    </row>
    <row r="17" spans="2:4" ht="55.2">
      <c r="B17" s="3" t="s">
        <v>47</v>
      </c>
      <c r="C17" s="13" t="s">
        <v>56</v>
      </c>
      <c r="D17" s="13" t="s">
        <v>56</v>
      </c>
    </row>
    <row r="18" spans="2:4" ht="69">
      <c r="B18" s="3" t="s">
        <v>48</v>
      </c>
      <c r="C18" s="13" t="s">
        <v>56</v>
      </c>
      <c r="D18" s="13" t="s">
        <v>56</v>
      </c>
    </row>
    <row r="19" spans="2:4" ht="55.2">
      <c r="B19" s="3" t="s">
        <v>49</v>
      </c>
      <c r="C19" s="13" t="s">
        <v>56</v>
      </c>
      <c r="D19" s="13" t="s">
        <v>56</v>
      </c>
    </row>
    <row r="20" spans="2:4" ht="41.4">
      <c r="B20" s="3" t="s">
        <v>63</v>
      </c>
      <c r="C20" s="13" t="s">
        <v>56</v>
      </c>
      <c r="D20" s="13" t="s">
        <v>56</v>
      </c>
    </row>
    <row r="21" spans="2:4" ht="41.4">
      <c r="B21" s="3" t="s">
        <v>50</v>
      </c>
      <c r="C21" s="13" t="s">
        <v>56</v>
      </c>
      <c r="D21" s="13" t="s">
        <v>56</v>
      </c>
    </row>
    <row r="22" spans="2:4" ht="41.4">
      <c r="B22" s="3" t="s">
        <v>64</v>
      </c>
      <c r="C22" s="13" t="s">
        <v>56</v>
      </c>
      <c r="D22" s="13" t="s">
        <v>56</v>
      </c>
    </row>
    <row r="23" spans="2:4" ht="41.4">
      <c r="B23" s="3" t="s">
        <v>65</v>
      </c>
      <c r="C23" s="13"/>
      <c r="D23" s="13"/>
    </row>
    <row r="24" spans="2:4" ht="96.6">
      <c r="B24" s="3" t="s">
        <v>54</v>
      </c>
      <c r="C24" s="13" t="s">
        <v>56</v>
      </c>
      <c r="D24" s="13" t="s">
        <v>56</v>
      </c>
    </row>
    <row r="25" spans="2:4" ht="41.4">
      <c r="B25" s="3" t="s">
        <v>51</v>
      </c>
      <c r="C25" s="13" t="s">
        <v>56</v>
      </c>
      <c r="D25" s="13" t="s">
        <v>56</v>
      </c>
    </row>
    <row r="26" spans="2:4" ht="41.4">
      <c r="B26" s="3" t="s">
        <v>52</v>
      </c>
      <c r="C26" s="13" t="s">
        <v>56</v>
      </c>
      <c r="D26" s="13" t="s">
        <v>56</v>
      </c>
    </row>
    <row r="27" spans="2:4" ht="27.6">
      <c r="B27" s="3" t="s">
        <v>53</v>
      </c>
      <c r="C27" s="13" t="s">
        <v>56</v>
      </c>
      <c r="D27" s="13" t="s">
        <v>56</v>
      </c>
    </row>
  </sheetData>
  <phoneticPr fontId="9"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2025-10-13T03:37:02Z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