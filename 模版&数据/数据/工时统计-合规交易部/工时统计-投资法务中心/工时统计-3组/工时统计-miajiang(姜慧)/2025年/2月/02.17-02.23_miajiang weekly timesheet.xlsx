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9E00924B-3F2F-405A-ADE9-42897B30DC38}"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<sst xmlns="http://schemas.openxmlformats.org/spreadsheetml/2006/main" count="158" uniqueCount="86">
  <si>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</si>
  <si>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</si>
  <si>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</si>
  <si>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</si>
  <si>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</si>
  <si>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</si>
  <si>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</si>
  <si>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</si>
  <si>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</si>
  <si>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</si>
  <si>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</si>
  <si>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</si>
  <si>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</si>
  <si>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</si>
  <si>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</si>
  <si>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</si>
  <si>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</si>
  <si>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</si>
  <si>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</si>
  <si>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</si>
  <si>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</si>
  <si>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</si>
  <si>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</si>
  <si>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</si>
  <si>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</si>
  <si>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</si>
  <si>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</si>
  <si>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</si>
  <si>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</si>
  <si>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</si>
  <si>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</si>
  <si>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</si>
  <si>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</si>
  <si>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</si>
  <si>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</si>
  <si>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</si>
  <si>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</si>
  <si>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</si>
  <si>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</si>
  <si>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</si>
  <si>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</si>
  <si>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</si>
  <si>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</si>
  <si>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</si>
  <si>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</si>
  <si>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</si>
  <si>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</si>
  <si>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</si>
  <si>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</si>
  <si>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</si>
  <si>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</si>
  <si>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</si>
  <si>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</si>
  <si>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</si>
  <si>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</si>
  <si>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</si>
  <si>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</si>
  <si>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</si>
  <si>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</si>
  <si>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</si>
  <si>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</si>
  <si>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</si>
  <si>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</si>
  <si>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</si>
  <si>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</si>
  <si>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</si>
  <si>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</si>
  <si>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</si>
  <si>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</si>
  <si>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</si>
  <si>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</si>
  <si>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</si>
  <si>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</si>
  <si>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</si>
  <si>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</si>
  <si>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</si>
  <si>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</si>
  <si>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腾蓝</t>
    <phoneticPr fontId="7" type="noConversion"/>
  </si>
  <si>
    <t>精细化管理工具搭建 Adoption of refined management tools</t>
  </si>
  <si>
    <t>Recording/reviewing deals updates/weekly time reports/other team summaries</t>
  </si>
  <si>
    <t>Public - Knowledge Accumulation &amp; Sharing</t>
  </si>
  <si>
    <t>敏感投资领域投资指引 Guidance for sensitive investment fields</t>
  </si>
  <si>
    <t>miajiang</t>
    <phoneticPr fontId="7" type="noConversion"/>
  </si>
  <si>
    <t>Public - Infrastructure &amp; Guidance</t>
  </si>
  <si>
    <t>礼邦</t>
    <phoneticPr fontId="7" type="noConversion"/>
  </si>
  <si>
    <t>三星</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</si>
</sst>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4" zoomScaleNormal="100" workbookViewId="0">
      <selection activeCell="H8" sqref="H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80</v>
      </c>
      <c r="D4" s="9"/>
      <c r="E4" s="9" t="s">
        <v>40</v>
      </c>
      <c r="F4" s="14" t="s">
        <v>75</v>
      </c>
      <c r="G4" s="9">
        <v>9</v>
      </c>
      <c r="H4" s="14" t="s">
        <v>23</v>
      </c>
      <c r="I4" s="31"/>
    </row>
    <row r="5" spans="2:9" ht="26" x14ac:dyDescent="0.3">
      <c r="B5" s="16" t="s">
        <v>72</v>
      </c>
      <c r="C5" s="14" t="s">
        <v>14</v>
      </c>
      <c r="D5" s="29" t="s">
        <v>84</v>
      </c>
      <c r="E5" s="9" t="s">
        <v>40</v>
      </c>
      <c r="F5" s="14" t="s">
        <v>75</v>
      </c>
      <c r="G5" s="9">
        <v>2</v>
      </c>
      <c r="H5" s="14" t="s">
        <v>36</v>
      </c>
      <c r="I5" s="31"/>
    </row>
    <row r="6" spans="2:9" ht="26" x14ac:dyDescent="0.3">
      <c r="B6" s="16" t="s">
        <v>72</v>
      </c>
      <c r="C6" s="14" t="s">
        <v>18</v>
      </c>
      <c r="D6" s="9"/>
      <c r="E6" s="9" t="s">
        <v>40</v>
      </c>
      <c r="F6" s="30" t="s">
        <v>73</v>
      </c>
      <c r="G6" s="9">
        <v>6</v>
      </c>
      <c r="H6" s="30" t="s">
        <v>74</v>
      </c>
      <c r="I6" s="31"/>
    </row>
    <row r="7" spans="2:9" ht="26" x14ac:dyDescent="0.3">
      <c r="B7" s="16" t="s">
        <v>72</v>
      </c>
      <c r="C7" s="14" t="s">
        <v>18</v>
      </c>
      <c r="D7" s="9"/>
      <c r="E7" s="9" t="s">
        <v>40</v>
      </c>
      <c r="F7" s="30" t="s">
        <v>78</v>
      </c>
      <c r="G7" s="9">
        <v>1</v>
      </c>
      <c r="H7" s="14" t="s">
        <v>79</v>
      </c>
      <c r="I7" s="12"/>
    </row>
    <row r="8" spans="2:9" ht="26" x14ac:dyDescent="0.3">
      <c r="B8" s="16" t="s">
        <v>72</v>
      </c>
      <c r="C8" s="14" t="s">
        <v>14</v>
      </c>
      <c r="D8" s="29" t="s">
        <v>76</v>
      </c>
      <c r="E8" s="9" t="s">
        <v>40</v>
      </c>
      <c r="F8" s="14" t="s">
        <v>75</v>
      </c>
      <c r="G8" s="9">
        <v>5</v>
      </c>
      <c r="H8" s="30" t="s">
        <v>20</v>
      </c>
      <c r="I8" s="12"/>
    </row>
    <row r="9" spans="2:9" ht="26" x14ac:dyDescent="0.3">
      <c r="B9" s="16" t="s">
        <v>72</v>
      </c>
      <c r="C9" s="14" t="s">
        <v>14</v>
      </c>
      <c r="D9" s="29" t="s">
        <v>77</v>
      </c>
      <c r="E9" s="9" t="s">
        <v>40</v>
      </c>
      <c r="F9" s="14" t="s">
        <v>75</v>
      </c>
      <c r="G9" s="9">
        <v>3</v>
      </c>
      <c r="H9" s="30" t="s">
        <v>36</v>
      </c>
      <c r="I9" s="12"/>
    </row>
    <row r="10" spans="2:9" ht="26" x14ac:dyDescent="0.3">
      <c r="B10" s="16" t="s">
        <v>82</v>
      </c>
      <c r="C10" s="14" t="s">
        <v>83</v>
      </c>
      <c r="D10" s="9"/>
      <c r="E10" s="9" t="s">
        <v>40</v>
      </c>
      <c r="F10" s="14" t="s">
        <v>81</v>
      </c>
      <c r="G10" s="9">
        <v>3</v>
      </c>
      <c r="H10" s="14" t="s">
        <v>27</v>
      </c>
      <c r="I10" s="12"/>
    </row>
    <row r="11" spans="2:9" ht="26" x14ac:dyDescent="0.3">
      <c r="B11" s="16" t="s">
        <v>72</v>
      </c>
      <c r="C11" s="14" t="s">
        <v>14</v>
      </c>
      <c r="D11" s="29" t="s">
        <v>85</v>
      </c>
      <c r="E11" s="9" t="s">
        <v>40</v>
      </c>
      <c r="F11" s="14" t="s">
        <v>75</v>
      </c>
      <c r="G11" s="9">
        <v>2</v>
      </c>
      <c r="H11" s="14" t="s">
        <v>20</v>
      </c>
      <c r="I11" s="31"/>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24"/>
      <c r="C29" s="25"/>
      <c r="D29" s="26"/>
      <c r="E29" s="26"/>
      <c r="F29" s="28" t="s">
        <v>67</v>
      </c>
      <c r="G29" s="35">
        <f>SUM(G3:G28)</f>
        <v>31</v>
      </c>
      <c r="H29" s="36"/>
      <c r="I29" s="37"/>
    </row>
    <row r="30" spans="2:9" ht="14.5" thickBot="1" x14ac:dyDescent="0.35">
      <c r="B30" s="20"/>
      <c r="C30" s="21"/>
      <c r="D30" s="22"/>
      <c r="E30" s="22"/>
      <c r="F30" s="27" t="s">
        <v>68</v>
      </c>
      <c r="G30" s="32">
        <v>5</v>
      </c>
      <c r="H30" s="33"/>
      <c r="I30" s="34"/>
    </row>
    <row r="31" spans="2:9" ht="14.5" thickTop="1" x14ac:dyDescent="0.3"/>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2025-03-10T03:32:38Z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