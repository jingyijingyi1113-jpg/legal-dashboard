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F42A29A8-7E24-4123-BB5B-199243023693}"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<sst xmlns="http://schemas.openxmlformats.org/spreadsheetml/2006/main" count="143" uniqueCount="84">
  <si>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</si>
  <si>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</si>
  <si>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</si>
  <si>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</si>
  <si>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</si>
  <si>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</si>
  <si>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</si>
  <si>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</si>
  <si>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</si>
  <si>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</si>
  <si>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</si>
  <si>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</si>
  <si>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</si>
  <si>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</si>
  <si>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</si>
  <si>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</si>
  <si>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</si>
  <si>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</si>
  <si>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</si>
  <si>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</si>
  <si>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</si>
  <si>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</si>
  <si>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</si>
  <si>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</si>
  <si>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</si>
  <si>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</si>
  <si>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</si>
  <si>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</si>
  <si>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</si>
  <si>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</si>
  <si>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</si>
  <si>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</si>
  <si>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</si>
  <si>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</si>
  <si>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</si>
  <si>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</si>
  <si>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</si>
  <si>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</si>
  <si>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</si>
  <si>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</si>
  <si>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</si>
  <si>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</si>
  <si>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</si>
  <si>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</si>
  <si>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</si>
  <si>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</si>
  <si>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</si>
  <si>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</si>
  <si>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</si>
  <si>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</si>
  <si>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</si>
  <si>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</si>
  <si>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</si>
  <si>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</si>
  <si>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</si>
  <si>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</si>
  <si>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</si>
  <si>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</si>
  <si>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</si>
  <si>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</si>
  <si>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</si>
  <si>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</si>
  <si>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</si>
  <si>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</si>
  <si>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</si>
  <si>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</si>
  <si>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</si>
  <si>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</si>
  <si>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</si>
  <si>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</si>
  <si>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</si>
  <si>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</si>
  <si>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</si>
  <si>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</si>
  <si>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</si>
  <si>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</si>
  <si>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</si>
  <si>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</si>
  <si>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Public - Knowledge Accumulation &amp; Sharing</t>
  </si>
  <si>
    <t>mainfunc</t>
    <phoneticPr fontId="7" type="noConversion"/>
  </si>
  <si>
    <t>sanction screening system</t>
    <phoneticPr fontId="7" type="noConversion"/>
  </si>
  <si>
    <t>Participating training sessions</t>
    <phoneticPr fontId="7" type="noConversion"/>
  </si>
  <si>
    <t>潜龙培训</t>
    <phoneticPr fontId="7" type="noConversion"/>
  </si>
  <si>
    <t>structural arrangement case study + legal compliance for overseas business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</si>
</sst>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G5" sqref="G5"/>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39" x14ac:dyDescent="0.3">
      <c r="B5" s="16" t="s">
        <v>72</v>
      </c>
      <c r="C5" s="30" t="s">
        <v>77</v>
      </c>
      <c r="D5" s="29"/>
      <c r="E5" s="29" t="s">
        <v>40</v>
      </c>
      <c r="F5" s="30" t="s">
        <v>76</v>
      </c>
      <c r="G5" s="29">
        <v>2</v>
      </c>
      <c r="H5" s="30" t="s">
        <v>22</v>
      </c>
      <c r="I5" s="31" t="s">
        <v>83</v>
      </c>
    </row>
    <row r="6" spans="2:9" ht="26" x14ac:dyDescent="0.3">
      <c r="B6" s="16" t="s">
        <v>72</v>
      </c>
      <c r="C6" s="14" t="s">
        <v>18</v>
      </c>
      <c r="D6" s="9"/>
      <c r="E6" s="9" t="s">
        <v>40</v>
      </c>
      <c r="F6" s="30" t="s">
        <v>74</v>
      </c>
      <c r="G6" s="9">
        <v>2</v>
      </c>
      <c r="H6" s="30" t="s">
        <v>27</v>
      </c>
      <c r="I6" s="31" t="s">
        <v>80</v>
      </c>
    </row>
    <row r="7" spans="2:9" ht="26" x14ac:dyDescent="0.3">
      <c r="B7" s="16" t="s">
        <v>72</v>
      </c>
      <c r="C7" s="14" t="s">
        <v>14</v>
      </c>
      <c r="D7" s="29" t="s">
        <v>79</v>
      </c>
      <c r="E7" s="9" t="s">
        <v>40</v>
      </c>
      <c r="F7" s="14" t="s">
        <v>73</v>
      </c>
      <c r="G7" s="9">
        <v>4</v>
      </c>
      <c r="H7" s="14" t="s">
        <v>36</v>
      </c>
      <c r="I7" s="31"/>
    </row>
    <row r="8" spans="2:9" ht="26" x14ac:dyDescent="0.3">
      <c r="B8" s="16" t="s">
        <v>72</v>
      </c>
      <c r="C8" s="14" t="s">
        <v>78</v>
      </c>
      <c r="D8" s="29"/>
      <c r="E8" s="9" t="s">
        <v>40</v>
      </c>
      <c r="F8" s="14" t="s">
        <v>73</v>
      </c>
      <c r="G8" s="9">
        <v>26</v>
      </c>
      <c r="H8" s="30" t="s">
        <v>81</v>
      </c>
      <c r="I8" s="31" t="s">
        <v>82</v>
      </c>
    </row>
    <row r="9" spans="2:9" x14ac:dyDescent="0.3">
      <c r="B9" s="8"/>
      <c r="C9" s="14"/>
      <c r="D9" s="9"/>
      <c r="E9" s="9"/>
      <c r="F9" s="14"/>
      <c r="G9" s="9"/>
      <c r="H9" s="14"/>
      <c r="I9" s="12"/>
    </row>
    <row r="10" spans="2:9" x14ac:dyDescent="0.3">
      <c r="B10" s="24"/>
      <c r="C10" s="25"/>
      <c r="D10" s="26"/>
      <c r="E10" s="26"/>
      <c r="F10" s="28" t="s">
        <v>67</v>
      </c>
      <c r="G10" s="35">
        <f>SUM(G3:G9)</f>
        <v>35</v>
      </c>
      <c r="H10" s="36"/>
      <c r="I10" s="37"/>
    </row>
    <row r="11" spans="2:9" ht="14.5" thickBot="1" x14ac:dyDescent="0.35">
      <c r="B11" s="20"/>
      <c r="C11" s="21"/>
      <c r="D11" s="22"/>
      <c r="E11" s="22"/>
      <c r="F11" s="27" t="s">
        <v>68</v>
      </c>
      <c r="G11" s="32">
        <v>3</v>
      </c>
      <c r="H11" s="33"/>
      <c r="I11" s="34"/>
    </row>
    <row r="12" spans="2:9" ht="14.5" thickTop="1" x14ac:dyDescent="0.3"/>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E6:E11</xm:sqref>
        </x14:dataValidation>
        <x14:dataValidation type="list" allowBlank="1" showInputMessage="1" showErrorMessage="1" xr:uid="{00000000-0002-0000-0000-000002000000}">
          <x14:formula1>
            <xm:f>数据标签!$B$2:$H$2</xm:f>
          </x14:formula1>
          <xm:sqref>C4 C6:C11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2025-11-03T10:46:42Z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