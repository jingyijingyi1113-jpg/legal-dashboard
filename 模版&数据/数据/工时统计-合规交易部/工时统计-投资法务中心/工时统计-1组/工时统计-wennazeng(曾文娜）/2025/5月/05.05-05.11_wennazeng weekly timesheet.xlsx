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wennazeng\Documents\02. KM\内部流程\工作时间记录\2025.05\"/>
    </mc:Choice>
  </mc:AlternateContent>
  <xr:revisionPtr revIDLastSave="0" documentId="13_ncr:1_{402CD9F4-AC3C-42E5-BF29-98A0BA8A6BFB}"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<sst xmlns="http://schemas.openxmlformats.org/spreadsheetml/2006/main" count="177" uniqueCount="98">
  <si>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</si>
  <si>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</si>
  <si>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</si>
  <si>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</si>
  <si>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</si>
  <si>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</si>
  <si>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</si>
  <si>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</si>
  <si>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</si>
  <si>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</si>
  <si>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</si>
  <si>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</si>
  <si>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</si>
  <si>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</si>
  <si>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</si>
  <si>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</si>
  <si>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</si>
  <si>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</si>
  <si>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</si>
  <si>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</si>
  <si>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</si>
  <si>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</si>
  <si>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</si>
  <si>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</si>
  <si>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</si>
  <si>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</si>
  <si>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</si>
  <si>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</si>
  <si>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</si>
  <si>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</si>
  <si>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</si>
  <si>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</si>
  <si>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</si>
  <si>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</si>
  <si>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</si>
  <si>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</si>
  <si>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</si>
  <si>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</si>
  <si>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</si>
  <si>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</si>
  <si>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</si>
  <si>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</si>
  <si>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</si>
  <si>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</si>
  <si>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</si>
  <si>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</si>
  <si>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</si>
  <si>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</si>
  <si>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</si>
  <si>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</si>
  <si>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</si>
  <si>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</si>
  <si>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</si>
  <si>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</si>
  <si>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</si>
  <si>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</si>
  <si>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</si>
  <si>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</si>
  <si>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</si>
  <si>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</si>
  <si>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</si>
  <si>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</si>
  <si>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</si>
  <si>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</si>
  <si>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</si>
  <si>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</si>
  <si>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</si>
  <si>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</si>
  <si>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</si>
  <si>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</si>
  <si>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</si>
  <si>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</si>
  <si>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</si>
  <si>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</si>
  <si>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</si>
  <si>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</si>
  <si>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Carta</t>
    <phoneticPr fontId="7" type="noConversion"/>
  </si>
  <si>
    <t>Airwallex</t>
    <phoneticPr fontId="7" type="noConversion"/>
  </si>
  <si>
    <t>精细化管理工具搭建 Adoption of refined management tools</t>
  </si>
  <si>
    <t>Public - Knowledge Accumulation &amp; Sharing</t>
  </si>
  <si>
    <t>资本市场证券交易全流程合规体系建设 Full-process compliance system  for securities trading in capital markets</t>
  </si>
  <si>
    <t>US capital markets hotdesk</t>
    <phoneticPr fontId="7" type="noConversion"/>
  </si>
  <si>
    <t>Public - Infrastructure &amp; Guidance</t>
  </si>
  <si>
    <t>Bulk data rule law firm survey</t>
    <phoneticPr fontId="7" type="noConversion"/>
  </si>
  <si>
    <t>敏感投资领域投资指引 Guidance for sensitive investment fields</t>
  </si>
  <si>
    <t>即构ZEGO</t>
    <phoneticPr fontId="7" type="noConversion"/>
  </si>
  <si>
    <t>Preparing policies/procedures/guidance/booklet</t>
    <phoneticPr fontId="7" type="noConversion"/>
  </si>
  <si>
    <t>Drafting/reviewing/negotiating legal documents</t>
    <phoneticPr fontId="7" type="noConversion"/>
  </si>
  <si>
    <t>Secondary purchase: call with Cov on legal fees</t>
    <phoneticPr fontId="7" type="noConversion"/>
  </si>
  <si>
    <t>Exchangeable note: calculation number of shares, share percentage and EB amount based on Series F cap table; revise summary of terms to update EB fees/economics, etc.</t>
    <phoneticPr fontId="7" type="noConversion"/>
  </si>
  <si>
    <t>Related party questionnaire: review related party questionnaire</t>
    <phoneticPr fontId="7" type="noConversion"/>
  </si>
  <si>
    <t>Redemption: review latest redemption proposal, and prepare email to deal team on outstanding points; discuss with counsel on various points; summarize latest comments and discuss with business team; revise and discuss with deal team on multiple versions of redemption proposal and send latest proposal to company; review and coordinate on signoff of redemption proposal</t>
    <phoneticPr fontId="7" type="noConversion"/>
  </si>
  <si>
    <t>Quarterly check on 13D/G filings: discuss 13D amendment filing for passive change; hotdesk monthly report: fill in summary table</t>
    <phoneticPr fontId="7" type="noConversion"/>
  </si>
  <si>
    <t>Shift Up</t>
    <phoneticPr fontId="7" type="noConversion"/>
  </si>
  <si>
    <t>Share buyback / board resolutions review</t>
    <phoneticPr fontId="7" type="noConversion"/>
  </si>
  <si>
    <t xml:space="preserve">Review and revise draft email on bulk data rule inhouse view; call with team on use of AI tools </t>
    <phoneticPr fontId="7" type="noConversion"/>
  </si>
  <si>
    <t>Series F: review executed SPA and STA; communication on closing documents; prepare email to deal team on closing and funding logistics; approve MA pay; communication with multiple internal and external parties on closing date, closing deliverables and funding process</t>
    <phoneticPr fontId="7" type="noConversion"/>
  </si>
  <si>
    <t>2 (May 5, 2025 was a public holiday and annual leave on May 8-9, 2025)</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</si>
</sst>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zoomScaleNormal="100" workbookViewId="0">
      <selection activeCell="H18" sqref="H18"/>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142.5" customHeight="1" x14ac:dyDescent="0.2">
      <c r="B4" s="22" t="s">
        <v>72</v>
      </c>
      <c r="C4" s="23" t="s">
        <v>13</v>
      </c>
      <c r="D4" s="23" t="s">
        <v>76</v>
      </c>
      <c r="E4" s="24" t="s">
        <v>39</v>
      </c>
      <c r="F4" s="23" t="s">
        <v>54</v>
      </c>
      <c r="G4" s="25">
        <v>1</v>
      </c>
      <c r="H4" s="23" t="s">
        <v>19</v>
      </c>
      <c r="I4" s="28" t="s">
        <v>88</v>
      </c>
    </row>
    <row r="5" spans="2:9" s="27" customFormat="1" ht="243.75" customHeight="1" x14ac:dyDescent="0.2">
      <c r="B5" s="22" t="s">
        <v>72</v>
      </c>
      <c r="C5" s="23" t="s">
        <v>13</v>
      </c>
      <c r="D5" s="23" t="s">
        <v>77</v>
      </c>
      <c r="E5" s="24" t="s">
        <v>39</v>
      </c>
      <c r="F5" s="23" t="s">
        <v>71</v>
      </c>
      <c r="G5" s="25">
        <v>3.5</v>
      </c>
      <c r="H5" s="23" t="s">
        <v>19</v>
      </c>
      <c r="I5" s="26" t="s">
        <v>96</v>
      </c>
    </row>
    <row r="6" spans="2:9" s="27" customFormat="1" ht="114" customHeight="1" x14ac:dyDescent="0.2">
      <c r="B6" s="22" t="s">
        <v>72</v>
      </c>
      <c r="C6" s="23" t="s">
        <v>15</v>
      </c>
      <c r="D6" s="23" t="s">
        <v>77</v>
      </c>
      <c r="E6" s="24" t="s">
        <v>39</v>
      </c>
      <c r="F6" s="23" t="s">
        <v>71</v>
      </c>
      <c r="G6" s="25">
        <v>0.5</v>
      </c>
      <c r="H6" s="23" t="s">
        <v>35</v>
      </c>
      <c r="I6" s="26" t="s">
        <v>90</v>
      </c>
    </row>
    <row r="7" spans="2:9" s="27" customFormat="1" ht="92.25" customHeight="1" x14ac:dyDescent="0.2">
      <c r="B7" s="22" t="s">
        <v>72</v>
      </c>
      <c r="C7" s="23" t="s">
        <v>13</v>
      </c>
      <c r="D7" s="23" t="s">
        <v>77</v>
      </c>
      <c r="E7" s="24" t="s">
        <v>39</v>
      </c>
      <c r="F7" s="23" t="s">
        <v>71</v>
      </c>
      <c r="G7" s="25">
        <v>3</v>
      </c>
      <c r="H7" s="23" t="s">
        <v>19</v>
      </c>
      <c r="I7" s="26" t="s">
        <v>89</v>
      </c>
    </row>
    <row r="8" spans="2:9" s="27" customFormat="1" ht="55.5" customHeight="1" x14ac:dyDescent="0.2">
      <c r="B8" s="22" t="s">
        <v>72</v>
      </c>
      <c r="C8" s="23" t="s">
        <v>15</v>
      </c>
      <c r="D8" s="23" t="s">
        <v>93</v>
      </c>
      <c r="E8" s="24" t="s">
        <v>39</v>
      </c>
      <c r="F8" s="23" t="s">
        <v>71</v>
      </c>
      <c r="G8" s="25">
        <v>1</v>
      </c>
      <c r="H8" s="23" t="s">
        <v>19</v>
      </c>
      <c r="I8" s="26" t="s">
        <v>94</v>
      </c>
    </row>
    <row r="9" spans="2:9" s="27" customFormat="1" ht="55.5" customHeight="1" x14ac:dyDescent="0.2">
      <c r="B9" s="22" t="s">
        <v>72</v>
      </c>
      <c r="C9" s="23" t="s">
        <v>79</v>
      </c>
      <c r="D9" s="23" t="s">
        <v>81</v>
      </c>
      <c r="E9" s="24" t="s">
        <v>39</v>
      </c>
      <c r="F9" s="23" t="s">
        <v>80</v>
      </c>
      <c r="G9" s="25">
        <v>1</v>
      </c>
      <c r="H9" s="23" t="s">
        <v>26</v>
      </c>
      <c r="I9" s="26" t="s">
        <v>92</v>
      </c>
    </row>
    <row r="10" spans="2:9" s="27" customFormat="1" ht="78" customHeight="1" x14ac:dyDescent="0.2">
      <c r="B10" s="22" t="s">
        <v>72</v>
      </c>
      <c r="C10" s="23" t="s">
        <v>82</v>
      </c>
      <c r="D10" s="23" t="s">
        <v>83</v>
      </c>
      <c r="E10" s="24" t="s">
        <v>39</v>
      </c>
      <c r="F10" s="23" t="s">
        <v>84</v>
      </c>
      <c r="G10" s="25">
        <v>2.5</v>
      </c>
      <c r="H10" s="23" t="s">
        <v>86</v>
      </c>
      <c r="I10" s="26" t="s">
        <v>95</v>
      </c>
    </row>
    <row r="11" spans="2:9" s="27" customFormat="1" ht="102" customHeight="1" x14ac:dyDescent="0.2">
      <c r="B11" s="22" t="s">
        <v>72</v>
      </c>
      <c r="C11" s="23" t="s">
        <v>13</v>
      </c>
      <c r="D11" s="23" t="s">
        <v>85</v>
      </c>
      <c r="E11" s="24" t="s">
        <v>39</v>
      </c>
      <c r="F11" s="23" t="s">
        <v>71</v>
      </c>
      <c r="G11" s="25">
        <v>1</v>
      </c>
      <c r="H11" s="23" t="s">
        <v>87</v>
      </c>
      <c r="I11" s="26" t="s">
        <v>91</v>
      </c>
    </row>
    <row r="12" spans="2:9" s="27" customFormat="1" ht="25.5" x14ac:dyDescent="0.2">
      <c r="B12" s="22" t="s">
        <v>72</v>
      </c>
      <c r="C12" s="23" t="s">
        <v>17</v>
      </c>
      <c r="D12" s="24" t="s">
        <v>75</v>
      </c>
      <c r="E12" s="24" t="s">
        <v>39</v>
      </c>
      <c r="F12" s="23" t="s">
        <v>78</v>
      </c>
      <c r="G12" s="25">
        <v>1.5</v>
      </c>
      <c r="H12" s="23" t="s">
        <v>73</v>
      </c>
      <c r="I12" s="26"/>
    </row>
    <row r="13" spans="2:9" x14ac:dyDescent="0.2">
      <c r="B13" s="17"/>
      <c r="C13" s="18"/>
      <c r="D13" s="19"/>
      <c r="E13" s="19"/>
      <c r="F13" s="21" t="s">
        <v>66</v>
      </c>
      <c r="G13" s="32">
        <f>SUM(G3:G12)</f>
        <v>15</v>
      </c>
      <c r="H13" s="33"/>
      <c r="I13" s="34"/>
    </row>
    <row r="14" spans="2:9" ht="15" thickBot="1" x14ac:dyDescent="0.25">
      <c r="B14" s="14"/>
      <c r="C14" s="15"/>
      <c r="D14" s="16"/>
      <c r="E14" s="16"/>
      <c r="F14" s="20" t="s">
        <v>67</v>
      </c>
      <c r="G14" s="29" t="s">
        <v>97</v>
      </c>
      <c r="H14" s="30"/>
      <c r="I14" s="31"/>
    </row>
    <row r="15" spans="2:9" ht="15" thickTop="1" x14ac:dyDescent="0.2"/>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2025-05-13T04:04:11Z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