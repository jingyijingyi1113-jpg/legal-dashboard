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231"/>
  <workbookPr/>
  <mc:AlternateContent xmlns:mc="http://schemas.openxmlformats.org/markup-compatibility/2006">
    <mc:Choice Requires="x15">
      <x15ac:absPath xmlns:x15ac="http://schemas.microsoft.com/office/spreadsheetml/2010/11/ac" url="C:\Users\wennazeng\Documents\02. KM\内部流程\工作时间记录\2025.10\"/>
    </mc:Choice>
  </mc:AlternateContent>
  <xr:revisionPtr revIDLastSave="0" documentId="13_ncr:1_{97FFFE11-1EBD-4788-A845-E38169536D35}" xr6:coauthVersionLast="47" xr6:coauthVersionMax="47" xr10:uidLastSave="{00000000-0000-0000-0000-000000000000}"/>
  <bookViews>
    <workbookView xWindow="-120" yWindow="-120" windowWidth="29040" windowHeight="15840" xr2:uid="{00000000-000D-0000-FFFF-FFFF00000000}"/>
  </bookViews>
  <sheets>
    <sheet name="个人工时记录表" sheetId="1" r:id="rId1"/>
    <sheet name="数据标签" sheetId="2" r:id="rId2"/>
  </sheets>
  <definedNames>
    <definedName name="BSC">数据标签!$B$13:$B$28</definedName>
    <definedName name="E列">数据标签!$A$13:$A$28</definedName>
    <definedName name="hh">OFFSET(表2[[#Headers],[Investment Related - M&amp;A Deal]],1,MATCH(个人工时记录表!$C1,表2[#Headers],0)-1,COUNTA(OFFSET(表2[[#Headers],[Investment Related - M&amp;A Deal]],1,MATCH(个人工时记录表!$C1,表2[#Headers],0)-1,7,1)),1)</definedName>
    <definedName name="OKR">数据标签!$C$13:$C$28</definedName>
    <definedName name="Others">数据标签!$D$13:$D$28</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21" i="1" l="1"/>
</calcChain>
</file>

<file path=xl/sharedStrings.xml><?xml version="1.0" encoding="utf-8"?>
<sst xmlns="http://schemas.openxmlformats.org/spreadsheetml/2006/main" count="232" uniqueCount="110">
  <si>
    <t>Name</t>
  </si>
  <si>
    <t>Deal/Matter Name</t>
  </si>
  <si>
    <t>Hours</t>
  </si>
  <si>
    <t>Work Category</t>
  </si>
  <si>
    <t>Narrative (Optional)</t>
  </si>
  <si>
    <t>请填入记录人的企微姓名
Please insert your WeCom name</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</si>
  <si>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</si>
  <si>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</si>
  <si>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请输入小时数，精确到小数点后一位
Please insert  respective hours number spent for such work,  accurate to one decimal place</t>
  </si>
  <si>
    <t>请相应勾选下拉菜单中的工作类别选项
Please select relevant work category in the drop-down menu</t>
  </si>
  <si>
    <t>自选填写项目：简要描述工作内容
(Optional) Please insert the narrative of your work</t>
  </si>
  <si>
    <t>C列</t>
  </si>
  <si>
    <t>Investment Related - M&amp;A Deal</t>
  </si>
  <si>
    <t>Investment Related - IPO</t>
  </si>
  <si>
    <t>Investment Related - Corporate Matter</t>
  </si>
  <si>
    <t>Non-Investment Related - Other Departments</t>
  </si>
  <si>
    <t>Public - Others</t>
  </si>
  <si>
    <t>H列</t>
  </si>
  <si>
    <t>CTD (合规交易部 - 公司事务及国际监管法务中心)</t>
  </si>
  <si>
    <t>Preparing policies/procedures/guidance/booklet</t>
  </si>
  <si>
    <t>Preparing knowhow/memo/client alert</t>
  </si>
  <si>
    <t>Participating regular team meetings</t>
  </si>
  <si>
    <t>Conducting LDD/reviewing LDD results</t>
  </si>
  <si>
    <t>AMLSC (反洗钱与制裁合规部)</t>
  </si>
  <si>
    <t>Others</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</si>
  <si>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</si>
  <si>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</si>
  <si>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</si>
  <si>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</si>
  <si>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</si>
  <si>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</si>
  <si>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</si>
  <si>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</si>
  <si>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Reverting to inquiries</t>
  </si>
  <si>
    <t>FCRPD (集团金融消费者权益保护部)</t>
  </si>
  <si>
    <t>Relevant matters related to engagement of law firms/team's legal fees summary</t>
  </si>
  <si>
    <t>E列</t>
  </si>
  <si>
    <t>BSC</t>
  </si>
  <si>
    <t>F列</t>
  </si>
  <si>
    <t>境内外金融业务资质申请 Application for domestic and overseas financial business licenses</t>
    <phoneticPr fontId="7" type="noConversion"/>
  </si>
  <si>
    <t>敏感投资领域投资指引 Guidance for sensitive investment fields</t>
    <phoneticPr fontId="7" type="noConversion"/>
  </si>
  <si>
    <t>资本市场、投融资活动创新突破 Innovative breakthroughs in investments and capital market transactions</t>
    <phoneticPr fontId="7" type="noConversion"/>
  </si>
  <si>
    <t>境内外主体/办公室合规管理 Compliance management for domestic and overseas entities/offices</t>
    <phoneticPr fontId="7" type="noConversion"/>
  </si>
  <si>
    <t>反洗钱及制裁法务支持 Legal support for anti-money laundering and sanctions compliance</t>
    <phoneticPr fontId="7" type="noConversion"/>
  </si>
  <si>
    <t>资本市场证券交易全流程合规体系建设 Full-process compliance system  for securities trading in capital markets</t>
    <phoneticPr fontId="7" type="noConversion"/>
  </si>
  <si>
    <t>控股和重点投资公司法务风险管理 Legal risk management for controlled and key invested portfolios</t>
    <phoneticPr fontId="7" type="noConversion"/>
  </si>
  <si>
    <t>海外投资合规管理 Overseas investment compliance management</t>
    <phoneticPr fontId="7" type="noConversion"/>
  </si>
  <si>
    <t>执业管理平台体系完善 Perfection of the professional management platform</t>
    <phoneticPr fontId="7" type="noConversion"/>
  </si>
  <si>
    <t>优化Hotdesk和专家组制度 Optimization of Hotdesk and expert panel system</t>
    <phoneticPr fontId="7" type="noConversion"/>
  </si>
  <si>
    <t>精细化管理工具搭建 Adoption of refined management tools</t>
    <phoneticPr fontId="7" type="noConversion"/>
  </si>
  <si>
    <t>境内投融资资本市场监管发展与重大政策争取与风险应对 Regulatory compliance in domestic investments and capital markets; lobbying for major policies and risk mitigation</t>
    <phoneticPr fontId="7" type="noConversion"/>
  </si>
  <si>
    <t>投资项目全流程法务支持 Full-process legal support for investments</t>
    <phoneticPr fontId="7" type="noConversion"/>
  </si>
  <si>
    <t xml:space="preserve"> </t>
    <phoneticPr fontId="7" type="noConversion"/>
  </si>
  <si>
    <t>Providing training sessions/knowledge sharing</t>
    <phoneticPr fontId="7" type="noConversion"/>
  </si>
  <si>
    <t>Public - Knowledge Accumulation &amp; Sharing</t>
    <phoneticPr fontId="7" type="noConversion"/>
  </si>
  <si>
    <t>Recording/reviewing deals updates/weekly time reports/other team summaries</t>
    <phoneticPr fontId="7" type="noConversion"/>
  </si>
  <si>
    <t>Establishing/improving IT systems</t>
    <phoneticPr fontId="7" type="noConversion"/>
  </si>
  <si>
    <t>金融投资公司业务合规管理 Compliance management for  invested financial portfolios</t>
    <phoneticPr fontId="7" type="noConversion"/>
  </si>
  <si>
    <t>国际业务(投资)监管应对Interaction with regulators for international investments</t>
    <phoneticPr fontId="7" type="noConversion"/>
  </si>
  <si>
    <t>国际监管趋势监测、预判 Monitoring and forecasting international regulatory trends</t>
    <phoneticPr fontId="7" type="noConversion"/>
  </si>
  <si>
    <t>Others</t>
    <phoneticPr fontId="7" type="noConversion"/>
  </si>
  <si>
    <t xml:space="preserve">Total Hours:  </t>
    <phoneticPr fontId="7" type="noConversion"/>
  </si>
  <si>
    <t>Number of Actual Working Days:</t>
    <phoneticPr fontId="7" type="noConversion"/>
  </si>
  <si>
    <t>Public - Infrastructure &amp; Guidance</t>
    <phoneticPr fontId="7" type="noConversion"/>
  </si>
  <si>
    <t>Deal/Matter Category</t>
    <phoneticPr fontId="7" type="noConversion"/>
  </si>
  <si>
    <t>Interacting with regulators</t>
    <phoneticPr fontId="7" type="noConversion"/>
  </si>
  <si>
    <t>Drafting/reviewing/revising legal documents</t>
  </si>
  <si>
    <t>Drafting/reviewing/revising legal documents</t>
    <phoneticPr fontId="7" type="noConversion"/>
  </si>
  <si>
    <t>Internal/external discussion on/negotiation of legal documents</t>
  </si>
  <si>
    <t>Internal/external discussion on/negotiation of legal documents</t>
    <phoneticPr fontId="7" type="noConversion"/>
  </si>
  <si>
    <t>投资项目全流程法务支持 Full-process legal support for investments</t>
  </si>
  <si>
    <t>资本市场、投融资活动创新突破 Innovative breakthroughs in investments and capital market transactions</t>
  </si>
  <si>
    <t>请确认该项事务是否为CTD-投资法务中心的BSC事项
Confirm whether it's a CTD-ILC BSC iteam</t>
    <phoneticPr fontId="7" type="noConversion"/>
  </si>
  <si>
    <t>BSC Tag</t>
    <phoneticPr fontId="7" type="noConversion"/>
  </si>
  <si>
    <t>BSC Item</t>
    <phoneticPr fontId="7" type="noConversion"/>
  </si>
  <si>
    <t xml:space="preserve">如为CTD-投资法务中心BSC事项，请相应勾选下拉菜单中的BSC事项选项
In the case of a CTD-ILC BSC item, please select the detailed item in the drop-down menu </t>
    <phoneticPr fontId="7" type="noConversion"/>
  </si>
  <si>
    <t>wennazeng</t>
    <phoneticPr fontId="7" type="noConversion"/>
  </si>
  <si>
    <t>Airwallex</t>
    <phoneticPr fontId="7" type="noConversion"/>
  </si>
  <si>
    <t>元趣娱乐</t>
    <phoneticPr fontId="7" type="noConversion"/>
  </si>
  <si>
    <t>Legal fees</t>
    <phoneticPr fontId="7" type="noConversion"/>
  </si>
  <si>
    <t>Timesheet</t>
    <phoneticPr fontId="7" type="noConversion"/>
  </si>
  <si>
    <t>Recording/reviewing deals updates/weekly time reports/other team summaries</t>
  </si>
  <si>
    <t>Record timesheet</t>
    <phoneticPr fontId="7" type="noConversion"/>
  </si>
  <si>
    <t>传音JV</t>
    <phoneticPr fontId="7" type="noConversion"/>
  </si>
  <si>
    <t>2025 ESOP grant: review and revise BVI board resolutions on change of ESOP SPV directors</t>
    <phoneticPr fontId="7" type="noConversion"/>
  </si>
  <si>
    <t>PP停车</t>
    <phoneticPr fontId="7" type="noConversion"/>
  </si>
  <si>
    <t>Founder share restructuring: review revised SHA, undertaking and shareholders resolution</t>
    <phoneticPr fontId="7" type="noConversion"/>
  </si>
  <si>
    <t>即构ZEGO</t>
    <phoneticPr fontId="7" type="noConversion"/>
  </si>
  <si>
    <t>Redemption: review latest outstanding points and communicate with deal team and external parties</t>
    <phoneticPr fontId="7" type="noConversion"/>
  </si>
  <si>
    <t>Turtle Rock</t>
    <phoneticPr fontId="7" type="noConversion"/>
  </si>
  <si>
    <t>海外投资合规管理 Overseas investment compliance management</t>
  </si>
  <si>
    <t>Public - Knowledge Accumulation &amp; Sharing</t>
  </si>
  <si>
    <t>CC training</t>
    <phoneticPr fontId="7" type="noConversion"/>
  </si>
  <si>
    <t>Behaviour</t>
    <phoneticPr fontId="7" type="noConversion"/>
  </si>
  <si>
    <t>Collect Q3 legal fee info from various law firms; discuss with law firms and arrange to pay invoices; review multiple invoices, communicate with law firms and arrange for payment</t>
    <phoneticPr fontId="7" type="noConversion"/>
  </si>
  <si>
    <t>数美科技</t>
    <phoneticPr fontId="7" type="noConversion"/>
  </si>
  <si>
    <t>Redemption and potential dispute: review and confirm revised demand letter</t>
    <phoneticPr fontId="7" type="noConversion"/>
  </si>
  <si>
    <t>Attend Clifford Chance CPD day</t>
    <phoneticPr fontId="7" type="noConversion"/>
  </si>
  <si>
    <t>2025 ESOP grant: internal and external communication on change of ESOP SPV directors; internal and external communication on signing logistics</t>
    <phoneticPr fontId="7" type="noConversion"/>
  </si>
  <si>
    <t>Founder share restructuring: internal and external communication on founder restructuring, ESOP platform matters; review and discuss with company latest proposal on SHA and ESOP nominee undertaking letter; attention to further revised documents</t>
    <phoneticPr fontId="7" type="noConversion"/>
  </si>
  <si>
    <t>Discuss with IEG and provide advice on Canadian travel restriction amid geopolitical tension and potential FDI related restriction; internal communication with Americas team and reporting re the same</t>
    <phoneticPr fontId="7" type="noConversion"/>
  </si>
  <si>
    <t>NSA compliance: discuss with finance team on including email domain names in quarterly affiliates list; attention to call with IEGG/Pteam/finance and preparation; call with IEG ops, Pteam on budget parameters, cost saving measures and other matters</t>
    <phoneticPr fontId="7" type="noConversion"/>
  </si>
  <si>
    <t>Exchangeable note: review and revise lost of certificate deed poll; review latest share charge; send bank account and other information to counsel for consolidation; review and revise deed poll and schedules to share charge</t>
    <phoneticPr fontId="7" type="noConversion"/>
  </si>
  <si>
    <t>HR meeting</t>
    <phoneticPr fontId="7" type="noConversion"/>
  </si>
  <si>
    <t>HR checkin meeting</t>
    <phoneticPr fontId="7" type="noConversion"/>
  </si>
  <si>
    <t>Meeting with law firm</t>
    <phoneticPr fontId="7" type="noConversion"/>
  </si>
  <si>
    <t>Liquidation of PRC co and restructuring of offshore co: discuss fee quote and latest status; attention to transaction documents transfering Co-Innoah from First Fun to Moontech (new Cayman co)</t>
    <phoneticPr fontId="7" type="noConversion"/>
  </si>
  <si>
    <t>Series G: attention to and discussion on company's proposed amendment to SHA</t>
    <phoneticPr fontId="7" type="noConversion"/>
  </si>
  <si>
    <t>Exchangeable note: discuss ROM and other register issues with company and various parties; internal and external communication on original share certificate, signing logistics; communicate with company on post transaction shareholding percentage,revised deed poll, company's letter to registered office provider and undertaking under share charge; communicate with external counsel re the same</t>
    <phoneticPr fontId="7" type="noConversion"/>
  </si>
  <si>
    <t>Meeting with CC team to discuss recent market trends and observations</t>
    <phoneticPr fontId="7"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</si>
</sst>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x14ac:knownFonts="1">
    <font>
      <sz val="11"/>
      <color theme="1"/>
      <name val="等线"/>
      <charset val="134"/>
      <scheme val="minor"/>
    </font>
    <font>
      <sz val="10"/>
      <color theme="1"/>
      <name val="等线"/>
      <family val="2"/>
      <scheme val="minor"/>
    </font>
    <font>
      <sz val="10"/>
      <name val="等线"/>
      <family val="3"/>
      <charset val="134"/>
    </font>
    <font>
      <b/>
      <sz val="10"/>
      <color theme="4" tint="-0.499984740745262"/>
      <name val="等线"/>
      <family val="2"/>
      <scheme val="minor"/>
    </font>
    <font>
      <sz val="8"/>
      <color theme="4" tint="-0.499984740745262"/>
      <name val="等线"/>
      <family val="2"/>
      <scheme val="minor"/>
    </font>
    <font>
      <sz val="10"/>
      <color theme="1"/>
      <name val="等线"/>
      <family val="2"/>
      <scheme val="minor"/>
    </font>
    <font>
      <b/>
      <i/>
      <sz val="10"/>
      <color theme="4" tint="-0.499984740745262"/>
      <name val="等线"/>
      <family val="2"/>
      <scheme val="minor"/>
    </font>
    <font>
      <sz val="9"/>
      <name val="等线"/>
      <family val="3"/>
      <charset val="134"/>
      <scheme val="minor"/>
    </font>
    <font>
      <sz val="10"/>
      <color theme="1"/>
      <name val="等线"/>
      <family val="3"/>
      <charset val="134"/>
    </font>
    <font>
      <sz val="10"/>
      <color theme="1"/>
      <name val="等线"/>
      <family val="3"/>
      <charset val="134"/>
      <scheme val="minor"/>
    </font>
  </fonts>
  <fills count="3">
    <fill>
      <patternFill patternType="none"/>
    </fill>
    <fill>
      <patternFill patternType="gray125"/>
    </fill>
    <fill>
      <patternFill patternType="solid">
        <fgColor theme="8" tint="0.79995117038483843"/>
        <bgColor indexed="64"/>
      </patternFill>
    </fill>
  </fills>
  <borders count="19">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style="thick">
        <color auto="1"/>
      </left>
      <right/>
      <top style="thin">
        <color auto="1"/>
      </top>
      <bottom/>
      <diagonal/>
    </border>
    <border>
      <left/>
      <right/>
      <top style="thin">
        <color auto="1"/>
      </top>
      <bottom/>
      <diagonal/>
    </border>
    <border>
      <left/>
      <right style="thick">
        <color auto="1"/>
      </right>
      <top style="thin">
        <color auto="1"/>
      </top>
      <bottom style="thin">
        <color auto="1"/>
      </bottom>
      <diagonal/>
    </border>
    <border>
      <left/>
      <right style="thin">
        <color auto="1"/>
      </right>
      <top/>
      <bottom style="thick">
        <color auto="1"/>
      </bottom>
      <diagonal/>
    </border>
    <border>
      <left style="thin">
        <color auto="1"/>
      </left>
      <right/>
      <top/>
      <bottom style="thick">
        <color auto="1"/>
      </bottom>
      <diagonal/>
    </border>
    <border>
      <left/>
      <right/>
      <top/>
      <bottom style="thick">
        <color auto="1"/>
      </bottom>
      <diagonal/>
    </border>
    <border>
      <left/>
      <right style="thick">
        <color auto="1"/>
      </right>
      <top/>
      <bottom style="thick">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s>
  <cellStyleXfs count="1">
    <xf numFmtId="0" fontId="0" fillId="0" borderId="0">
      <alignment vertical="center"/>
    </xf>
  </cellStyleXfs>
  <cellXfs count="35">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4" fillId="2" borderId="3" xfId="0" applyFont="1" applyFill="1" applyBorder="1" applyAlignment="1">
      <alignment vertical="center" wrapText="1"/>
    </xf>
    <xf numFmtId="0" fontId="4" fillId="2" borderId="4" xfId="0" applyFont="1" applyFill="1" applyBorder="1" applyAlignment="1">
      <alignment vertical="center" wrapText="1"/>
    </xf>
    <xf numFmtId="0" fontId="5" fillId="0" borderId="4" xfId="0" applyFont="1" applyBorder="1">
      <alignment vertical="center"/>
    </xf>
    <xf numFmtId="0" fontId="6" fillId="0" borderId="7" xfId="0" applyFont="1" applyBorder="1" applyAlignment="1">
      <alignment horizontal="center" vertical="center"/>
    </xf>
    <xf numFmtId="0" fontId="4" fillId="2" borderId="8" xfId="0" applyFont="1" applyFill="1" applyBorder="1" applyAlignment="1">
      <alignment vertical="center" wrapText="1"/>
    </xf>
    <xf numFmtId="49" fontId="1" fillId="0" borderId="0" xfId="0" applyNumberFormat="1" applyFont="1">
      <alignment vertical="center"/>
    </xf>
    <xf numFmtId="0" fontId="5" fillId="0" borderId="4" xfId="0" applyFont="1" applyBorder="1" applyAlignment="1">
      <alignment vertical="center" wrapText="1"/>
    </xf>
    <xf numFmtId="0" fontId="0" fillId="0" borderId="0" xfId="0" applyAlignment="1">
      <alignment vertical="center" wrapText="1"/>
    </xf>
    <xf numFmtId="0" fontId="1" fillId="0" borderId="3" xfId="0" applyFont="1" applyBorder="1">
      <alignment vertical="center"/>
    </xf>
    <xf numFmtId="0" fontId="8" fillId="0" borderId="0" xfId="0" applyFont="1">
      <alignment vertical="center"/>
    </xf>
    <xf numFmtId="0" fontId="8" fillId="0" borderId="0" xfId="0" applyFont="1" applyAlignment="1">
      <alignment vertical="center" wrapText="1"/>
    </xf>
    <xf numFmtId="0" fontId="5" fillId="0" borderId="5" xfId="0" applyFont="1" applyBorder="1">
      <alignment vertical="center"/>
    </xf>
    <xf numFmtId="0" fontId="5" fillId="0" borderId="6" xfId="0" applyFont="1" applyBorder="1" applyAlignment="1">
      <alignment vertical="center" wrapText="1"/>
    </xf>
    <xf numFmtId="0" fontId="5" fillId="0" borderId="6" xfId="0" applyFont="1" applyBorder="1">
      <alignment vertical="center"/>
    </xf>
    <xf numFmtId="0" fontId="5" fillId="0" borderId="9" xfId="0" applyFont="1" applyBorder="1">
      <alignment vertical="center"/>
    </xf>
    <xf numFmtId="0" fontId="5" fillId="0" borderId="10" xfId="0" applyFont="1" applyBorder="1" applyAlignment="1">
      <alignment vertical="center" wrapText="1"/>
    </xf>
    <xf numFmtId="0" fontId="5" fillId="0" borderId="10" xfId="0" applyFont="1" applyBorder="1">
      <alignment vertical="center"/>
    </xf>
    <xf numFmtId="0" fontId="1" fillId="0" borderId="12" xfId="0" applyFont="1" applyBorder="1" applyAlignment="1">
      <alignment horizontal="right" vertical="center" wrapText="1"/>
    </xf>
    <xf numFmtId="0" fontId="1" fillId="0" borderId="16" xfId="0" applyFont="1" applyBorder="1" applyAlignment="1">
      <alignment horizontal="right" vertical="center" wrapText="1"/>
    </xf>
    <xf numFmtId="0" fontId="1" fillId="0" borderId="4" xfId="0" applyFont="1" applyBorder="1">
      <alignment vertical="center"/>
    </xf>
    <xf numFmtId="0" fontId="1" fillId="0" borderId="8" xfId="0" applyFont="1" applyBorder="1" applyAlignment="1">
      <alignment vertical="center" wrapText="1"/>
    </xf>
    <xf numFmtId="0" fontId="1" fillId="0" borderId="4" xfId="0" applyFont="1" applyBorder="1" applyAlignment="1">
      <alignment vertical="center" wrapText="1"/>
    </xf>
    <xf numFmtId="0" fontId="9" fillId="0" borderId="4" xfId="0" applyFont="1" applyBorder="1">
      <alignment vertical="center"/>
    </xf>
    <xf numFmtId="0" fontId="1" fillId="0" borderId="13" xfId="0" applyFont="1" applyBorder="1" applyAlignment="1">
      <alignment horizontal="left" vertical="center"/>
    </xf>
    <xf numFmtId="0" fontId="5" fillId="0" borderId="14" xfId="0" applyFont="1" applyBorder="1" applyAlignment="1">
      <alignment horizontal="left" vertical="center"/>
    </xf>
    <xf numFmtId="0" fontId="5" fillId="0" borderId="15" xfId="0" applyFont="1" applyBorder="1" applyAlignment="1">
      <alignment horizontal="left" vertical="center"/>
    </xf>
    <xf numFmtId="0" fontId="1" fillId="0" borderId="17" xfId="0" applyFont="1" applyBorder="1" applyAlignment="1">
      <alignment horizontal="left" vertical="center"/>
    </xf>
    <xf numFmtId="0" fontId="1" fillId="0" borderId="18" xfId="0" applyFont="1" applyBorder="1" applyAlignment="1">
      <alignment horizontal="left" vertical="center"/>
    </xf>
    <xf numFmtId="0" fontId="1" fillId="0" borderId="11" xfId="0" applyFont="1" applyBorder="1" applyAlignment="1">
      <alignment horizontal="left" vertical="center"/>
    </xf>
  </cellXfs>
  <cellStyles count="1">
    <cellStyle name="Normal" xfId="0" builtinId="0"/>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10"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I23"/>
  <sheetViews>
    <sheetView tabSelected="1" topLeftCell="A6" zoomScaleNormal="100" workbookViewId="0">
      <selection activeCell="I19" sqref="I19"/>
    </sheetView>
  </sheetViews>
  <sheetFormatPr defaultColWidth="9" defaultRowHeight="14.25" x14ac:dyDescent="0.2"/>
  <cols>
    <col min="3" max="3" width="34.375" style="13" customWidth="1"/>
    <col min="4" max="4" width="15.125" customWidth="1"/>
    <col min="5" max="5" width="10.625" customWidth="1"/>
    <col min="6" max="6" width="29.875" style="13" customWidth="1"/>
    <col min="8" max="8" width="41.625" style="13" customWidth="1"/>
    <col min="9" max="9" width="39.875" customWidth="1"/>
  </cols>
  <sheetData>
    <row r="2" spans="2:9" x14ac:dyDescent="0.2">
      <c r="B2" s="4" t="s">
        <v>0</v>
      </c>
      <c r="C2" s="5" t="s">
        <v>64</v>
      </c>
      <c r="D2" s="5" t="s">
        <v>1</v>
      </c>
      <c r="E2" s="5" t="s">
        <v>73</v>
      </c>
      <c r="F2" s="5" t="s">
        <v>74</v>
      </c>
      <c r="G2" s="5" t="s">
        <v>2</v>
      </c>
      <c r="H2" s="5" t="s">
        <v>3</v>
      </c>
      <c r="I2" s="9" t="s">
        <v>4</v>
      </c>
    </row>
    <row r="3" spans="2:9" ht="207.95" customHeight="1" x14ac:dyDescent="0.2">
      <c r="B3" s="6" t="s">
        <v>5</v>
      </c>
      <c r="C3" s="7" t="s">
        <v>6</v>
      </c>
      <c r="D3" s="7" t="s">
        <v>7</v>
      </c>
      <c r="E3" s="7" t="s">
        <v>72</v>
      </c>
      <c r="F3" s="7" t="s">
        <v>75</v>
      </c>
      <c r="G3" s="7" t="s">
        <v>8</v>
      </c>
      <c r="H3" s="7" t="s">
        <v>9</v>
      </c>
      <c r="I3" s="10" t="s">
        <v>10</v>
      </c>
    </row>
    <row r="4" spans="2:9" ht="102" x14ac:dyDescent="0.2">
      <c r="B4" s="14" t="s">
        <v>76</v>
      </c>
      <c r="C4" s="12" t="s">
        <v>12</v>
      </c>
      <c r="D4" s="25" t="s">
        <v>77</v>
      </c>
      <c r="E4" s="8" t="s">
        <v>37</v>
      </c>
      <c r="F4" s="12" t="s">
        <v>71</v>
      </c>
      <c r="G4" s="8">
        <v>6.5</v>
      </c>
      <c r="H4" s="27" t="s">
        <v>69</v>
      </c>
      <c r="I4" s="26" t="s">
        <v>108</v>
      </c>
    </row>
    <row r="5" spans="2:9" ht="71.25" customHeight="1" x14ac:dyDescent="0.2">
      <c r="B5" s="14" t="s">
        <v>76</v>
      </c>
      <c r="C5" s="12" t="s">
        <v>12</v>
      </c>
      <c r="D5" s="25" t="s">
        <v>77</v>
      </c>
      <c r="E5" s="8" t="s">
        <v>37</v>
      </c>
      <c r="F5" s="12" t="s">
        <v>70</v>
      </c>
      <c r="G5" s="28">
        <v>4.5</v>
      </c>
      <c r="H5" s="12" t="s">
        <v>66</v>
      </c>
      <c r="I5" s="26" t="s">
        <v>102</v>
      </c>
    </row>
    <row r="6" spans="2:9" ht="71.25" customHeight="1" x14ac:dyDescent="0.2">
      <c r="B6" s="14" t="s">
        <v>76</v>
      </c>
      <c r="C6" s="12" t="s">
        <v>12</v>
      </c>
      <c r="D6" s="25" t="s">
        <v>77</v>
      </c>
      <c r="E6" s="8" t="s">
        <v>37</v>
      </c>
      <c r="F6" s="12" t="s">
        <v>70</v>
      </c>
      <c r="G6" s="28">
        <v>0.5</v>
      </c>
      <c r="H6" s="12" t="s">
        <v>68</v>
      </c>
      <c r="I6" s="26" t="s">
        <v>107</v>
      </c>
    </row>
    <row r="7" spans="2:9" ht="66.75" customHeight="1" x14ac:dyDescent="0.2">
      <c r="B7" s="14" t="s">
        <v>76</v>
      </c>
      <c r="C7" s="12" t="s">
        <v>14</v>
      </c>
      <c r="D7" s="25" t="s">
        <v>89</v>
      </c>
      <c r="E7" s="8" t="s">
        <v>37</v>
      </c>
      <c r="F7" s="12" t="s">
        <v>90</v>
      </c>
      <c r="G7" s="28">
        <v>4.5</v>
      </c>
      <c r="H7" s="12" t="s">
        <v>68</v>
      </c>
      <c r="I7" s="26" t="s">
        <v>101</v>
      </c>
    </row>
    <row r="8" spans="2:9" ht="57" customHeight="1" x14ac:dyDescent="0.2">
      <c r="B8" s="14" t="s">
        <v>76</v>
      </c>
      <c r="C8" s="12" t="s">
        <v>14</v>
      </c>
      <c r="D8" s="25" t="s">
        <v>93</v>
      </c>
      <c r="E8" s="8" t="s">
        <v>37</v>
      </c>
      <c r="F8" s="12" t="s">
        <v>70</v>
      </c>
      <c r="G8" s="28">
        <v>2.8</v>
      </c>
      <c r="H8" s="12" t="s">
        <v>68</v>
      </c>
      <c r="I8" s="26" t="s">
        <v>100</v>
      </c>
    </row>
    <row r="9" spans="2:9" ht="51" x14ac:dyDescent="0.2">
      <c r="B9" s="14" t="s">
        <v>76</v>
      </c>
      <c r="C9" s="12" t="s">
        <v>14</v>
      </c>
      <c r="D9" s="25" t="s">
        <v>78</v>
      </c>
      <c r="E9" s="8" t="s">
        <v>37</v>
      </c>
      <c r="F9" s="12" t="s">
        <v>70</v>
      </c>
      <c r="G9" s="28">
        <v>1</v>
      </c>
      <c r="H9" s="12" t="s">
        <v>68</v>
      </c>
      <c r="I9" s="26" t="s">
        <v>106</v>
      </c>
    </row>
    <row r="10" spans="2:9" ht="36" customHeight="1" x14ac:dyDescent="0.2">
      <c r="B10" s="14" t="s">
        <v>76</v>
      </c>
      <c r="C10" s="12" t="s">
        <v>14</v>
      </c>
      <c r="D10" s="25" t="s">
        <v>83</v>
      </c>
      <c r="E10" s="8" t="s">
        <v>37</v>
      </c>
      <c r="F10" s="12" t="s">
        <v>70</v>
      </c>
      <c r="G10" s="8">
        <v>1.2</v>
      </c>
      <c r="H10" s="12" t="s">
        <v>66</v>
      </c>
      <c r="I10" s="26" t="s">
        <v>84</v>
      </c>
    </row>
    <row r="11" spans="2:9" ht="38.25" x14ac:dyDescent="0.2">
      <c r="B11" s="14" t="s">
        <v>76</v>
      </c>
      <c r="C11" s="12" t="s">
        <v>14</v>
      </c>
      <c r="D11" s="25" t="s">
        <v>83</v>
      </c>
      <c r="E11" s="8" t="s">
        <v>37</v>
      </c>
      <c r="F11" s="12" t="s">
        <v>70</v>
      </c>
      <c r="G11" s="8">
        <v>1.8</v>
      </c>
      <c r="H11" s="12" t="s">
        <v>68</v>
      </c>
      <c r="I11" s="26" t="s">
        <v>98</v>
      </c>
    </row>
    <row r="12" spans="2:9" ht="25.5" x14ac:dyDescent="0.2">
      <c r="B12" s="14" t="s">
        <v>76</v>
      </c>
      <c r="C12" s="12" t="s">
        <v>12</v>
      </c>
      <c r="D12" s="25" t="s">
        <v>85</v>
      </c>
      <c r="E12" s="8" t="s">
        <v>37</v>
      </c>
      <c r="F12" s="12" t="s">
        <v>70</v>
      </c>
      <c r="G12" s="8">
        <v>2</v>
      </c>
      <c r="H12" s="12" t="s">
        <v>66</v>
      </c>
      <c r="I12" s="26" t="s">
        <v>86</v>
      </c>
    </row>
    <row r="13" spans="2:9" ht="63.75" x14ac:dyDescent="0.2">
      <c r="B13" s="14" t="s">
        <v>76</v>
      </c>
      <c r="C13" s="12" t="s">
        <v>12</v>
      </c>
      <c r="D13" s="25" t="s">
        <v>85</v>
      </c>
      <c r="E13" s="8" t="s">
        <v>37</v>
      </c>
      <c r="F13" s="12" t="s">
        <v>70</v>
      </c>
      <c r="G13" s="8">
        <v>2.5</v>
      </c>
      <c r="H13" s="12" t="s">
        <v>68</v>
      </c>
      <c r="I13" s="26" t="s">
        <v>99</v>
      </c>
    </row>
    <row r="14" spans="2:9" ht="25.5" x14ac:dyDescent="0.2">
      <c r="B14" s="14" t="s">
        <v>76</v>
      </c>
      <c r="C14" s="12" t="s">
        <v>14</v>
      </c>
      <c r="D14" s="25" t="s">
        <v>95</v>
      </c>
      <c r="E14" s="8" t="s">
        <v>37</v>
      </c>
      <c r="F14" s="12" t="s">
        <v>70</v>
      </c>
      <c r="G14" s="8">
        <v>0.5</v>
      </c>
      <c r="H14" s="12" t="s">
        <v>66</v>
      </c>
      <c r="I14" s="26" t="s">
        <v>96</v>
      </c>
    </row>
    <row r="15" spans="2:9" ht="25.5" x14ac:dyDescent="0.2">
      <c r="B15" s="14" t="s">
        <v>76</v>
      </c>
      <c r="C15" s="12" t="s">
        <v>12</v>
      </c>
      <c r="D15" s="25" t="s">
        <v>87</v>
      </c>
      <c r="E15" s="8" t="s">
        <v>37</v>
      </c>
      <c r="F15" s="12" t="s">
        <v>70</v>
      </c>
      <c r="G15" s="8">
        <v>1.5</v>
      </c>
      <c r="H15" s="12" t="s">
        <v>68</v>
      </c>
      <c r="I15" s="26" t="s">
        <v>88</v>
      </c>
    </row>
    <row r="16" spans="2:9" ht="51" x14ac:dyDescent="0.2">
      <c r="B16" s="14" t="s">
        <v>76</v>
      </c>
      <c r="C16" s="12" t="s">
        <v>16</v>
      </c>
      <c r="D16" s="25" t="s">
        <v>79</v>
      </c>
      <c r="E16" s="8" t="s">
        <v>37</v>
      </c>
      <c r="F16" s="12" t="s">
        <v>70</v>
      </c>
      <c r="G16" s="8">
        <v>5</v>
      </c>
      <c r="H16" s="12" t="s">
        <v>35</v>
      </c>
      <c r="I16" s="26" t="s">
        <v>94</v>
      </c>
    </row>
    <row r="17" spans="2:9" x14ac:dyDescent="0.2">
      <c r="B17" s="14" t="s">
        <v>76</v>
      </c>
      <c r="C17" s="12" t="s">
        <v>91</v>
      </c>
      <c r="D17" s="25" t="s">
        <v>92</v>
      </c>
      <c r="E17" s="8" t="s">
        <v>24</v>
      </c>
      <c r="F17" s="12"/>
      <c r="G17" s="8">
        <v>2.5</v>
      </c>
      <c r="H17" s="12" t="s">
        <v>31</v>
      </c>
      <c r="I17" s="26" t="s">
        <v>97</v>
      </c>
    </row>
    <row r="18" spans="2:9" x14ac:dyDescent="0.2">
      <c r="B18" s="14" t="s">
        <v>76</v>
      </c>
      <c r="C18" s="12" t="s">
        <v>16</v>
      </c>
      <c r="D18" s="25" t="s">
        <v>103</v>
      </c>
      <c r="E18" s="8" t="s">
        <v>24</v>
      </c>
      <c r="F18" s="12"/>
      <c r="G18" s="8">
        <v>1</v>
      </c>
      <c r="H18" s="12" t="s">
        <v>24</v>
      </c>
      <c r="I18" s="26" t="s">
        <v>104</v>
      </c>
    </row>
    <row r="19" spans="2:9" ht="25.5" x14ac:dyDescent="0.2">
      <c r="B19" s="14" t="s">
        <v>76</v>
      </c>
      <c r="C19" s="12" t="s">
        <v>91</v>
      </c>
      <c r="D19" s="25" t="s">
        <v>105</v>
      </c>
      <c r="E19" s="8" t="s">
        <v>24</v>
      </c>
      <c r="F19" s="12"/>
      <c r="G19" s="8">
        <v>1</v>
      </c>
      <c r="H19" s="12" t="s">
        <v>24</v>
      </c>
      <c r="I19" s="26" t="s">
        <v>109</v>
      </c>
    </row>
    <row r="20" spans="2:9" ht="25.5" x14ac:dyDescent="0.2">
      <c r="B20" s="14" t="s">
        <v>76</v>
      </c>
      <c r="C20" s="12" t="s">
        <v>16</v>
      </c>
      <c r="D20" s="25" t="s">
        <v>80</v>
      </c>
      <c r="E20" s="8" t="s">
        <v>37</v>
      </c>
      <c r="F20" s="12" t="s">
        <v>70</v>
      </c>
      <c r="G20" s="8">
        <v>2</v>
      </c>
      <c r="H20" s="12" t="s">
        <v>81</v>
      </c>
      <c r="I20" s="26" t="s">
        <v>82</v>
      </c>
    </row>
    <row r="21" spans="2:9" x14ac:dyDescent="0.2">
      <c r="B21" s="20"/>
      <c r="C21" s="21"/>
      <c r="D21" s="22"/>
      <c r="E21" s="22"/>
      <c r="F21" s="24" t="s">
        <v>61</v>
      </c>
      <c r="G21" s="32">
        <f>SUM(G4:G20)</f>
        <v>40.799999999999997</v>
      </c>
      <c r="H21" s="33"/>
      <c r="I21" s="34"/>
    </row>
    <row r="22" spans="2:9" ht="15" thickBot="1" x14ac:dyDescent="0.25">
      <c r="B22" s="17"/>
      <c r="C22" s="18"/>
      <c r="D22" s="19"/>
      <c r="E22" s="19"/>
      <c r="F22" s="23" t="s">
        <v>62</v>
      </c>
      <c r="G22" s="29">
        <v>5</v>
      </c>
      <c r="H22" s="30"/>
      <c r="I22" s="31"/>
    </row>
    <row r="23" spans="2:9" ht="15" thickTop="1" x14ac:dyDescent="0.2"/>
  </sheetData>
  <mergeCells count="2">
    <mergeCell ref="G22:I22"/>
    <mergeCell ref="G21:I21"/>
  </mergeCells>
  <phoneticPr fontId="7" type="noConversion"/>
  <dataValidations count="2">
    <dataValidation type="list" allowBlank="1" showInputMessage="1" showErrorMessage="1" sqref="H4:H20" xr:uid="{00000000-0002-0000-0000-000000000000}">
      <formula1>hh</formula1>
    </dataValidation>
    <dataValidation type="list" allowBlank="1" showInputMessage="1" showErrorMessage="1" sqref="F4:F20" xr:uid="{00000000-0002-0000-0000-000001000000}">
      <formula1>INDIRECT(E4)</formula1>
    </dataValidation>
  </dataValidations>
  <pageMargins left="0.7" right="0.7" top="0.75" bottom="0.75" header="0.3" footer="0.3"/>
  <pageSetup paperSize="9" orientation="portrait" verticalDpi="0" r:id="rId1"/>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2000000}">
          <x14:formula1>
            <xm:f>数据标签!$B$2:$H$2</xm:f>
          </x14:formula1>
          <xm:sqref>C4:C22</xm:sqref>
        </x14:dataValidation>
        <x14:dataValidation type="list" allowBlank="1" showInputMessage="1" showErrorMessage="1" xr:uid="{00000000-0002-0000-0000-000003000000}">
          <x14:formula1>
            <xm:f>数据标签!$B$12:$C$12</xm:f>
          </x14:formula1>
          <xm:sqref>E4:E22</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8"/>
  <sheetViews>
    <sheetView workbookViewId="0">
      <selection activeCell="F14" sqref="F14"/>
    </sheetView>
  </sheetViews>
  <sheetFormatPr defaultColWidth="8.875" defaultRowHeight="12.75" x14ac:dyDescent="0.2"/>
  <cols>
    <col min="1" max="1" width="8.875" style="1"/>
    <col min="2" max="2" width="26.875" style="1" customWidth="1"/>
    <col min="3" max="3" width="21.625" style="1" customWidth="1"/>
    <col min="4" max="7" width="28.625" style="1" customWidth="1"/>
    <col min="8" max="8" width="27.25" style="1" customWidth="1"/>
    <col min="9" max="16384" width="8.875" style="1"/>
  </cols>
  <sheetData>
    <row r="2" spans="1:8" ht="25.5" x14ac:dyDescent="0.2">
      <c r="A2" s="2" t="s">
        <v>11</v>
      </c>
      <c r="B2" s="3" t="s">
        <v>12</v>
      </c>
      <c r="C2" s="3" t="s">
        <v>13</v>
      </c>
      <c r="D2" s="3" t="s">
        <v>14</v>
      </c>
      <c r="E2" s="3" t="s">
        <v>15</v>
      </c>
      <c r="F2" s="3" t="s">
        <v>63</v>
      </c>
      <c r="G2" s="3" t="s">
        <v>54</v>
      </c>
      <c r="H2" s="3" t="s">
        <v>16</v>
      </c>
    </row>
    <row r="3" spans="1:8" ht="25.5" x14ac:dyDescent="0.2">
      <c r="A3" s="2" t="s">
        <v>17</v>
      </c>
      <c r="B3" s="3" t="s">
        <v>67</v>
      </c>
      <c r="C3" s="3" t="s">
        <v>67</v>
      </c>
      <c r="D3" s="3" t="s">
        <v>67</v>
      </c>
      <c r="E3" s="3" t="s">
        <v>18</v>
      </c>
      <c r="F3" s="3" t="s">
        <v>19</v>
      </c>
      <c r="G3" s="3" t="s">
        <v>20</v>
      </c>
      <c r="H3" s="3" t="s">
        <v>21</v>
      </c>
    </row>
    <row r="4" spans="1:8" ht="38.25" x14ac:dyDescent="0.2">
      <c r="A4" s="2"/>
      <c r="B4" s="16" t="s">
        <v>69</v>
      </c>
      <c r="C4" s="16" t="s">
        <v>69</v>
      </c>
      <c r="D4" s="16" t="s">
        <v>69</v>
      </c>
      <c r="E4" s="3" t="s">
        <v>23</v>
      </c>
      <c r="F4" s="15" t="s">
        <v>56</v>
      </c>
      <c r="G4" s="3" t="s">
        <v>53</v>
      </c>
      <c r="H4" s="3" t="s">
        <v>55</v>
      </c>
    </row>
    <row r="5" spans="1:8" ht="25.5" x14ac:dyDescent="0.2">
      <c r="B5" s="3" t="s">
        <v>22</v>
      </c>
      <c r="C5" s="3" t="s">
        <v>22</v>
      </c>
      <c r="D5" s="3" t="s">
        <v>22</v>
      </c>
      <c r="E5" s="16" t="s">
        <v>26</v>
      </c>
      <c r="F5" s="15" t="s">
        <v>24</v>
      </c>
      <c r="G5" s="16" t="s">
        <v>27</v>
      </c>
      <c r="H5" s="16" t="s">
        <v>28</v>
      </c>
    </row>
    <row r="6" spans="1:8" ht="25.5" x14ac:dyDescent="0.2">
      <c r="B6" s="3" t="s">
        <v>25</v>
      </c>
      <c r="C6" s="3" t="s">
        <v>25</v>
      </c>
      <c r="D6" s="3" t="s">
        <v>25</v>
      </c>
      <c r="E6" s="16" t="s">
        <v>30</v>
      </c>
      <c r="F6" s="15"/>
      <c r="G6" s="16" t="s">
        <v>31</v>
      </c>
      <c r="H6" s="16" t="s">
        <v>32</v>
      </c>
    </row>
    <row r="7" spans="1:8" ht="38.25" x14ac:dyDescent="0.2">
      <c r="B7" s="3" t="s">
        <v>29</v>
      </c>
      <c r="C7" s="3" t="s">
        <v>29</v>
      </c>
      <c r="D7" s="3" t="s">
        <v>29</v>
      </c>
      <c r="E7" s="16" t="s">
        <v>34</v>
      </c>
      <c r="G7" s="16" t="s">
        <v>24</v>
      </c>
      <c r="H7" s="16" t="s">
        <v>35</v>
      </c>
    </row>
    <row r="8" spans="1:8" x14ac:dyDescent="0.2">
      <c r="B8" s="3" t="s">
        <v>33</v>
      </c>
      <c r="C8" s="3" t="s">
        <v>33</v>
      </c>
      <c r="D8" s="3" t="s">
        <v>33</v>
      </c>
      <c r="E8" s="16"/>
      <c r="G8" s="16"/>
      <c r="H8" s="16" t="s">
        <v>65</v>
      </c>
    </row>
    <row r="9" spans="1:8" x14ac:dyDescent="0.2">
      <c r="B9" s="1" t="s">
        <v>24</v>
      </c>
      <c r="C9" s="1" t="s">
        <v>24</v>
      </c>
      <c r="D9" s="1" t="s">
        <v>24</v>
      </c>
      <c r="E9" s="16"/>
      <c r="F9" s="15"/>
      <c r="G9" s="16"/>
      <c r="H9" s="16" t="s">
        <v>60</v>
      </c>
    </row>
    <row r="10" spans="1:8" x14ac:dyDescent="0.2">
      <c r="C10" s="16"/>
      <c r="D10" s="16"/>
      <c r="H10" s="16"/>
    </row>
    <row r="12" spans="1:8" x14ac:dyDescent="0.2">
      <c r="A12" s="1" t="s">
        <v>36</v>
      </c>
      <c r="B12" s="1" t="s">
        <v>37</v>
      </c>
      <c r="C12" s="1" t="s">
        <v>24</v>
      </c>
    </row>
    <row r="13" spans="1:8" ht="38.25" x14ac:dyDescent="0.2">
      <c r="A13" s="1" t="s">
        <v>38</v>
      </c>
      <c r="B13" s="3" t="s">
        <v>39</v>
      </c>
    </row>
    <row r="14" spans="1:8" ht="25.5" x14ac:dyDescent="0.2">
      <c r="B14" s="3" t="s">
        <v>51</v>
      </c>
      <c r="C14" s="11" t="s">
        <v>52</v>
      </c>
      <c r="D14" s="11" t="s">
        <v>52</v>
      </c>
    </row>
    <row r="15" spans="1:8" ht="25.5" x14ac:dyDescent="0.2">
      <c r="B15" s="3" t="s">
        <v>40</v>
      </c>
      <c r="C15" s="11" t="s">
        <v>52</v>
      </c>
      <c r="D15" s="11" t="s">
        <v>52</v>
      </c>
    </row>
    <row r="16" spans="1:8" ht="51" x14ac:dyDescent="0.2">
      <c r="B16" s="3" t="s">
        <v>41</v>
      </c>
      <c r="C16" s="11" t="s">
        <v>52</v>
      </c>
      <c r="D16" s="11" t="s">
        <v>52</v>
      </c>
    </row>
    <row r="17" spans="2:4" ht="51" x14ac:dyDescent="0.2">
      <c r="B17" s="3" t="s">
        <v>42</v>
      </c>
      <c r="C17" s="11" t="s">
        <v>52</v>
      </c>
      <c r="D17" s="11" t="s">
        <v>52</v>
      </c>
    </row>
    <row r="18" spans="2:4" ht="38.25" x14ac:dyDescent="0.2">
      <c r="B18" s="3" t="s">
        <v>43</v>
      </c>
      <c r="C18" s="11" t="s">
        <v>52</v>
      </c>
      <c r="D18" s="11" t="s">
        <v>52</v>
      </c>
    </row>
    <row r="19" spans="2:4" ht="51" x14ac:dyDescent="0.2">
      <c r="B19" s="3" t="s">
        <v>44</v>
      </c>
      <c r="C19" s="11" t="s">
        <v>52</v>
      </c>
      <c r="D19" s="11" t="s">
        <v>52</v>
      </c>
    </row>
    <row r="20" spans="2:4" ht="38.25" x14ac:dyDescent="0.2">
      <c r="B20" s="3" t="s">
        <v>45</v>
      </c>
      <c r="C20" s="11" t="s">
        <v>52</v>
      </c>
      <c r="D20" s="11" t="s">
        <v>52</v>
      </c>
    </row>
    <row r="21" spans="2:4" ht="38.25" x14ac:dyDescent="0.2">
      <c r="B21" s="3" t="s">
        <v>57</v>
      </c>
      <c r="C21" s="11" t="s">
        <v>52</v>
      </c>
      <c r="D21" s="11" t="s">
        <v>52</v>
      </c>
    </row>
    <row r="22" spans="2:4" ht="25.5" x14ac:dyDescent="0.2">
      <c r="B22" s="3" t="s">
        <v>46</v>
      </c>
      <c r="C22" s="11" t="s">
        <v>52</v>
      </c>
      <c r="D22" s="11" t="s">
        <v>52</v>
      </c>
    </row>
    <row r="23" spans="2:4" ht="38.25" x14ac:dyDescent="0.2">
      <c r="B23" s="3" t="s">
        <v>58</v>
      </c>
      <c r="C23" s="11" t="s">
        <v>52</v>
      </c>
      <c r="D23" s="11" t="s">
        <v>52</v>
      </c>
    </row>
    <row r="24" spans="2:4" ht="38.25" x14ac:dyDescent="0.2">
      <c r="B24" s="3" t="s">
        <v>59</v>
      </c>
      <c r="C24" s="11"/>
      <c r="D24" s="11"/>
    </row>
    <row r="25" spans="2:4" ht="63.75" x14ac:dyDescent="0.2">
      <c r="B25" s="3" t="s">
        <v>50</v>
      </c>
      <c r="C25" s="11" t="s">
        <v>52</v>
      </c>
      <c r="D25" s="11" t="s">
        <v>52</v>
      </c>
    </row>
    <row r="26" spans="2:4" ht="38.25" x14ac:dyDescent="0.2">
      <c r="B26" s="3" t="s">
        <v>47</v>
      </c>
      <c r="C26" s="11" t="s">
        <v>52</v>
      </c>
      <c r="D26" s="11" t="s">
        <v>52</v>
      </c>
    </row>
    <row r="27" spans="2:4" ht="38.25" x14ac:dyDescent="0.2">
      <c r="B27" s="3" t="s">
        <v>48</v>
      </c>
      <c r="C27" s="11" t="s">
        <v>52</v>
      </c>
      <c r="D27" s="11" t="s">
        <v>52</v>
      </c>
    </row>
    <row r="28" spans="2:4" ht="25.5" x14ac:dyDescent="0.2">
      <c r="B28" s="3" t="s">
        <v>49</v>
      </c>
      <c r="C28" s="11" t="s">
        <v>52</v>
      </c>
      <c r="D28" s="11" t="s">
        <v>52</v>
      </c>
    </row>
  </sheetData>
  <phoneticPr fontId="7"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4</vt:i4>
      </vt:variant>
    </vt:vector>
  </HeadingPairs>
  <TitlesOfParts>
    <vt:vector size="6" baseType="lpstr">
      <vt:lpstr>个人工时记录表</vt:lpstr>
      <vt:lpstr>数据标签</vt:lpstr>
      <vt:lpstr>BSC</vt:lpstr>
      <vt:lpstr>E列</vt:lpstr>
      <vt:lpstr>OKR</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TC comment</cp:lastModifiedBy>
  <dcterms:created xsi:type="dcterms:W3CDTF">2024-12-10T02:24:00Z</dcterms:created>
  <dcterms:modified xsi:type="dcterms:W3CDTF">2025-10-20T15:28:13Z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2052-12.1.0.19302</vt:lpwstr>
  </property>
</Properties>
</file>