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nazeng\Documents\02. KM\内部流程\工作时间记录\2025.11\"/>
    </mc:Choice>
  </mc:AlternateContent>
  <xr:revisionPtr revIDLastSave="0" documentId="13_ncr:1_{177D5644-4006-4740-9A01-B358ECF2EFD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<sst xmlns="http://schemas.openxmlformats.org/spreadsheetml/2006/main" count="235" uniqueCount="111">
  <si>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</si>
  <si>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</si>
  <si>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</si>
  <si>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</si>
  <si>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</si>
  <si>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</si>
  <si>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</si>
  <si>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</si>
  <si>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</si>
  <si>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</si>
  <si>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</si>
  <si>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</si>
  <si>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</si>
  <si>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</si>
  <si>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</si>
  <si>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</si>
  <si>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</si>
  <si>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</si>
  <si>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</si>
  <si>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</si>
  <si>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</si>
  <si>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</si>
  <si>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</si>
  <si>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</si>
  <si>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</si>
  <si>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</si>
  <si>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</si>
  <si>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</si>
  <si>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</si>
  <si>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</si>
  <si>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</si>
  <si>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</si>
  <si>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</si>
  <si>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</si>
  <si>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</si>
  <si>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</si>
  <si>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</si>
  <si>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</si>
  <si>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</si>
  <si>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</si>
  <si>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</si>
  <si>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</si>
  <si>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</si>
  <si>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</si>
  <si>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</si>
  <si>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</si>
  <si>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</si>
  <si>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</si>
  <si>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</si>
  <si>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</si>
  <si>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</si>
  <si>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</si>
  <si>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</si>
  <si>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</si>
  <si>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</si>
  <si>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</si>
  <si>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</si>
  <si>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</si>
  <si>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</si>
  <si>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</si>
  <si>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</si>
  <si>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</si>
  <si>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</si>
  <si>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</si>
  <si>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</si>
  <si>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</si>
  <si>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</si>
  <si>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</si>
  <si>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</si>
  <si>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</si>
  <si>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</si>
  <si>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</si>
  <si>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</si>
  <si>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</si>
  <si>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</si>
  <si>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</si>
  <si>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</si>
  <si>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</si>
  <si>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</si>
  <si>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Legal fees</t>
    <phoneticPr fontId="7" type="noConversion"/>
  </si>
  <si>
    <t>Timesheet</t>
    <phoneticPr fontId="7" type="noConversion"/>
  </si>
  <si>
    <t>Recording/reviewing deals updates/weekly time reports/other team summaries</t>
  </si>
  <si>
    <t>Record timesheet</t>
    <phoneticPr fontId="7" type="noConversion"/>
  </si>
  <si>
    <t>传音JV</t>
    <phoneticPr fontId="7" type="noConversion"/>
  </si>
  <si>
    <t>PP停车</t>
    <phoneticPr fontId="7" type="noConversion"/>
  </si>
  <si>
    <t>即构ZEGO</t>
    <phoneticPr fontId="7" type="noConversion"/>
  </si>
  <si>
    <t>Turtle Rock</t>
    <phoneticPr fontId="7" type="noConversion"/>
  </si>
  <si>
    <t>海外投资合规管理 Overseas investment compliance management</t>
  </si>
  <si>
    <t>Public - Knowledge Accumulation &amp; Sharing</t>
  </si>
  <si>
    <t>CFIUS discussion</t>
    <phoneticPr fontId="7" type="noConversion"/>
  </si>
  <si>
    <t>敏感投资领域投资指引 Guidance for sensitive investment fields</t>
  </si>
  <si>
    <t>Discuss with team members on CFIUS and DSP analysis on potential investment (CFIUS passive investment safe harbour and covered investment)</t>
    <phoneticPr fontId="7" type="noConversion"/>
  </si>
  <si>
    <t>资本市场证券交易全流程合规体系建设 Full-process compliance system  for securities trading in capital markets</t>
  </si>
  <si>
    <t>Exchangeable note: review and comment on updated ROM and share certificates</t>
    <phoneticPr fontId="7" type="noConversion"/>
  </si>
  <si>
    <t>Exchangeable note: coordination on closing of transaction under NPA and signing of SPA; review and confirm release of signature pages; call with Hedo on SPA closing logistics</t>
    <phoneticPr fontId="7" type="noConversion"/>
  </si>
  <si>
    <t>2025 ESOP grant: provide signature pages to company on 2025 ESOP grant document and communication with company re the same</t>
    <phoneticPr fontId="7" type="noConversion"/>
  </si>
  <si>
    <t>Prepare approval message on update of legal fees for Airwallex EB transaction; internal discussion re the same</t>
    <phoneticPr fontId="7" type="noConversion"/>
  </si>
  <si>
    <t>ILC monthly meeting</t>
    <phoneticPr fontId="7" type="noConversion"/>
  </si>
  <si>
    <t>Bullish</t>
    <phoneticPr fontId="7" type="noConversion"/>
  </si>
  <si>
    <t>Catchup meeting with leader</t>
    <phoneticPr fontId="7" type="noConversion"/>
  </si>
  <si>
    <t>Redemption: follow up on executed redemption documents, attention to CPs including purchase of fixed rate note and setup of cash and custody accounts; review fix rate note key terms and coordinate on closing logistics</t>
    <phoneticPr fontId="7" type="noConversion"/>
  </si>
  <si>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phoneticPr fontId="7" type="noConversion"/>
  </si>
  <si>
    <t>Shiftup</t>
    <phoneticPr fontId="7" type="noConversion"/>
  </si>
  <si>
    <t>Review board resolutions for Nov 10 board meeting</t>
    <phoneticPr fontId="7" type="noConversion"/>
  </si>
  <si>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phoneticPr fontId="7" type="noConversion"/>
  </si>
  <si>
    <t>Series G round: attention to latest outstanding points on SHA and articles</t>
    <phoneticPr fontId="7" type="noConversion"/>
  </si>
  <si>
    <t>NSA compliance: internal communication and call on budget parameters and next steps; review and consider P team comments on budget parameters; review and comment on draft budget parameters</t>
    <phoneticPr fontId="7" type="noConversion"/>
  </si>
  <si>
    <t>Covered call: internal communication and external communications with multiple investment banks on transaction documents and ancillary documents and deal logistics; send Nomura signature packet; communication on KYC logistics</t>
    <phoneticPr fontId="7" type="noConversion"/>
  </si>
  <si>
    <t>Series B round: attention to next round financing communication</t>
    <phoneticPr fontId="7" type="noConversion"/>
  </si>
  <si>
    <t>隐秘投资统计</t>
    <phoneticPr fontId="7" type="noConversion"/>
  </si>
  <si>
    <t>填写隐秘投资统计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</si>
</sst>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9" zoomScaleNormal="100" workbookViewId="0">
      <selection activeCell="K19" sqref="K19"/>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51" x14ac:dyDescent="0.2">
      <c r="B4" s="14" t="s">
        <v>76</v>
      </c>
      <c r="C4" s="12" t="s">
        <v>12</v>
      </c>
      <c r="D4" s="25" t="s">
        <v>77</v>
      </c>
      <c r="E4" s="8" t="s">
        <v>37</v>
      </c>
      <c r="F4" s="12" t="s">
        <v>71</v>
      </c>
      <c r="G4" s="8">
        <v>2.5</v>
      </c>
      <c r="H4" s="27" t="s">
        <v>69</v>
      </c>
      <c r="I4" s="26" t="s">
        <v>94</v>
      </c>
    </row>
    <row r="5" spans="2:9" ht="47.45" customHeight="1" x14ac:dyDescent="0.2">
      <c r="B5" s="14" t="s">
        <v>76</v>
      </c>
      <c r="C5" s="12" t="s">
        <v>12</v>
      </c>
      <c r="D5" s="25" t="s">
        <v>77</v>
      </c>
      <c r="E5" s="8" t="s">
        <v>37</v>
      </c>
      <c r="F5" s="12" t="s">
        <v>70</v>
      </c>
      <c r="G5" s="28">
        <v>1</v>
      </c>
      <c r="H5" s="12" t="s">
        <v>66</v>
      </c>
      <c r="I5" s="26" t="s">
        <v>93</v>
      </c>
    </row>
    <row r="6" spans="2:9" ht="79.5" customHeight="1" x14ac:dyDescent="0.2">
      <c r="B6" s="14" t="s">
        <v>76</v>
      </c>
      <c r="C6" s="12" t="s">
        <v>12</v>
      </c>
      <c r="D6" s="25" t="s">
        <v>77</v>
      </c>
      <c r="E6" s="8" t="s">
        <v>37</v>
      </c>
      <c r="F6" s="12" t="s">
        <v>70</v>
      </c>
      <c r="G6" s="28">
        <v>0.3</v>
      </c>
      <c r="H6" s="12" t="s">
        <v>68</v>
      </c>
      <c r="I6" s="26" t="s">
        <v>105</v>
      </c>
    </row>
    <row r="7" spans="2:9" ht="68.25" customHeight="1" x14ac:dyDescent="0.2">
      <c r="B7" s="14" t="s">
        <v>76</v>
      </c>
      <c r="C7" s="12" t="s">
        <v>14</v>
      </c>
      <c r="D7" s="25" t="s">
        <v>86</v>
      </c>
      <c r="E7" s="8" t="s">
        <v>37</v>
      </c>
      <c r="F7" s="12" t="s">
        <v>87</v>
      </c>
      <c r="G7" s="28">
        <v>1.8</v>
      </c>
      <c r="H7" s="12" t="s">
        <v>68</v>
      </c>
      <c r="I7" s="26" t="s">
        <v>106</v>
      </c>
    </row>
    <row r="8" spans="2:9" ht="76.5" customHeight="1" x14ac:dyDescent="0.2">
      <c r="B8" s="14" t="s">
        <v>76</v>
      </c>
      <c r="C8" s="12" t="s">
        <v>12</v>
      </c>
      <c r="D8" s="25" t="s">
        <v>98</v>
      </c>
      <c r="E8" s="8" t="s">
        <v>37</v>
      </c>
      <c r="F8" s="12" t="s">
        <v>70</v>
      </c>
      <c r="G8" s="28">
        <v>8</v>
      </c>
      <c r="H8" s="12" t="s">
        <v>68</v>
      </c>
      <c r="I8" s="26" t="s">
        <v>107</v>
      </c>
    </row>
    <row r="9" spans="2:9" ht="115.5" customHeight="1" x14ac:dyDescent="0.2">
      <c r="B9" s="14" t="s">
        <v>76</v>
      </c>
      <c r="C9" s="12" t="s">
        <v>12</v>
      </c>
      <c r="D9" s="25" t="s">
        <v>98</v>
      </c>
      <c r="E9" s="8" t="s">
        <v>37</v>
      </c>
      <c r="F9" s="12" t="s">
        <v>70</v>
      </c>
      <c r="G9" s="28">
        <v>12</v>
      </c>
      <c r="H9" s="12" t="s">
        <v>66</v>
      </c>
      <c r="I9" s="26" t="s">
        <v>104</v>
      </c>
    </row>
    <row r="10" spans="2:9" ht="88.5" customHeight="1" x14ac:dyDescent="0.2">
      <c r="B10" s="14" t="s">
        <v>76</v>
      </c>
      <c r="C10" s="12" t="s">
        <v>12</v>
      </c>
      <c r="D10" s="25" t="s">
        <v>78</v>
      </c>
      <c r="E10" s="8" t="s">
        <v>37</v>
      </c>
      <c r="F10" s="12" t="s">
        <v>70</v>
      </c>
      <c r="G10" s="28">
        <v>7</v>
      </c>
      <c r="H10" s="12" t="s">
        <v>66</v>
      </c>
      <c r="I10" s="26" t="s">
        <v>101</v>
      </c>
    </row>
    <row r="11" spans="2:9" ht="60.95" customHeight="1" x14ac:dyDescent="0.2">
      <c r="B11" s="14" t="s">
        <v>76</v>
      </c>
      <c r="C11" s="12" t="s">
        <v>14</v>
      </c>
      <c r="D11" s="25" t="s">
        <v>102</v>
      </c>
      <c r="E11" s="8" t="s">
        <v>37</v>
      </c>
      <c r="F11" s="12" t="s">
        <v>70</v>
      </c>
      <c r="G11" s="28">
        <v>0.5</v>
      </c>
      <c r="H11" s="12" t="s">
        <v>68</v>
      </c>
      <c r="I11" s="26" t="s">
        <v>103</v>
      </c>
    </row>
    <row r="12" spans="2:9" ht="43.5" customHeight="1" x14ac:dyDescent="0.2">
      <c r="B12" s="14" t="s">
        <v>76</v>
      </c>
      <c r="C12" s="12" t="s">
        <v>14</v>
      </c>
      <c r="D12" s="25" t="s">
        <v>83</v>
      </c>
      <c r="E12" s="8" t="s">
        <v>37</v>
      </c>
      <c r="F12" s="12" t="s">
        <v>70</v>
      </c>
      <c r="G12" s="8">
        <v>0.5</v>
      </c>
      <c r="H12" s="12" t="s">
        <v>68</v>
      </c>
      <c r="I12" s="26" t="s">
        <v>95</v>
      </c>
    </row>
    <row r="13" spans="2:9" ht="25.5" x14ac:dyDescent="0.2">
      <c r="B13" s="14" t="s">
        <v>76</v>
      </c>
      <c r="C13" s="12" t="s">
        <v>12</v>
      </c>
      <c r="D13" s="25" t="s">
        <v>84</v>
      </c>
      <c r="E13" s="8" t="s">
        <v>37</v>
      </c>
      <c r="F13" s="12" t="s">
        <v>70</v>
      </c>
      <c r="G13" s="8">
        <v>0.5</v>
      </c>
      <c r="H13" s="12" t="s">
        <v>68</v>
      </c>
      <c r="I13" s="26" t="s">
        <v>108</v>
      </c>
    </row>
    <row r="14" spans="2:9" ht="63.75" x14ac:dyDescent="0.2">
      <c r="B14" s="14" t="s">
        <v>76</v>
      </c>
      <c r="C14" s="12" t="s">
        <v>12</v>
      </c>
      <c r="D14" s="25" t="s">
        <v>85</v>
      </c>
      <c r="E14" s="8" t="s">
        <v>37</v>
      </c>
      <c r="F14" s="12" t="s">
        <v>70</v>
      </c>
      <c r="G14" s="8">
        <v>1.2</v>
      </c>
      <c r="H14" s="12" t="s">
        <v>68</v>
      </c>
      <c r="I14" s="26" t="s">
        <v>100</v>
      </c>
    </row>
    <row r="15" spans="2:9" ht="38.25" x14ac:dyDescent="0.2">
      <c r="B15" s="14" t="s">
        <v>76</v>
      </c>
      <c r="C15" s="12" t="s">
        <v>16</v>
      </c>
      <c r="D15" s="25" t="s">
        <v>97</v>
      </c>
      <c r="E15" s="8" t="s">
        <v>37</v>
      </c>
      <c r="F15" s="12" t="s">
        <v>92</v>
      </c>
      <c r="G15" s="8">
        <v>1.5</v>
      </c>
      <c r="H15" s="12" t="s">
        <v>21</v>
      </c>
      <c r="I15" s="26" t="s">
        <v>97</v>
      </c>
    </row>
    <row r="16" spans="2:9" ht="25.5" x14ac:dyDescent="0.2">
      <c r="B16" s="14" t="s">
        <v>76</v>
      </c>
      <c r="C16" s="12" t="s">
        <v>16</v>
      </c>
      <c r="D16" s="25" t="s">
        <v>79</v>
      </c>
      <c r="E16" s="8" t="s">
        <v>37</v>
      </c>
      <c r="F16" s="12" t="s">
        <v>70</v>
      </c>
      <c r="G16" s="8">
        <v>3</v>
      </c>
      <c r="H16" s="12" t="s">
        <v>35</v>
      </c>
      <c r="I16" s="26" t="s">
        <v>96</v>
      </c>
    </row>
    <row r="17" spans="2:9" ht="25.5" x14ac:dyDescent="0.2">
      <c r="B17" s="14" t="s">
        <v>76</v>
      </c>
      <c r="C17" s="12" t="s">
        <v>16</v>
      </c>
      <c r="D17" s="25" t="s">
        <v>99</v>
      </c>
      <c r="E17" s="8" t="s">
        <v>37</v>
      </c>
      <c r="F17" s="12" t="s">
        <v>70</v>
      </c>
      <c r="G17" s="8">
        <v>0.8</v>
      </c>
      <c r="H17" s="12" t="s">
        <v>31</v>
      </c>
      <c r="I17" s="26" t="s">
        <v>99</v>
      </c>
    </row>
    <row r="18" spans="2:9" ht="25.5" x14ac:dyDescent="0.2">
      <c r="B18" s="14" t="s">
        <v>76</v>
      </c>
      <c r="C18" s="12" t="s">
        <v>16</v>
      </c>
      <c r="D18" s="25" t="s">
        <v>109</v>
      </c>
      <c r="E18" s="8" t="s">
        <v>37</v>
      </c>
      <c r="F18" s="12" t="s">
        <v>90</v>
      </c>
      <c r="G18" s="8">
        <v>1</v>
      </c>
      <c r="H18" s="12" t="s">
        <v>81</v>
      </c>
      <c r="I18" s="26" t="s">
        <v>110</v>
      </c>
    </row>
    <row r="19" spans="2:9" ht="38.25" x14ac:dyDescent="0.2">
      <c r="B19" s="14" t="s">
        <v>76</v>
      </c>
      <c r="C19" s="12" t="s">
        <v>88</v>
      </c>
      <c r="D19" s="25" t="s">
        <v>89</v>
      </c>
      <c r="E19" s="8" t="s">
        <v>37</v>
      </c>
      <c r="F19" s="12" t="s">
        <v>90</v>
      </c>
      <c r="G19" s="8">
        <v>1</v>
      </c>
      <c r="H19" s="12" t="s">
        <v>24</v>
      </c>
      <c r="I19" s="26" t="s">
        <v>91</v>
      </c>
    </row>
    <row r="20" spans="2:9" ht="25.5" x14ac:dyDescent="0.2">
      <c r="B20" s="14" t="s">
        <v>76</v>
      </c>
      <c r="C20" s="12" t="s">
        <v>16</v>
      </c>
      <c r="D20" s="25" t="s">
        <v>80</v>
      </c>
      <c r="E20" s="8" t="s">
        <v>37</v>
      </c>
      <c r="F20" s="12" t="s">
        <v>70</v>
      </c>
      <c r="G20" s="8">
        <v>2</v>
      </c>
      <c r="H20" s="12" t="s">
        <v>81</v>
      </c>
      <c r="I20" s="26" t="s">
        <v>82</v>
      </c>
    </row>
    <row r="21" spans="2:9" x14ac:dyDescent="0.2">
      <c r="B21" s="20"/>
      <c r="C21" s="21"/>
      <c r="D21" s="22"/>
      <c r="E21" s="22"/>
      <c r="F21" s="24" t="s">
        <v>61</v>
      </c>
      <c r="G21" s="32">
        <f>SUM(G4:G20)</f>
        <v>44.6</v>
      </c>
      <c r="H21" s="33"/>
      <c r="I21" s="34"/>
    </row>
    <row r="22" spans="2:9" ht="15" thickBot="1" x14ac:dyDescent="0.25">
      <c r="B22" s="17"/>
      <c r="C22" s="18"/>
      <c r="D22" s="19"/>
      <c r="E22" s="19"/>
      <c r="F22" s="23" t="s">
        <v>62</v>
      </c>
      <c r="G22" s="29">
        <v>5</v>
      </c>
      <c r="H22" s="30"/>
      <c r="I22" s="31"/>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2025-11-10T15:54:57Z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