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A24CAE95-5D18-CC4E-AF5A-B18C7B6CC00A}"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<sst xmlns="http://schemas.openxmlformats.org/spreadsheetml/2006/main" count="148" uniqueCount="84">
  <si>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</si>
  <si>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</si>
  <si>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</si>
  <si>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</si>
  <si>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</si>
  <si>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</si>
  <si>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</si>
  <si>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</si>
  <si>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</si>
  <si>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</si>
  <si>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</si>
  <si>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</si>
  <si>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</si>
  <si>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</si>
  <si>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</si>
  <si>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</si>
  <si>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</si>
  <si>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</si>
  <si>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</si>
  <si>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</si>
  <si>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</si>
  <si>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</si>
  <si>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</si>
  <si>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</si>
  <si>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</si>
  <si>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</si>
  <si>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</si>
  <si>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</si>
  <si>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</si>
  <si>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</si>
  <si>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</si>
  <si>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</si>
  <si>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</si>
  <si>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</si>
  <si>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</si>
  <si>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</si>
  <si>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</si>
  <si>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</si>
  <si>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</si>
  <si>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</si>
  <si>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</si>
  <si>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</si>
  <si>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</si>
  <si>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</si>
  <si>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</si>
  <si>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</si>
  <si>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</si>
  <si>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</si>
  <si>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</si>
  <si>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</si>
  <si>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</si>
  <si>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</si>
  <si>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</si>
  <si>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</si>
  <si>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</si>
  <si>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</si>
  <si>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</si>
  <si>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</si>
  <si>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</si>
  <si>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</si>
  <si>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</si>
  <si>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</si>
  <si>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</si>
  <si>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</si>
  <si>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</si>
  <si>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</si>
  <si>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</si>
  <si>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</si>
  <si>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</si>
  <si>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</si>
  <si>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</si>
  <si>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</si>
  <si>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dexterhou</t>
    <phoneticPr fontId="7" type="noConversion"/>
  </si>
  <si>
    <t>Amer Sports</t>
  </si>
  <si>
    <t>投资项目全流程法务支持 Full-process legal support for investments</t>
  </si>
  <si>
    <t>Rights Issue/13 D Amendment</t>
  </si>
  <si>
    <t>G7</t>
  </si>
  <si>
    <t>redemption and amendment to SHA</t>
  </si>
  <si>
    <t>Gaijin</t>
  </si>
  <si>
    <t>Consent letter</t>
  </si>
  <si>
    <t>Email responses</t>
  </si>
  <si>
    <t>罗睿</t>
  </si>
  <si>
    <t>境内外金融业务资质申请 Application for domestic and overseas financial business licenses</t>
  </si>
  <si>
    <t>Convertible loans and liquidation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</si>
</sst>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20" fontId="5" fillId="0" borderId="4" xfId="0" applyNumberFormat="1" applyFont="1" applyBorder="1" applyAlignment="1">
      <alignment horizontal="left"/>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6" zoomScaleNormal="100" workbookViewId="0">
      <selection activeCell="G23" sqref="G2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72</v>
      </c>
      <c r="C4" s="14" t="s">
        <v>16</v>
      </c>
      <c r="D4" s="27" t="s">
        <v>73</v>
      </c>
      <c r="E4" s="9" t="s">
        <v>40</v>
      </c>
      <c r="F4" s="14" t="s">
        <v>74</v>
      </c>
      <c r="G4" s="9">
        <v>6</v>
      </c>
      <c r="H4" s="14" t="s">
        <v>20</v>
      </c>
      <c r="I4" s="28" t="s">
        <v>75</v>
      </c>
    </row>
    <row r="5" spans="2:9" ht="30">
      <c r="B5" s="16" t="s">
        <v>72</v>
      </c>
      <c r="C5" s="14" t="s">
        <v>14</v>
      </c>
      <c r="D5" s="27" t="s">
        <v>76</v>
      </c>
      <c r="E5" s="9" t="s">
        <v>40</v>
      </c>
      <c r="F5" s="14" t="s">
        <v>74</v>
      </c>
      <c r="G5" s="9">
        <v>5</v>
      </c>
      <c r="H5" s="14" t="s">
        <v>20</v>
      </c>
      <c r="I5" s="28" t="s">
        <v>77</v>
      </c>
    </row>
    <row r="6" spans="2:9" ht="30">
      <c r="B6" s="16" t="s">
        <v>72</v>
      </c>
      <c r="C6" s="14" t="s">
        <v>14</v>
      </c>
      <c r="D6" s="27" t="s">
        <v>78</v>
      </c>
      <c r="E6" s="9" t="s">
        <v>40</v>
      </c>
      <c r="F6" s="14" t="s">
        <v>74</v>
      </c>
      <c r="G6" s="9">
        <v>4</v>
      </c>
      <c r="H6" s="14" t="s">
        <v>20</v>
      </c>
      <c r="I6" s="28" t="s">
        <v>79</v>
      </c>
    </row>
    <row r="7" spans="2:9" ht="30">
      <c r="B7" s="16" t="s">
        <v>72</v>
      </c>
      <c r="C7" s="14" t="s">
        <v>14</v>
      </c>
      <c r="D7" s="29">
        <v>0.18958333333333333</v>
      </c>
      <c r="E7" s="9" t="s">
        <v>40</v>
      </c>
      <c r="F7" s="14" t="s">
        <v>74</v>
      </c>
      <c r="G7" s="9">
        <v>2</v>
      </c>
      <c r="H7" s="14" t="s">
        <v>20</v>
      </c>
      <c r="I7" s="28" t="s">
        <v>80</v>
      </c>
    </row>
    <row r="8" spans="2:9" ht="45">
      <c r="B8" s="16" t="s">
        <v>72</v>
      </c>
      <c r="C8" s="14" t="s">
        <v>14</v>
      </c>
      <c r="D8" s="27" t="s">
        <v>81</v>
      </c>
      <c r="E8" s="9" t="s">
        <v>40</v>
      </c>
      <c r="F8" s="14" t="s">
        <v>82</v>
      </c>
      <c r="G8" s="9">
        <v>20</v>
      </c>
      <c r="H8" s="14" t="s">
        <v>20</v>
      </c>
      <c r="I8" s="28" t="s">
        <v>83</v>
      </c>
    </row>
    <row r="9" spans="2:9">
      <c r="B9" s="16"/>
      <c r="C9" s="14"/>
      <c r="D9" s="27"/>
      <c r="E9" s="9"/>
      <c r="F9" s="14"/>
      <c r="G9" s="9"/>
      <c r="H9" s="14"/>
      <c r="I9" s="28"/>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22"/>
      <c r="C30" s="23"/>
      <c r="D30" s="24"/>
      <c r="E30" s="24"/>
      <c r="F30" s="26" t="s">
        <v>67</v>
      </c>
      <c r="G30" s="33">
        <f>SUM(G3:G29)</f>
        <v>37</v>
      </c>
      <c r="H30" s="34"/>
      <c r="I30" s="35"/>
    </row>
    <row r="31" spans="2:9" ht="16" thickBot="1">
      <c r="B31" s="19"/>
      <c r="C31" s="20"/>
      <c r="D31" s="21"/>
      <c r="E31" s="21"/>
      <c r="F31" s="25" t="s">
        <v>68</v>
      </c>
      <c r="G31" s="30">
        <v>5</v>
      </c>
      <c r="H31" s="31"/>
      <c r="I31" s="32"/>
    </row>
    <row r="32" spans="2:9" ht="16"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2024-12-30T23:38:15Z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