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6C02FB14-8F64-BF4A-B191-3E8DAA600141}" xr6:coauthVersionLast="47" xr6:coauthVersionMax="47" xr10:uidLastSave="{00000000-0000-0000-0000-000000000000}"/>
  <bookViews>
    <workbookView xWindow="0" yWindow="8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<sst xmlns="http://schemas.openxmlformats.org/spreadsheetml/2006/main" count="147" uniqueCount="85">
  <si>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</si>
  <si>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</si>
  <si>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</si>
  <si>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</si>
  <si>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</si>
  <si>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</si>
  <si>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</si>
  <si>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</si>
  <si>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</si>
  <si>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</si>
  <si>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</si>
  <si>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</si>
  <si>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</si>
  <si>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</si>
  <si>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</si>
  <si>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</si>
  <si>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</si>
  <si>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</si>
  <si>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</si>
  <si>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</si>
  <si>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</si>
  <si>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</si>
  <si>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</si>
  <si>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</si>
  <si>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</si>
  <si>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</si>
  <si>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</si>
  <si>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</si>
  <si>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</si>
  <si>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</si>
  <si>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</si>
  <si>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</si>
  <si>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</si>
  <si>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</si>
  <si>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</si>
  <si>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</si>
  <si>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</si>
  <si>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</si>
  <si>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</si>
  <si>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</si>
  <si>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</si>
  <si>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</si>
  <si>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</si>
  <si>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</si>
  <si>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</si>
  <si>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</si>
  <si>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</si>
  <si>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</si>
  <si>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</si>
  <si>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</si>
  <si>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</si>
  <si>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</si>
  <si>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</si>
  <si>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</si>
  <si>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</si>
  <si>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</si>
  <si>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</si>
  <si>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</si>
  <si>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</si>
  <si>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</si>
  <si>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</si>
  <si>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</si>
  <si>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</si>
  <si>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</si>
  <si>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</si>
  <si>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</si>
  <si>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</si>
  <si>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</si>
  <si>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</si>
  <si>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</si>
  <si>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</si>
  <si>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</si>
  <si>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dexterhou</t>
    <phoneticPr fontId="7" type="noConversion"/>
  </si>
  <si>
    <t>投资项目全流程法务支持 Full-process legal support for investments</t>
  </si>
  <si>
    <t>G7</t>
  </si>
  <si>
    <t>Gaijin</t>
  </si>
  <si>
    <t>罗睿</t>
  </si>
  <si>
    <t>境内外金融业务资质申请 Application for domestic and overseas financial business licenses</t>
  </si>
  <si>
    <t>Convertible loans and liquidation</t>
  </si>
  <si>
    <t>Amendment to Artiles due to transfer of shares</t>
  </si>
  <si>
    <t>dexterhou</t>
  </si>
  <si>
    <t>天津队友</t>
  </si>
  <si>
    <t>Attending EGM and amendment to articles</t>
  </si>
  <si>
    <t>魔方无限</t>
  </si>
  <si>
    <t>投资公司风险自查信息表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</si>
</sst>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3" zoomScaleNormal="100" workbookViewId="0">
      <selection activeCell="G27" sqref="G27:I2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0">
      <c r="B4" s="16" t="s">
        <v>72</v>
      </c>
      <c r="C4" s="14" t="s">
        <v>14</v>
      </c>
      <c r="D4" s="27" t="s">
        <v>75</v>
      </c>
      <c r="E4" s="9" t="s">
        <v>40</v>
      </c>
      <c r="F4" s="14" t="s">
        <v>73</v>
      </c>
      <c r="G4" s="9">
        <v>4</v>
      </c>
      <c r="H4" s="14" t="s">
        <v>20</v>
      </c>
      <c r="I4" s="28" t="s">
        <v>79</v>
      </c>
    </row>
    <row r="5" spans="2:9" ht="45">
      <c r="B5" s="16" t="s">
        <v>72</v>
      </c>
      <c r="C5" s="14" t="s">
        <v>14</v>
      </c>
      <c r="D5" s="27" t="s">
        <v>76</v>
      </c>
      <c r="E5" s="9" t="s">
        <v>40</v>
      </c>
      <c r="F5" s="14" t="s">
        <v>77</v>
      </c>
      <c r="G5" s="9">
        <v>10</v>
      </c>
      <c r="H5" s="14" t="s">
        <v>20</v>
      </c>
      <c r="I5" s="28" t="s">
        <v>78</v>
      </c>
    </row>
    <row r="6" spans="2:9" ht="30">
      <c r="B6" s="16" t="s">
        <v>80</v>
      </c>
      <c r="C6" s="14" t="s">
        <v>14</v>
      </c>
      <c r="D6" s="27" t="s">
        <v>74</v>
      </c>
      <c r="E6" s="9" t="s">
        <v>40</v>
      </c>
      <c r="F6" s="14" t="s">
        <v>73</v>
      </c>
      <c r="G6" s="9">
        <v>4</v>
      </c>
      <c r="H6" s="14" t="s">
        <v>27</v>
      </c>
      <c r="I6" s="28" t="s">
        <v>82</v>
      </c>
    </row>
    <row r="7" spans="2:9">
      <c r="B7" s="16" t="s">
        <v>80</v>
      </c>
      <c r="C7" s="14" t="s">
        <v>17</v>
      </c>
      <c r="D7" s="27" t="s">
        <v>81</v>
      </c>
      <c r="E7" s="9" t="s">
        <v>27</v>
      </c>
      <c r="F7" s="14"/>
      <c r="G7" s="9">
        <v>4</v>
      </c>
      <c r="H7" s="14" t="s">
        <v>21</v>
      </c>
      <c r="I7" s="28" t="s">
        <v>84</v>
      </c>
    </row>
    <row r="8" spans="2:9">
      <c r="B8" s="16" t="s">
        <v>80</v>
      </c>
      <c r="C8" s="14" t="s">
        <v>17</v>
      </c>
      <c r="D8" s="27" t="s">
        <v>83</v>
      </c>
      <c r="E8" s="9" t="s">
        <v>27</v>
      </c>
      <c r="F8" s="14"/>
      <c r="G8" s="9">
        <v>4</v>
      </c>
      <c r="H8" s="14" t="s">
        <v>21</v>
      </c>
      <c r="I8" s="28" t="s">
        <v>84</v>
      </c>
    </row>
    <row r="9" spans="2:9">
      <c r="B9" s="8"/>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22"/>
      <c r="C27" s="23"/>
      <c r="D27" s="24"/>
      <c r="E27" s="24"/>
      <c r="F27" s="26" t="s">
        <v>67</v>
      </c>
      <c r="G27" s="32">
        <f>SUM(G3:G26)</f>
        <v>26</v>
      </c>
      <c r="H27" s="33"/>
      <c r="I27" s="34"/>
    </row>
    <row r="28" spans="2:9" ht="16" thickBot="1">
      <c r="B28" s="19"/>
      <c r="C28" s="20"/>
      <c r="D28" s="21"/>
      <c r="E28" s="21"/>
      <c r="F28" s="25" t="s">
        <v>68</v>
      </c>
      <c r="G28" s="29">
        <v>4</v>
      </c>
      <c r="H28" s="30"/>
      <c r="I28" s="31"/>
    </row>
    <row r="29" spans="2:9" ht="16" thickTop="1"/>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2025-01-06T23:04:12Z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