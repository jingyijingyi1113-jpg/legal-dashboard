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91CE4FA1-ECD7-1F48-AD48-EE5E16B3AF14}"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<sst xmlns="http://schemas.openxmlformats.org/spreadsheetml/2006/main" count="139" uniqueCount="81">
  <si>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</si>
  <si>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</si>
  <si>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</si>
  <si>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</si>
  <si>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</si>
  <si>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</si>
  <si>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</si>
  <si>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</si>
  <si>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</si>
  <si>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</si>
  <si>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</si>
  <si>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</si>
  <si>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</si>
  <si>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</si>
  <si>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</si>
  <si>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</si>
  <si>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</si>
  <si>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</si>
  <si>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</si>
  <si>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</si>
  <si>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</si>
  <si>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</si>
  <si>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</si>
  <si>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</si>
  <si>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</si>
  <si>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</si>
  <si>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</si>
  <si>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</si>
  <si>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</si>
  <si>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</si>
  <si>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</si>
  <si>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</si>
  <si>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</si>
  <si>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</si>
  <si>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</si>
  <si>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</si>
  <si>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</si>
  <si>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</si>
  <si>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</si>
  <si>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</si>
  <si>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</si>
  <si>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</si>
  <si>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</si>
  <si>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</si>
  <si>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</si>
  <si>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</si>
  <si>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</si>
  <si>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</si>
  <si>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</si>
  <si>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</si>
  <si>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</si>
  <si>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</si>
  <si>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</si>
  <si>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</si>
  <si>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</si>
  <si>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</si>
  <si>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</si>
  <si>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</si>
  <si>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</si>
  <si>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</si>
  <si>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</si>
  <si>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</si>
  <si>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</si>
  <si>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</si>
  <si>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</si>
  <si>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</si>
  <si>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</si>
  <si>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</si>
  <si>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</si>
  <si>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</si>
  <si>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</si>
  <si>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</si>
  <si>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</si>
  <si>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投资项目全流程法务支持 Full-process legal support for investments</t>
  </si>
  <si>
    <t>罗睿</t>
  </si>
  <si>
    <t>境内外金融业务资质申请 Application for domestic and overseas financial business licenses</t>
  </si>
  <si>
    <t>Convertible loans and liquidation</t>
  </si>
  <si>
    <t>dexterhou</t>
  </si>
  <si>
    <t>TPP - Blueberry</t>
  </si>
  <si>
    <t>TPP - Inspire</t>
  </si>
  <si>
    <t>TPP - Tenways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</si>
</sst>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G26" sqref="G2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45">
      <c r="B4" s="16" t="s">
        <v>72</v>
      </c>
      <c r="C4" s="14" t="s">
        <v>14</v>
      </c>
      <c r="D4" s="27" t="s">
        <v>74</v>
      </c>
      <c r="E4" s="9" t="s">
        <v>40</v>
      </c>
      <c r="F4" s="14" t="s">
        <v>75</v>
      </c>
      <c r="G4" s="9">
        <v>10</v>
      </c>
      <c r="H4" s="14" t="s">
        <v>20</v>
      </c>
      <c r="I4" s="28" t="s">
        <v>76</v>
      </c>
    </row>
    <row r="5" spans="2:9" ht="30">
      <c r="B5" s="16" t="s">
        <v>72</v>
      </c>
      <c r="C5" s="14" t="s">
        <v>14</v>
      </c>
      <c r="D5" s="27" t="s">
        <v>78</v>
      </c>
      <c r="E5" s="9" t="s">
        <v>40</v>
      </c>
      <c r="F5" s="14" t="s">
        <v>73</v>
      </c>
      <c r="G5" s="9">
        <v>15</v>
      </c>
      <c r="H5" s="14" t="s">
        <v>20</v>
      </c>
      <c r="I5" s="28"/>
    </row>
    <row r="6" spans="2:9" ht="30">
      <c r="B6" s="16" t="s">
        <v>77</v>
      </c>
      <c r="C6" s="14" t="s">
        <v>14</v>
      </c>
      <c r="D6" s="27" t="s">
        <v>79</v>
      </c>
      <c r="E6" s="9" t="s">
        <v>40</v>
      </c>
      <c r="F6" s="14" t="s">
        <v>73</v>
      </c>
      <c r="G6" s="9">
        <v>15</v>
      </c>
      <c r="H6" s="14" t="s">
        <v>20</v>
      </c>
      <c r="I6" s="28"/>
    </row>
    <row r="7" spans="2:9" ht="30">
      <c r="B7" s="16" t="s">
        <v>77</v>
      </c>
      <c r="C7" s="14" t="s">
        <v>14</v>
      </c>
      <c r="D7" s="27" t="s">
        <v>80</v>
      </c>
      <c r="E7" s="9" t="s">
        <v>40</v>
      </c>
      <c r="F7" s="14" t="s">
        <v>73</v>
      </c>
      <c r="G7" s="9">
        <v>15</v>
      </c>
      <c r="H7" s="14" t="s">
        <v>20</v>
      </c>
      <c r="I7" s="28"/>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67</v>
      </c>
      <c r="G23" s="32">
        <f>SUM(G3:G22)</f>
        <v>55</v>
      </c>
      <c r="H23" s="33"/>
      <c r="I23" s="34"/>
    </row>
    <row r="24" spans="2:9" ht="16" thickBot="1">
      <c r="B24" s="19"/>
      <c r="C24" s="20"/>
      <c r="D24" s="21"/>
      <c r="E24" s="21"/>
      <c r="F24" s="25" t="s">
        <v>68</v>
      </c>
      <c r="G24" s="29">
        <v>7</v>
      </c>
      <c r="H24" s="30"/>
      <c r="I24" s="31"/>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2025-02-06T15:42:52Z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