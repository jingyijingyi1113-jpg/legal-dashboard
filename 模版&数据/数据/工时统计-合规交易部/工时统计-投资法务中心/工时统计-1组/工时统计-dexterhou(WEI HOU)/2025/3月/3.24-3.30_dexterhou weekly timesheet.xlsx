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FB16E1A3-CD0E-CE45-91D2-DCD6E03551D2}"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<sst xmlns="http://schemas.openxmlformats.org/spreadsheetml/2006/main" count="150" uniqueCount="80">
  <si>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</si>
  <si>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</si>
  <si>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</si>
  <si>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</si>
  <si>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</si>
  <si>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</si>
  <si>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</si>
  <si>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</si>
  <si>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</si>
  <si>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</si>
  <si>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</si>
  <si>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</si>
  <si>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</si>
  <si>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</si>
  <si>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</si>
  <si>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</si>
  <si>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</si>
  <si>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</si>
  <si>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</si>
  <si>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</si>
  <si>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</si>
  <si>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</si>
  <si>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</si>
  <si>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</si>
  <si>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</si>
  <si>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</si>
  <si>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</si>
  <si>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</si>
  <si>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</si>
  <si>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</si>
  <si>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</si>
  <si>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</si>
  <si>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</si>
  <si>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</si>
  <si>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</si>
  <si>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</si>
  <si>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</si>
  <si>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</si>
  <si>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</si>
  <si>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</si>
  <si>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</si>
  <si>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</si>
  <si>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</si>
  <si>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</si>
  <si>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</si>
  <si>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</si>
  <si>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</si>
  <si>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</si>
  <si>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</si>
  <si>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</si>
  <si>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</si>
  <si>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</si>
  <si>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</si>
  <si>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</si>
  <si>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</si>
  <si>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</si>
  <si>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</si>
  <si>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</si>
  <si>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</si>
  <si>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</si>
  <si>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</si>
  <si>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</si>
  <si>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</si>
  <si>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</si>
  <si>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</si>
  <si>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</si>
  <si>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</si>
  <si>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</si>
  <si>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</si>
  <si>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</si>
  <si>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</si>
  <si>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</si>
  <si>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</si>
  <si>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</si>
  <si>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TPP - Carta</t>
  </si>
  <si>
    <t>TPP - Plaid</t>
  </si>
  <si>
    <t>睿逻清算</t>
  </si>
  <si>
    <t>Gaijin Entertainment</t>
  </si>
  <si>
    <t>Wonderstorm</t>
  </si>
  <si>
    <t>Facepunch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</si>
</sst>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Normal="100" workbookViewId="0">
      <selection activeCell="H17" sqref="H17"/>
    </sheetView>
  </sheetViews>
  <sheetFormatPr baseColWidth="10" defaultColWidth="9" defaultRowHeight="15"/>
  <cols>
    <col min="3" max="3" width="34.33203125" style="15" customWidth="1"/>
    <col min="4" max="4" width="26.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73</v>
      </c>
      <c r="C4" s="14" t="s">
        <v>14</v>
      </c>
      <c r="D4" s="27" t="s">
        <v>74</v>
      </c>
      <c r="E4" s="9" t="s">
        <v>40</v>
      </c>
      <c r="F4" s="14" t="s">
        <v>72</v>
      </c>
      <c r="G4" s="9">
        <v>15</v>
      </c>
      <c r="H4" s="14" t="s">
        <v>20</v>
      </c>
      <c r="I4" s="28"/>
    </row>
    <row r="5" spans="2:9" ht="30">
      <c r="B5" s="16" t="s">
        <v>73</v>
      </c>
      <c r="C5" s="14" t="s">
        <v>14</v>
      </c>
      <c r="D5" s="27" t="s">
        <v>75</v>
      </c>
      <c r="E5" s="9" t="s">
        <v>40</v>
      </c>
      <c r="F5" s="14" t="s">
        <v>72</v>
      </c>
      <c r="G5" s="9">
        <v>15</v>
      </c>
      <c r="H5" s="14" t="s">
        <v>20</v>
      </c>
      <c r="I5" s="28"/>
    </row>
    <row r="6" spans="2:9" ht="30">
      <c r="B6" s="16" t="s">
        <v>73</v>
      </c>
      <c r="C6" s="14" t="s">
        <v>14</v>
      </c>
      <c r="D6" s="27" t="s">
        <v>76</v>
      </c>
      <c r="E6" s="9" t="s">
        <v>40</v>
      </c>
      <c r="F6" s="14" t="s">
        <v>72</v>
      </c>
      <c r="G6" s="9">
        <v>2</v>
      </c>
      <c r="H6" s="14" t="s">
        <v>20</v>
      </c>
      <c r="I6" s="12"/>
    </row>
    <row r="7" spans="2:9" ht="30">
      <c r="B7" s="16" t="s">
        <v>73</v>
      </c>
      <c r="C7" s="14" t="s">
        <v>16</v>
      </c>
      <c r="D7" s="27" t="s">
        <v>77</v>
      </c>
      <c r="E7" s="9" t="s">
        <v>40</v>
      </c>
      <c r="F7" s="14" t="s">
        <v>72</v>
      </c>
      <c r="G7" s="9">
        <v>2</v>
      </c>
      <c r="H7" s="14" t="s">
        <v>36</v>
      </c>
      <c r="I7" s="28"/>
    </row>
    <row r="8" spans="2:9" ht="30">
      <c r="B8" s="16" t="s">
        <v>73</v>
      </c>
      <c r="C8" s="14" t="s">
        <v>16</v>
      </c>
      <c r="D8" s="27" t="s">
        <v>78</v>
      </c>
      <c r="E8" s="9" t="s">
        <v>40</v>
      </c>
      <c r="F8" s="14" t="s">
        <v>72</v>
      </c>
      <c r="G8" s="9">
        <v>2</v>
      </c>
      <c r="H8" s="14" t="s">
        <v>36</v>
      </c>
      <c r="I8" s="12"/>
    </row>
    <row r="9" spans="2:9" ht="30">
      <c r="B9" s="16" t="s">
        <v>73</v>
      </c>
      <c r="C9" s="14" t="s">
        <v>16</v>
      </c>
      <c r="D9" s="27" t="s">
        <v>79</v>
      </c>
      <c r="E9" s="9" t="s">
        <v>40</v>
      </c>
      <c r="F9" s="14" t="s">
        <v>72</v>
      </c>
      <c r="G9" s="9">
        <v>2</v>
      </c>
      <c r="H9" s="14" t="s">
        <v>36</v>
      </c>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22"/>
      <c r="C13" s="23"/>
      <c r="D13" s="24"/>
      <c r="E13" s="24"/>
      <c r="F13" s="26" t="s">
        <v>67</v>
      </c>
      <c r="G13" s="32">
        <f>SUM(G3:G12)</f>
        <v>38</v>
      </c>
      <c r="H13" s="33"/>
      <c r="I13" s="34"/>
    </row>
    <row r="14" spans="2:9" ht="16" thickBot="1">
      <c r="B14" s="19"/>
      <c r="C14" s="20"/>
      <c r="D14" s="21"/>
      <c r="E14" s="21"/>
      <c r="F14" s="25" t="s">
        <v>68</v>
      </c>
      <c r="G14" s="29">
        <v>5</v>
      </c>
      <c r="H14" s="30"/>
      <c r="I14" s="31"/>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6" sqref="H6"/>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2025-03-31T05:25:45Z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