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02343154-3B8D-F741-9276-809F12896012}" xr6:coauthVersionLast="47" xr6:coauthVersionMax="47" xr10:uidLastSave="{00000000-0000-0000-0000-000000000000}"/>
  <bookViews>
    <workbookView xWindow="0" yWindow="10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<sst xmlns="http://schemas.openxmlformats.org/spreadsheetml/2006/main" count="147" uniqueCount="82">
  <si>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</si>
  <si>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</si>
  <si>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</si>
  <si>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</si>
  <si>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</si>
  <si>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</si>
  <si>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</si>
  <si>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</si>
  <si>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</si>
  <si>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</si>
  <si>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</si>
  <si>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</si>
  <si>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</si>
  <si>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</si>
  <si>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</si>
  <si>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</si>
  <si>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</si>
  <si>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</si>
  <si>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</si>
  <si>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</si>
  <si>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</si>
  <si>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</si>
  <si>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</si>
  <si>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</si>
  <si>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</si>
  <si>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</si>
  <si>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</si>
  <si>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</si>
  <si>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</si>
  <si>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</si>
  <si>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</si>
  <si>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</si>
  <si>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</si>
  <si>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</si>
  <si>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</si>
  <si>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</si>
  <si>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</si>
  <si>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</si>
  <si>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</si>
  <si>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</si>
  <si>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</si>
  <si>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</si>
  <si>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</si>
  <si>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</si>
  <si>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</si>
  <si>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</si>
  <si>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</si>
  <si>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</si>
  <si>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</si>
  <si>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</si>
  <si>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</si>
  <si>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</si>
  <si>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</si>
  <si>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</si>
  <si>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</si>
  <si>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</si>
  <si>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</si>
  <si>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</si>
  <si>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</si>
  <si>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</si>
  <si>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</si>
  <si>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</si>
  <si>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</si>
  <si>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</si>
  <si>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</si>
  <si>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</si>
  <si>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</si>
  <si>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</si>
  <si>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</si>
  <si>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</si>
  <si>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</si>
  <si>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</si>
  <si>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</si>
  <si>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</si>
  <si>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Arrowhead</t>
  </si>
  <si>
    <t>ESOP terms</t>
  </si>
  <si>
    <t>Registration Statement</t>
  </si>
  <si>
    <t>Lucid Entertainment</t>
  </si>
  <si>
    <t>Revision of Earn-out terms</t>
  </si>
  <si>
    <t>TPP - Tenways</t>
  </si>
  <si>
    <t>Dreamcraft</t>
  </si>
  <si>
    <t>Amer Sports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</si>
</sst>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9" xfId="0" applyFont="1" applyBorder="1">
      <alignment vertical="center"/>
    </xf>
    <xf numFmtId="0" fontId="1" fillId="0" borderId="10" xfId="0" applyFont="1" applyBorder="1">
      <alignment vertical="center"/>
    </xf>
    <xf numFmtId="0" fontId="1" fillId="0" borderId="0" xfId="0" applyFont="1" applyBorder="1">
      <alignment vertical="center"/>
    </xf>
    <xf numFmtId="0" fontId="5" fillId="0" borderId="0"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zoomScale="141" zoomScaleNormal="141" workbookViewId="0">
      <selection activeCell="D12" sqref="D12"/>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4" t="s">
        <v>74</v>
      </c>
      <c r="E4" s="8" t="s">
        <v>40</v>
      </c>
      <c r="F4" s="12" t="s">
        <v>72</v>
      </c>
      <c r="G4" s="8">
        <v>5</v>
      </c>
      <c r="H4" s="12" t="s">
        <v>20</v>
      </c>
      <c r="I4" s="25" t="s">
        <v>75</v>
      </c>
    </row>
    <row r="5" spans="2:9" ht="30">
      <c r="B5" s="14" t="s">
        <v>73</v>
      </c>
      <c r="C5" s="12" t="s">
        <v>14</v>
      </c>
      <c r="D5" s="24" t="s">
        <v>77</v>
      </c>
      <c r="E5" s="8" t="s">
        <v>40</v>
      </c>
      <c r="F5" s="12" t="s">
        <v>72</v>
      </c>
      <c r="G5" s="8">
        <v>10</v>
      </c>
      <c r="H5" s="12" t="s">
        <v>20</v>
      </c>
      <c r="I5" s="25" t="s">
        <v>78</v>
      </c>
    </row>
    <row r="6" spans="2:9" ht="30">
      <c r="B6" s="14" t="s">
        <v>73</v>
      </c>
      <c r="C6" s="12" t="s">
        <v>16</v>
      </c>
      <c r="D6" s="35" t="s">
        <v>80</v>
      </c>
      <c r="E6" s="8" t="s">
        <v>40</v>
      </c>
      <c r="F6" s="36" t="s">
        <v>72</v>
      </c>
      <c r="G6" s="8">
        <v>15</v>
      </c>
      <c r="H6" s="36" t="s">
        <v>20</v>
      </c>
      <c r="I6" s="25"/>
    </row>
    <row r="7" spans="2:9" ht="30">
      <c r="B7" s="14" t="s">
        <v>73</v>
      </c>
      <c r="C7" s="12" t="s">
        <v>14</v>
      </c>
      <c r="D7" s="35" t="s">
        <v>79</v>
      </c>
      <c r="E7" s="8" t="s">
        <v>40</v>
      </c>
      <c r="F7" s="36" t="s">
        <v>72</v>
      </c>
      <c r="G7" s="8">
        <v>10</v>
      </c>
      <c r="H7" s="36" t="s">
        <v>20</v>
      </c>
      <c r="I7" s="25"/>
    </row>
    <row r="8" spans="2:9" ht="30">
      <c r="B8" s="14" t="s">
        <v>73</v>
      </c>
      <c r="C8" s="12" t="s">
        <v>16</v>
      </c>
      <c r="D8" s="1" t="s">
        <v>81</v>
      </c>
      <c r="E8" s="8" t="s">
        <v>40</v>
      </c>
      <c r="F8" s="26" t="s">
        <v>72</v>
      </c>
      <c r="G8" s="8">
        <v>5</v>
      </c>
      <c r="H8" s="26" t="s">
        <v>20</v>
      </c>
      <c r="I8" s="25" t="s">
        <v>76</v>
      </c>
    </row>
    <row r="9" spans="2:9">
      <c r="B9" s="33"/>
      <c r="C9" s="20"/>
      <c r="D9" s="34"/>
      <c r="E9" s="21"/>
      <c r="F9" s="23" t="s">
        <v>67</v>
      </c>
      <c r="G9" s="30">
        <v>45</v>
      </c>
      <c r="H9" s="31"/>
      <c r="I9" s="32"/>
    </row>
    <row r="10" spans="2:9" ht="16" thickBot="1">
      <c r="B10" s="17"/>
      <c r="C10" s="18"/>
      <c r="D10" s="19"/>
      <c r="E10" s="19"/>
      <c r="F10" s="22" t="s">
        <v>68</v>
      </c>
      <c r="G10" s="27">
        <v>5</v>
      </c>
      <c r="H10" s="28"/>
      <c r="I10" s="29"/>
    </row>
    <row r="11" spans="2:9" ht="16" thickTop="1"/>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216" zoomScaleNormal="216" workbookViewId="0">
      <selection activeCell="H7" sqref="H7"/>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45">
      <c r="B16" s="3" t="s">
        <v>46</v>
      </c>
      <c r="C16" s="11" t="s">
        <v>56</v>
      </c>
      <c r="D16" s="11" t="s">
        <v>56</v>
      </c>
    </row>
    <row r="17" spans="2:4" ht="45">
      <c r="B17" s="3" t="s">
        <v>47</v>
      </c>
      <c r="C17" s="11" t="s">
        <v>56</v>
      </c>
      <c r="D17" s="11" t="s">
        <v>56</v>
      </c>
    </row>
    <row r="18" spans="2:4" ht="45">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2025-06-03T09:41:43Z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