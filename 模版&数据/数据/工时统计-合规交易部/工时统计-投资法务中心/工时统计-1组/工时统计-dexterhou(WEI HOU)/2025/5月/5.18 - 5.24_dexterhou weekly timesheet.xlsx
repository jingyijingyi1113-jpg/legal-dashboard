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4ACA05F-6234-A24F-8D09-8169AE53A07A}" xr6:coauthVersionLast="47" xr6:coauthVersionMax="47" xr10:uidLastSave="{00000000-0000-0000-0000-000000000000}"/>
  <bookViews>
    <workbookView xWindow="0" yWindow="10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<sst xmlns="http://schemas.openxmlformats.org/spreadsheetml/2006/main" count="146" uniqueCount="81">
  <si>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</si>
  <si>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</si>
  <si>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</si>
  <si>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</si>
  <si>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</si>
  <si>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</si>
  <si>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</si>
  <si>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</si>
  <si>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</si>
  <si>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</si>
  <si>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</si>
  <si>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</si>
  <si>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</si>
  <si>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</si>
  <si>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</si>
  <si>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</si>
  <si>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</si>
  <si>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</si>
  <si>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</si>
  <si>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</si>
  <si>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</si>
  <si>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</si>
  <si>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</si>
  <si>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</si>
  <si>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</si>
  <si>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</si>
  <si>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</si>
  <si>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</si>
  <si>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</si>
  <si>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</si>
  <si>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</si>
  <si>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</si>
  <si>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</si>
  <si>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</si>
  <si>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</si>
  <si>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</si>
  <si>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</si>
  <si>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</si>
  <si>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</si>
  <si>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</si>
  <si>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</si>
  <si>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</si>
  <si>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</si>
  <si>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</si>
  <si>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</si>
  <si>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</si>
  <si>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</si>
  <si>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</si>
  <si>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</si>
  <si>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</si>
  <si>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</si>
  <si>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</si>
  <si>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</si>
  <si>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</si>
  <si>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</si>
  <si>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</si>
  <si>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</si>
  <si>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</si>
  <si>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</si>
  <si>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</si>
  <si>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</si>
  <si>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</si>
  <si>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</si>
  <si>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</si>
  <si>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</si>
  <si>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</si>
  <si>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</si>
  <si>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</si>
  <si>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</si>
  <si>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</si>
  <si>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</si>
  <si>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</si>
  <si>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</si>
  <si>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</si>
  <si>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Arrowhead</t>
  </si>
  <si>
    <t>ESOP terms</t>
  </si>
  <si>
    <t>Lucid Entertainment</t>
  </si>
  <si>
    <t>Revision of Earn-out terms</t>
  </si>
  <si>
    <t>TPP - Tenways</t>
  </si>
  <si>
    <t>data transfer agreement</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</si>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</sst>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H13" sqref="H13"/>
    </sheetView>
  </sheetViews>
  <sheetFormatPr baseColWidth="10" defaultColWidth="9" defaultRowHeight="15"/>
  <cols>
    <col min="3" max="3" width="34.33203125" style="13" customWidth="1"/>
    <col min="4" max="4" width="26.5" customWidth="1"/>
    <col min="5" max="5" width="10.6640625" customWidth="1"/>
    <col min="6" max="6" width="29.83203125" style="13" customWidth="1"/>
    <col min="8" max="8" width="41.6640625" style="13" customWidth="1"/>
    <col min="9" max="9" width="39.83203125" customWidth="1"/>
  </cols>
  <sheetData>
    <row r="2" spans="2:9">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30">
      <c r="B4" s="14" t="s">
        <v>73</v>
      </c>
      <c r="C4" s="12" t="s">
        <v>14</v>
      </c>
      <c r="D4" s="24" t="s">
        <v>74</v>
      </c>
      <c r="E4" s="8" t="s">
        <v>40</v>
      </c>
      <c r="F4" s="12" t="s">
        <v>72</v>
      </c>
      <c r="G4" s="8">
        <v>5</v>
      </c>
      <c r="H4" s="12" t="s">
        <v>20</v>
      </c>
      <c r="I4" s="25" t="s">
        <v>75</v>
      </c>
    </row>
    <row r="5" spans="2:9" ht="30">
      <c r="B5" s="14" t="s">
        <v>73</v>
      </c>
      <c r="C5" s="12" t="s">
        <v>14</v>
      </c>
      <c r="D5" s="24" t="s">
        <v>76</v>
      </c>
      <c r="E5" s="8" t="s">
        <v>40</v>
      </c>
      <c r="F5" s="12" t="s">
        <v>72</v>
      </c>
      <c r="G5" s="8">
        <v>5</v>
      </c>
      <c r="H5" s="12" t="s">
        <v>20</v>
      </c>
      <c r="I5" s="25" t="s">
        <v>77</v>
      </c>
    </row>
    <row r="6" spans="2:9" ht="30">
      <c r="B6" s="14" t="s">
        <v>73</v>
      </c>
      <c r="C6" s="12" t="s">
        <v>16</v>
      </c>
      <c r="D6" s="24" t="s">
        <v>74</v>
      </c>
      <c r="E6" s="8" t="s">
        <v>40</v>
      </c>
      <c r="F6" s="12" t="s">
        <v>72</v>
      </c>
      <c r="G6" s="8">
        <v>10</v>
      </c>
      <c r="H6" s="26" t="s">
        <v>20</v>
      </c>
      <c r="I6" s="25" t="s">
        <v>79</v>
      </c>
    </row>
    <row r="7" spans="2:9" ht="30">
      <c r="B7" s="14" t="s">
        <v>73</v>
      </c>
      <c r="C7" s="12" t="s">
        <v>14</v>
      </c>
      <c r="D7" s="1" t="s">
        <v>78</v>
      </c>
      <c r="E7" s="8" t="s">
        <v>40</v>
      </c>
      <c r="F7" s="26" t="s">
        <v>72</v>
      </c>
      <c r="G7" s="8">
        <v>5</v>
      </c>
      <c r="H7" s="26" t="s">
        <v>20</v>
      </c>
      <c r="I7" s="25"/>
    </row>
    <row r="8" spans="2:9" ht="30">
      <c r="B8" s="14" t="s">
        <v>73</v>
      </c>
      <c r="C8" s="12" t="s">
        <v>18</v>
      </c>
      <c r="D8" s="1" t="s">
        <v>78</v>
      </c>
      <c r="E8" s="8" t="s">
        <v>27</v>
      </c>
      <c r="F8" s="26"/>
      <c r="G8" s="8">
        <v>5</v>
      </c>
      <c r="H8" s="26" t="s">
        <v>80</v>
      </c>
      <c r="I8" s="25"/>
    </row>
    <row r="9" spans="2:9">
      <c r="B9" s="27"/>
      <c r="C9" s="20"/>
      <c r="D9" s="28"/>
      <c r="E9" s="21"/>
      <c r="F9" s="23" t="s">
        <v>67</v>
      </c>
      <c r="G9" s="32">
        <v>30</v>
      </c>
      <c r="H9" s="33"/>
      <c r="I9" s="34"/>
    </row>
    <row r="10" spans="2:9" ht="16" thickBot="1">
      <c r="B10" s="17"/>
      <c r="C10" s="18"/>
      <c r="D10" s="19"/>
      <c r="E10" s="19"/>
      <c r="F10" s="22" t="s">
        <v>68</v>
      </c>
      <c r="G10" s="29">
        <v>2</v>
      </c>
      <c r="H10" s="30"/>
      <c r="I10" s="31"/>
    </row>
    <row r="11" spans="2:9" ht="16"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216" zoomScaleNormal="216" workbookViewId="0">
      <selection activeCell="H7" sqref="H7"/>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5"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5">
      <c r="A12" s="1" t="s">
        <v>42</v>
      </c>
      <c r="B12" s="3" t="s">
        <v>43</v>
      </c>
    </row>
    <row r="13" spans="1:8" ht="30">
      <c r="B13" s="3" t="s">
        <v>55</v>
      </c>
      <c r="C13" s="11" t="s">
        <v>56</v>
      </c>
      <c r="D13" s="11" t="s">
        <v>56</v>
      </c>
    </row>
    <row r="14" spans="1:8" ht="30">
      <c r="B14" s="3" t="s">
        <v>44</v>
      </c>
      <c r="C14" s="11" t="s">
        <v>56</v>
      </c>
      <c r="D14" s="11" t="s">
        <v>56</v>
      </c>
    </row>
    <row r="15" spans="1:8" ht="60">
      <c r="B15" s="3" t="s">
        <v>45</v>
      </c>
      <c r="C15" s="11" t="s">
        <v>56</v>
      </c>
      <c r="D15" s="11" t="s">
        <v>56</v>
      </c>
    </row>
    <row r="16" spans="1:8" ht="45">
      <c r="B16" s="3" t="s">
        <v>46</v>
      </c>
      <c r="C16" s="11" t="s">
        <v>56</v>
      </c>
      <c r="D16" s="11" t="s">
        <v>56</v>
      </c>
    </row>
    <row r="17" spans="2:4" ht="45">
      <c r="B17" s="3" t="s">
        <v>47</v>
      </c>
      <c r="C17" s="11" t="s">
        <v>56</v>
      </c>
      <c r="D17" s="11" t="s">
        <v>56</v>
      </c>
    </row>
    <row r="18" spans="2:4" ht="45">
      <c r="B18" s="3" t="s">
        <v>48</v>
      </c>
      <c r="C18" s="11" t="s">
        <v>56</v>
      </c>
      <c r="D18" s="11" t="s">
        <v>56</v>
      </c>
    </row>
    <row r="19" spans="2:4" ht="45">
      <c r="B19" s="3" t="s">
        <v>49</v>
      </c>
      <c r="C19" s="11" t="s">
        <v>56</v>
      </c>
      <c r="D19" s="11" t="s">
        <v>56</v>
      </c>
    </row>
    <row r="20" spans="2:4" ht="45">
      <c r="B20" s="3" t="s">
        <v>63</v>
      </c>
      <c r="C20" s="11" t="s">
        <v>56</v>
      </c>
      <c r="D20" s="11" t="s">
        <v>56</v>
      </c>
    </row>
    <row r="21" spans="2:4" ht="30">
      <c r="B21" s="3" t="s">
        <v>50</v>
      </c>
      <c r="C21" s="11" t="s">
        <v>56</v>
      </c>
      <c r="D21" s="11" t="s">
        <v>56</v>
      </c>
    </row>
    <row r="22" spans="2:4" ht="45">
      <c r="B22" s="3" t="s">
        <v>64</v>
      </c>
      <c r="C22" s="11" t="s">
        <v>56</v>
      </c>
      <c r="D22" s="11" t="s">
        <v>56</v>
      </c>
    </row>
    <row r="23" spans="2:4" ht="45">
      <c r="B23" s="3" t="s">
        <v>65</v>
      </c>
      <c r="C23" s="11"/>
      <c r="D23" s="11"/>
    </row>
    <row r="24" spans="2:4" ht="75">
      <c r="B24" s="3" t="s">
        <v>54</v>
      </c>
      <c r="C24" s="11" t="s">
        <v>56</v>
      </c>
      <c r="D24" s="11" t="s">
        <v>56</v>
      </c>
    </row>
    <row r="25" spans="2:4" ht="45">
      <c r="B25" s="3" t="s">
        <v>51</v>
      </c>
      <c r="C25" s="11" t="s">
        <v>56</v>
      </c>
      <c r="D25" s="11" t="s">
        <v>56</v>
      </c>
    </row>
    <row r="26" spans="2:4" ht="45">
      <c r="B26" s="3" t="s">
        <v>52</v>
      </c>
      <c r="C26" s="11" t="s">
        <v>56</v>
      </c>
      <c r="D26" s="11" t="s">
        <v>56</v>
      </c>
    </row>
    <row r="27" spans="2:4" ht="30">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2025-06-03T09:49:42Z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