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
    </mc:Choice>
  </mc:AlternateContent>
  <xr:revisionPtr revIDLastSave="0" documentId="13_ncr:1_{1CB796E4-A906-412F-A4B9-79244B1F1736}" xr6:coauthVersionLast="47" xr6:coauthVersionMax="47" xr10:uidLastSave="{00000000-0000-0000-0000-000000000000}"/>
  <bookViews>
    <workbookView xWindow="-96" yWindow="-96" windowWidth="18192" windowHeight="1147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0" i="1" l="1"/>
</calcChain>
</file>

<file path=xl/sharedStrings.xml><?xml version="1.0" encoding="utf-8"?>
<sst xmlns="http://schemas.openxmlformats.org/spreadsheetml/2006/main" count="395" uniqueCount="166">
  <si>
    <t>Name</t>
  </si>
  <si>
    <t>Deal/Matter Name</t>
  </si>
  <si>
    <t>OKR/BSC Tag</t>
  </si>
  <si>
    <t>OKR/BSC Item</t>
  </si>
  <si>
    <t>Hours</t>
  </si>
  <si>
    <t>Work Category</t>
  </si>
  <si>
    <t>Narrative (Optional)</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</si>
  <si>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</si>
  <si>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</si>
  <si>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</si>
  <si>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</si>
  <si>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</si>
  <si>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</si>
  <si>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</si>
  <si>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</si>
  <si>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</si>
  <si>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</si>
  <si>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</si>
  <si>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</si>
  <si>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</si>
  <si>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</si>
  <si>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</si>
  <si>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</si>
  <si>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</si>
  <si>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</si>
  <si>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</si>
  <si>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</si>
  <si>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</si>
  <si>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</si>
  <si>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</si>
  <si>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</si>
  <si>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</si>
  <si>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</si>
  <si>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</si>
  <si>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</si>
  <si>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</si>
  <si>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</si>
  <si>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</si>
  <si>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</si>
  <si>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</si>
  <si>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</si>
  <si>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</si>
  <si>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</si>
  <si>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</si>
  <si>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</si>
  <si>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</si>
  <si>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</si>
  <si>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</si>
  <si>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</si>
  <si>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</si>
  <si>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</si>
  <si>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</si>
  <si>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</si>
  <si>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</si>
  <si>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</si>
  <si>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</si>
  <si>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</si>
  <si>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</si>
  <si>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</si>
  <si>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</si>
  <si>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</si>
  <si>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</si>
  <si>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</si>
  <si>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</si>
  <si>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</si>
  <si>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</si>
  <si>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请填入记录人的企微姓名
Please insert your WeCom name</t>
    <phoneticPr fontId="7" type="noConversion"/>
  </si>
  <si>
    <t>ianzhuang</t>
    <phoneticPr fontId="7" type="noConversion"/>
  </si>
  <si>
    <t>投资项目全流程法务支持 Full-process legal support for investments</t>
  </si>
  <si>
    <t>资本市场、投融资活动创新突破 Innovative breakthroughs in investments and capital market transactions</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</si>
  <si>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</si>
  <si>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</si>
  <si>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请相应勾选下拉菜单中的工作类别选项
Please select relevant work category in the drop-down menu</t>
    <phoneticPr fontId="7" type="noConversion"/>
  </si>
  <si>
    <t>自选填写项目：简要描述工作内容
(Optional) Please insert the narrative of your work</t>
    <phoneticPr fontId="7" type="noConversion"/>
  </si>
  <si>
    <t>请输入小时数，精确到小数点后一位
Please insert  respective hours number spent for such work,  accurate to one decimal place</t>
    <phoneticPr fontId="7" type="noConversion"/>
  </si>
  <si>
    <t>ianzhuang</t>
    <phoneticPr fontId="7" type="noConversion"/>
  </si>
  <si>
    <t>Little Freddie</t>
    <phoneticPr fontId="7" type="noConversion"/>
  </si>
  <si>
    <t>世纪华通</t>
    <phoneticPr fontId="7" type="noConversion"/>
  </si>
  <si>
    <t>Robinhood</t>
    <phoneticPr fontId="7" type="noConversion"/>
  </si>
  <si>
    <t>Public - Knowledge Accumulation &amp; Sharing</t>
  </si>
  <si>
    <t>Public - Infrastructure &amp; Guidance</t>
  </si>
  <si>
    <t>AI products</t>
    <phoneticPr fontId="7" type="noConversion"/>
  </si>
  <si>
    <t>ianzhuang</t>
    <phoneticPr fontId="7" type="noConversion"/>
  </si>
  <si>
    <t>世纪华通</t>
    <phoneticPr fontId="7" type="noConversion"/>
  </si>
  <si>
    <t>week 4</t>
    <phoneticPr fontId="7" type="noConversion"/>
  </si>
  <si>
    <t xml:space="preserve">week 1 </t>
    <phoneticPr fontId="7" type="noConversion"/>
  </si>
  <si>
    <t>敏感投资领域投资指引 Guidance for sensitive investment fields</t>
  </si>
  <si>
    <t>Investment Related - M&amp;A Deal</t>
    <phoneticPr fontId="7" type="noConversion"/>
  </si>
  <si>
    <t>智元</t>
    <phoneticPr fontId="7" type="noConversion"/>
  </si>
  <si>
    <t>Internal follow up with huanhuan re latest status in 智元. Touch base on the outstanding issues.</t>
    <phoneticPr fontId="7" type="noConversion"/>
  </si>
  <si>
    <t>Attend CTD mgmt bi-weekly meeting</t>
    <phoneticPr fontId="7" type="noConversion"/>
  </si>
  <si>
    <t>ianzhuang</t>
    <phoneticPr fontId="7" type="noConversion"/>
  </si>
  <si>
    <t>week 3</t>
    <phoneticPr fontId="7" type="noConversion"/>
  </si>
  <si>
    <t>week 2</t>
    <phoneticPr fontId="7" type="noConversion"/>
  </si>
  <si>
    <t>投资项目全流程法务支持 Full-process legal support for investments</t>
    <phoneticPr fontId="7" type="noConversion"/>
  </si>
  <si>
    <t>external discussion with Carlye team re the proposed redemption in Little Freddie. Review and revise the information right and inspection right letter to Little Freddie</t>
    <phoneticPr fontId="7" type="noConversion"/>
  </si>
  <si>
    <t>AI Infra building</t>
    <phoneticPr fontId="7" type="noConversion"/>
  </si>
  <si>
    <t>Establishing/improving IT systems</t>
  </si>
  <si>
    <t>执业管理平台体系完善 Perfection of the professional management platform</t>
  </si>
  <si>
    <t>ianzhuang</t>
    <phoneticPr fontId="7" type="noConversion"/>
  </si>
  <si>
    <t>management bi-weekly meeting</t>
    <phoneticPr fontId="7" type="noConversion"/>
  </si>
  <si>
    <t>Hillbot</t>
    <phoneticPr fontId="7" type="noConversion"/>
  </si>
  <si>
    <t>Ianzhuang</t>
    <phoneticPr fontId="7" type="noConversion"/>
  </si>
  <si>
    <t>海澜之家</t>
    <phoneticPr fontId="7" type="noConversion"/>
  </si>
  <si>
    <t>ianzhuang</t>
    <phoneticPr fontId="7" type="noConversion"/>
  </si>
  <si>
    <t>Recording/reviewing deals updates/weekly time reports/other team summaries</t>
  </si>
  <si>
    <t>update relevant items in BSC table</t>
    <phoneticPr fontId="7" type="noConversion"/>
  </si>
  <si>
    <t>follow up and internal discssion on Hillbot matter, especially the analysis re data rule and reverse CFIUS</t>
    <phoneticPr fontId="7" type="noConversion"/>
  </si>
  <si>
    <t>further review and revise the insider trading policy</t>
    <phoneticPr fontId="7" type="noConversion"/>
  </si>
  <si>
    <t>various potential fintech deals</t>
    <phoneticPr fontId="7" type="noConversion"/>
  </si>
  <si>
    <t>DSP research</t>
    <phoneticPr fontId="7" type="noConversion"/>
  </si>
  <si>
    <t>Providing training sessions/knowledge sharing</t>
  </si>
  <si>
    <t>妈妈网</t>
    <phoneticPr fontId="7" type="noConversion"/>
  </si>
  <si>
    <t>CFIUS</t>
    <phoneticPr fontId="7" type="noConversion"/>
  </si>
  <si>
    <t>ianzhuang</t>
    <phoneticPr fontId="7" type="noConversion"/>
  </si>
  <si>
    <t>AI demo session</t>
    <phoneticPr fontId="7" type="noConversion"/>
  </si>
  <si>
    <t>travel to SZ</t>
    <phoneticPr fontId="7" type="noConversion"/>
  </si>
  <si>
    <t>discussion with new MA team member re this potential redemption apporach. Look into transaction history, and see if any leverage we could use against company.</t>
    <phoneticPr fontId="7" type="noConversion"/>
  </si>
  <si>
    <t>further revise the prompts. Calls with 微盛 team re the proposed AI product R&amp;D project, and revise the step plans and relevant function descriptions</t>
    <phoneticPr fontId="7" type="noConversion"/>
  </si>
  <si>
    <t>internal discussion with Wenna re the CFIUS and DSP analysis for potential fintech deals</t>
    <phoneticPr fontId="7" type="noConversion"/>
  </si>
  <si>
    <t>Redemption Road</t>
    <phoneticPr fontId="7" type="noConversion"/>
  </si>
  <si>
    <t>Drafting/reviewing/negotiating legal documents</t>
    <phoneticPr fontId="7" type="noConversion"/>
  </si>
  <si>
    <t>ianzhuang</t>
    <phoneticPr fontId="7" type="noConversion"/>
  </si>
  <si>
    <t>week 5</t>
    <phoneticPr fontId="7" type="noConversion"/>
  </si>
  <si>
    <t xml:space="preserve">travel to SZ </t>
    <phoneticPr fontId="7" type="noConversion"/>
  </si>
  <si>
    <t>Interacting with regulators</t>
  </si>
  <si>
    <t>inhouse AI function</t>
    <phoneticPr fontId="7" type="noConversion"/>
  </si>
  <si>
    <t>discussion with cooker re next step in terms of engaging the vendor for AI platform</t>
    <phoneticPr fontId="7" type="noConversion"/>
  </si>
  <si>
    <t>DI filing compliance</t>
    <phoneticPr fontId="7" type="noConversion"/>
  </si>
  <si>
    <t>资本市场证券交易全流程合规体系建设 Full-process compliance system  for securities trading in capital markets</t>
  </si>
  <si>
    <t>discussion with Flora, re the inhouse effort of screening DI filing obligations triggered by holding 1/3 or more voting power</t>
    <phoneticPr fontId="7" type="noConversion"/>
  </si>
  <si>
    <t>discussion with Wenna re multiple potential investments, from CFIUS and DSP compliance perspective</t>
    <phoneticPr fontId="7" type="noConversion"/>
  </si>
  <si>
    <t>further improve the AI prompt design, research and meeting with relevant external parties to understand the AI legal market</t>
    <phoneticPr fontId="7" type="noConversion"/>
  </si>
  <si>
    <t>fly to SZ and participate in the meeting with Shenzhen stock exchange officers</t>
    <phoneticPr fontId="7" type="noConversion"/>
  </si>
  <si>
    <t>meeting with officers from Shenzhen stock exchange, to explain the background for the proposed share transfer, and build up arguments of no competition between SJHT and Tencent. Meeting with SJHT comsec team to further discuss the next step</t>
    <phoneticPr fontId="7" type="noConversion"/>
  </si>
  <si>
    <t>智慧星空</t>
    <phoneticPr fontId="7" type="noConversion"/>
  </si>
  <si>
    <t>call with 智元 team re its potential capital market activities, discussion re proposed consortium structure, as well as potential flip down plan for 智元 investors</t>
    <phoneticPr fontId="7" type="noConversion"/>
  </si>
  <si>
    <t>call with 澄明 team to get a sense of recent trend of capital market activities by high tech companies.</t>
    <phoneticPr fontId="7" type="noConversion"/>
  </si>
  <si>
    <t>further improve AI system. Discussion with cooker and 微盛 team re product specifics.</t>
    <phoneticPr fontId="7" type="noConversion"/>
  </si>
  <si>
    <t>discussion with cooker re next step for AI infrastructure. Walk through relevant AI functions for iwiki platform</t>
    <phoneticPr fontId="7" type="noConversion"/>
  </si>
  <si>
    <t>review existing documents of 妈妈网, further analysis to see our leverage against the company. Meeting with MA team to discuss next step</t>
    <phoneticPr fontId="7" type="noConversion"/>
  </si>
  <si>
    <t>call with MA and fin team to align on the negotiation tactics, discussion with Fin team to further understand the relevant costs and etc. schedule call with company founder.</t>
    <phoneticPr fontId="7" type="noConversion"/>
  </si>
  <si>
    <t>internal discussion re 海澜之家 dissolution progress</t>
    <phoneticPr fontId="7" type="noConversion"/>
  </si>
  <si>
    <t>Revolut</t>
    <phoneticPr fontId="7" type="noConversion"/>
  </si>
  <si>
    <t>review and assess the possibility of purchasing secondary shares from a shareholder of Revolut</t>
    <phoneticPr fontId="7" type="noConversion"/>
  </si>
  <si>
    <t>design new structure for purpose of acquiring economic interest in Revolut. Lengthy discussion with CC team and internal MA team. Prepare relevant analysis emails.</t>
    <phoneticPr fontId="7" type="noConversion"/>
  </si>
  <si>
    <t>follow up research on DSP related points, internal discussion to see if any new developments of DSP when applied to investment projects.</t>
    <phoneticPr fontId="7" type="noConversion"/>
  </si>
  <si>
    <t>Tradingview</t>
    <phoneticPr fontId="7" type="noConversion"/>
  </si>
  <si>
    <t>internal discussion re potential investment in Tradingview. Prepare relevant analysis email, and discssion internal and with MA team on the transaction structure.</t>
    <phoneticPr fontId="7" type="noConversion"/>
  </si>
  <si>
    <t>董事培训</t>
    <phoneticPr fontId="7" type="noConversion"/>
  </si>
  <si>
    <t>further revise the PPT for director training, prepare reference notes for the speech</t>
    <phoneticPr fontId="7" type="noConversion"/>
  </si>
  <si>
    <t>discussion and follow up on redemption road</t>
    <phoneticPr fontId="7" type="noConversion"/>
  </si>
  <si>
    <t>prepare the analysis, including 同业竞争, corporate governnance and etc. for the proposed transaction concening shares in SJHT.</t>
    <phoneticPr fontId="7" type="noConversion"/>
  </si>
  <si>
    <t>discussion with 微盛 team and align on the product detials. Prepare internal email accordingly.</t>
    <phoneticPr fontId="7" type="noConversion"/>
  </si>
  <si>
    <t>further review and revise the analysis to be presented to Shenzhen stock exchange. Internal discussion with PA team, and discusion with SJHT team</t>
    <phoneticPr fontId="7" type="noConversion"/>
  </si>
  <si>
    <t xml:space="preserve">prepare next step analysis and align with MA team </t>
    <phoneticPr fontId="7" type="noConversion"/>
  </si>
  <si>
    <t>discussion with Katie re the CFIUS compliance handbook</t>
    <phoneticPr fontId="7" type="noConversion"/>
  </si>
  <si>
    <t>heavy internal discussion re the proposed structure, the potential exposure to SHA breach, and etc. prepare the key terms and illustration to AW team</t>
    <phoneticPr fontId="7" type="noConversion"/>
  </si>
  <si>
    <t>prepare risk assessment for internal discussion and approval. Further discussio  with MA re the proposed revisions to the structure.</t>
    <phoneticPr fontId="7" type="noConversion"/>
  </si>
  <si>
    <t>revise the analysis per SZ stock exchange officer's comments, internal discussions, and further analysis on corporate governance issues.</t>
    <phoneticPr fontId="7" type="noConversion"/>
  </si>
  <si>
    <t>meeting with yueshan, Martin and Wenna and catch up on recent events.</t>
    <phoneticPr fontId="7" type="noConversion"/>
  </si>
  <si>
    <t>internal review Matrix</t>
    <phoneticPr fontId="7" type="noConversion"/>
  </si>
  <si>
    <t>internal discussion re a draft structure for internal CFIUS, DSP review process and assessment matrix</t>
    <phoneticPr fontId="7" type="noConversion"/>
  </si>
  <si>
    <t>travel to SZ, yueshan's secondment at Haiwen</t>
    <phoneticPr fontId="7" type="noConversion"/>
  </si>
  <si>
    <t>travel to Beijing</t>
    <phoneticPr fontId="7" type="noConversion"/>
  </si>
  <si>
    <t>travel to Beijing, discussion with Kelly re her H1 performance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</si>
</sst>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ck">
        <color auto="1"/>
      </left>
      <right/>
      <top style="thin">
        <color auto="1"/>
      </top>
      <bottom style="thin">
        <color auto="1"/>
      </bottom>
      <diagonal/>
    </border>
  </borders>
  <cellStyleXfs count="1">
    <xf numFmtId="0" fontId="0" fillId="0" borderId="0">
      <alignment vertical="center"/>
    </xf>
  </cellStyleXfs>
  <cellXfs count="4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9" xfId="0" applyFont="1" applyBorder="1" applyAlignment="1">
      <alignment horizontal="center" vertical="center"/>
    </xf>
    <xf numFmtId="0" fontId="1" fillId="0" borderId="19" xfId="0" applyFont="1" applyBorder="1" applyAlignment="1">
      <alignment horizontal="center" vertical="center"/>
    </xf>
    <xf numFmtId="0" fontId="1" fillId="0" borderId="19" xfId="0" applyFont="1" applyBorder="1" applyAlignment="1">
      <alignment horizontal="center" vertical="center"/>
    </xf>
    <xf numFmtId="0" fontId="1" fillId="0" borderId="19" xfId="0" applyFont="1" applyBorder="1" applyAlignment="1">
      <alignment horizontal="center"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19" xfId="0" applyFont="1" applyBorder="1" applyAlignment="1">
      <alignment horizontal="center" vertical="center"/>
    </xf>
    <xf numFmtId="0" fontId="1" fillId="0" borderId="18" xfId="0" applyFont="1" applyBorder="1" applyAlignment="1">
      <alignment horizontal="center" vertical="center"/>
    </xf>
    <xf numFmtId="0" fontId="1" fillId="0" borderId="11" xfId="0" applyFont="1" applyBorder="1" applyAlignment="1">
      <alignment horizontal="center" vertical="center"/>
    </xf>
    <xf numFmtId="0" fontId="5" fillId="0" borderId="18" xfId="0" applyFont="1" applyBorder="1" applyAlignment="1">
      <alignment horizontal="center" vertical="center"/>
    </xf>
    <xf numFmtId="0" fontId="5" fillId="0" borderId="11" xfId="0" applyFont="1" applyBorder="1" applyAlignment="1">
      <alignment horizontal="center"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52"/>
  <sheetViews>
    <sheetView tabSelected="1" topLeftCell="D1" zoomScale="96" zoomScaleNormal="100" workbookViewId="0">
      <selection activeCell="G50" sqref="G50:I50"/>
    </sheetView>
  </sheetViews>
  <sheetFormatPr defaultColWidth="9" defaultRowHeight="14.1" x14ac:dyDescent="0.5"/>
  <cols>
    <col min="3" max="3" width="34.3984375" style="15" customWidth="1"/>
    <col min="4" max="4" width="15.09765625" customWidth="1"/>
    <col min="5" max="5" width="10.59765625" customWidth="1"/>
    <col min="6" max="6" width="29.8984375" style="15" customWidth="1"/>
    <col min="8" max="8" width="41.59765625" style="15" customWidth="1"/>
    <col min="9" max="9" width="39.84765625" customWidth="1"/>
  </cols>
  <sheetData>
    <row r="2" spans="2:9" ht="25.2" x14ac:dyDescent="0.5">
      <c r="B2" s="4" t="s">
        <v>0</v>
      </c>
      <c r="C2" s="5" t="s">
        <v>64</v>
      </c>
      <c r="D2" s="5" t="s">
        <v>1</v>
      </c>
      <c r="E2" s="5" t="s">
        <v>2</v>
      </c>
      <c r="F2" s="5" t="s">
        <v>3</v>
      </c>
      <c r="G2" s="5" t="s">
        <v>4</v>
      </c>
      <c r="H2" s="5" t="s">
        <v>5</v>
      </c>
      <c r="I2" s="10" t="s">
        <v>6</v>
      </c>
    </row>
    <row r="3" spans="2:9" ht="207.9" customHeight="1" x14ac:dyDescent="0.5">
      <c r="B3" s="6" t="s">
        <v>66</v>
      </c>
      <c r="C3" s="7" t="s">
        <v>70</v>
      </c>
      <c r="D3" s="7" t="s">
        <v>71</v>
      </c>
      <c r="E3" s="7" t="s">
        <v>53</v>
      </c>
      <c r="F3" s="7" t="s">
        <v>51</v>
      </c>
      <c r="G3" s="7" t="s">
        <v>74</v>
      </c>
      <c r="H3" s="7" t="s">
        <v>72</v>
      </c>
      <c r="I3" s="11" t="s">
        <v>73</v>
      </c>
    </row>
    <row r="4" spans="2:9" ht="22.5" customHeight="1" x14ac:dyDescent="0.5">
      <c r="B4" s="42" t="s">
        <v>85</v>
      </c>
      <c r="C4" s="43"/>
      <c r="D4" s="43"/>
      <c r="E4" s="43"/>
      <c r="F4" s="43"/>
      <c r="G4" s="43"/>
      <c r="H4" s="43"/>
      <c r="I4" s="44"/>
    </row>
    <row r="5" spans="2:9" ht="36.6" customHeight="1" x14ac:dyDescent="0.5">
      <c r="B5" s="32" t="s">
        <v>67</v>
      </c>
      <c r="C5" s="31" t="s">
        <v>80</v>
      </c>
      <c r="D5" s="29" t="s">
        <v>96</v>
      </c>
      <c r="E5" s="9" t="s">
        <v>34</v>
      </c>
      <c r="F5" s="14" t="s">
        <v>98</v>
      </c>
      <c r="G5" s="9">
        <v>7.5</v>
      </c>
      <c r="H5" s="31" t="s">
        <v>97</v>
      </c>
      <c r="I5" s="30" t="s">
        <v>132</v>
      </c>
    </row>
    <row r="6" spans="2:9" ht="22.5" customHeight="1" x14ac:dyDescent="0.5">
      <c r="B6" s="16" t="s">
        <v>67</v>
      </c>
      <c r="C6" s="31" t="s">
        <v>12</v>
      </c>
      <c r="D6" s="29" t="s">
        <v>116</v>
      </c>
      <c r="E6" s="9" t="s">
        <v>34</v>
      </c>
      <c r="F6" s="14" t="s">
        <v>68</v>
      </c>
      <c r="G6" s="9">
        <v>8.5</v>
      </c>
      <c r="H6" s="31" t="s">
        <v>125</v>
      </c>
      <c r="I6" s="30" t="s">
        <v>133</v>
      </c>
    </row>
    <row r="7" spans="2:9" ht="63" x14ac:dyDescent="0.5">
      <c r="B7" s="16" t="s">
        <v>82</v>
      </c>
      <c r="C7" s="31" t="s">
        <v>10</v>
      </c>
      <c r="D7" s="29" t="s">
        <v>83</v>
      </c>
      <c r="E7" s="9" t="s">
        <v>34</v>
      </c>
      <c r="F7" s="14" t="s">
        <v>68</v>
      </c>
      <c r="G7" s="9">
        <v>5.5</v>
      </c>
      <c r="H7" s="31" t="s">
        <v>14</v>
      </c>
      <c r="I7" s="30" t="s">
        <v>134</v>
      </c>
    </row>
    <row r="8" spans="2:9" ht="63.9" customHeight="1" x14ac:dyDescent="0.5">
      <c r="B8" s="16" t="s">
        <v>67</v>
      </c>
      <c r="C8" s="31" t="s">
        <v>80</v>
      </c>
      <c r="D8" s="29" t="s">
        <v>96</v>
      </c>
      <c r="E8" s="9" t="s">
        <v>34</v>
      </c>
      <c r="F8" s="14" t="s">
        <v>98</v>
      </c>
      <c r="G8" s="9">
        <v>2.5</v>
      </c>
      <c r="H8" s="31" t="s">
        <v>97</v>
      </c>
      <c r="I8" s="30" t="s">
        <v>139</v>
      </c>
    </row>
    <row r="9" spans="2:9" ht="25.2" x14ac:dyDescent="0.5">
      <c r="B9" s="16" t="s">
        <v>104</v>
      </c>
      <c r="C9" s="31" t="s">
        <v>8</v>
      </c>
      <c r="D9" s="29" t="s">
        <v>112</v>
      </c>
      <c r="E9" s="9" t="s">
        <v>34</v>
      </c>
      <c r="F9" s="14" t="s">
        <v>68</v>
      </c>
      <c r="G9" s="9">
        <v>1.5</v>
      </c>
      <c r="H9" s="31" t="s">
        <v>105</v>
      </c>
      <c r="I9" s="30" t="s">
        <v>106</v>
      </c>
    </row>
    <row r="10" spans="2:9" ht="25.2" x14ac:dyDescent="0.5">
      <c r="B10" s="16" t="s">
        <v>114</v>
      </c>
      <c r="C10" s="31" t="s">
        <v>12</v>
      </c>
      <c r="D10" s="29" t="s">
        <v>115</v>
      </c>
      <c r="E10" s="9" t="s">
        <v>34</v>
      </c>
      <c r="F10" s="14" t="s">
        <v>98</v>
      </c>
      <c r="G10" s="9">
        <v>4.5</v>
      </c>
      <c r="H10" s="31" t="s">
        <v>97</v>
      </c>
      <c r="I10" s="30" t="s">
        <v>138</v>
      </c>
    </row>
    <row r="11" spans="2:9" x14ac:dyDescent="0.5">
      <c r="B11" s="16" t="s">
        <v>99</v>
      </c>
      <c r="C11" s="31" t="s">
        <v>12</v>
      </c>
      <c r="D11" s="29" t="s">
        <v>100</v>
      </c>
      <c r="E11" s="9" t="s">
        <v>21</v>
      </c>
      <c r="F11" s="14"/>
      <c r="G11" s="9">
        <v>1</v>
      </c>
      <c r="H11" s="31" t="s">
        <v>18</v>
      </c>
      <c r="I11" s="30" t="s">
        <v>90</v>
      </c>
    </row>
    <row r="12" spans="2:9" ht="37.799999999999997" x14ac:dyDescent="0.5">
      <c r="B12" s="16" t="s">
        <v>67</v>
      </c>
      <c r="C12" s="31" t="s">
        <v>10</v>
      </c>
      <c r="D12" s="29" t="s">
        <v>88</v>
      </c>
      <c r="E12" s="9" t="s">
        <v>34</v>
      </c>
      <c r="F12" s="14" t="s">
        <v>68</v>
      </c>
      <c r="G12" s="9">
        <v>4.5</v>
      </c>
      <c r="H12" s="31" t="s">
        <v>22</v>
      </c>
      <c r="I12" s="30" t="s">
        <v>136</v>
      </c>
    </row>
    <row r="13" spans="2:9" ht="37.799999999999997" x14ac:dyDescent="0.5">
      <c r="B13" s="16" t="s">
        <v>67</v>
      </c>
      <c r="C13" s="31" t="s">
        <v>10</v>
      </c>
      <c r="D13" s="29" t="s">
        <v>112</v>
      </c>
      <c r="E13" s="9" t="s">
        <v>34</v>
      </c>
      <c r="F13" s="14" t="s">
        <v>68</v>
      </c>
      <c r="G13" s="9">
        <v>7.5</v>
      </c>
      <c r="H13" s="31" t="s">
        <v>14</v>
      </c>
      <c r="I13" s="30" t="s">
        <v>140</v>
      </c>
    </row>
    <row r="14" spans="2:9" ht="25.2" x14ac:dyDescent="0.5">
      <c r="B14" s="16" t="s">
        <v>67</v>
      </c>
      <c r="C14" s="31" t="s">
        <v>10</v>
      </c>
      <c r="D14" s="29" t="s">
        <v>135</v>
      </c>
      <c r="E14" s="9" t="s">
        <v>34</v>
      </c>
      <c r="F14" s="14" t="s">
        <v>68</v>
      </c>
      <c r="G14" s="9">
        <v>1.5</v>
      </c>
      <c r="H14" s="31" t="s">
        <v>22</v>
      </c>
      <c r="I14" s="30" t="s">
        <v>137</v>
      </c>
    </row>
    <row r="15" spans="2:9" x14ac:dyDescent="0.5">
      <c r="B15" s="42" t="s">
        <v>93</v>
      </c>
      <c r="C15" s="43"/>
      <c r="D15" s="43"/>
      <c r="E15" s="43"/>
      <c r="F15" s="43"/>
      <c r="G15" s="43"/>
      <c r="H15" s="43"/>
      <c r="I15" s="44"/>
    </row>
    <row r="16" spans="2:9" ht="51.9" customHeight="1" x14ac:dyDescent="0.5">
      <c r="B16" s="16" t="s">
        <v>67</v>
      </c>
      <c r="C16" s="31" t="s">
        <v>87</v>
      </c>
      <c r="D16" s="29" t="s">
        <v>76</v>
      </c>
      <c r="E16" s="9" t="s">
        <v>34</v>
      </c>
      <c r="F16" s="31" t="s">
        <v>94</v>
      </c>
      <c r="G16" s="29">
        <v>4.5</v>
      </c>
      <c r="H16" s="31" t="s">
        <v>14</v>
      </c>
      <c r="I16" s="30" t="s">
        <v>141</v>
      </c>
    </row>
    <row r="17" spans="2:9" ht="25.2" x14ac:dyDescent="0.5">
      <c r="B17" s="16" t="s">
        <v>99</v>
      </c>
      <c r="C17" s="31" t="s">
        <v>8</v>
      </c>
      <c r="D17" s="29" t="s">
        <v>101</v>
      </c>
      <c r="E17" s="9" t="s">
        <v>34</v>
      </c>
      <c r="F17" s="31" t="s">
        <v>68</v>
      </c>
      <c r="G17" s="29">
        <v>0.5</v>
      </c>
      <c r="H17" s="31" t="s">
        <v>14</v>
      </c>
      <c r="I17" s="30" t="s">
        <v>107</v>
      </c>
    </row>
    <row r="18" spans="2:9" ht="25.2" x14ac:dyDescent="0.5">
      <c r="B18" s="16" t="s">
        <v>102</v>
      </c>
      <c r="C18" s="31" t="s">
        <v>8</v>
      </c>
      <c r="D18" s="29" t="s">
        <v>103</v>
      </c>
      <c r="E18" s="9" t="s">
        <v>34</v>
      </c>
      <c r="F18" s="31" t="s">
        <v>68</v>
      </c>
      <c r="G18" s="29">
        <v>0.5</v>
      </c>
      <c r="H18" s="31" t="s">
        <v>14</v>
      </c>
      <c r="I18" s="30" t="s">
        <v>142</v>
      </c>
    </row>
    <row r="19" spans="2:9" ht="50.4" x14ac:dyDescent="0.5">
      <c r="B19" s="16" t="s">
        <v>102</v>
      </c>
      <c r="C19" s="31" t="s">
        <v>8</v>
      </c>
      <c r="D19" s="29" t="s">
        <v>143</v>
      </c>
      <c r="E19" s="9" t="s">
        <v>34</v>
      </c>
      <c r="F19" s="31" t="s">
        <v>69</v>
      </c>
      <c r="G19" s="29">
        <v>8.5</v>
      </c>
      <c r="H19" s="31" t="s">
        <v>14</v>
      </c>
      <c r="I19" s="30" t="s">
        <v>145</v>
      </c>
    </row>
    <row r="20" spans="2:9" ht="25.2" x14ac:dyDescent="0.5">
      <c r="B20" s="16" t="s">
        <v>104</v>
      </c>
      <c r="C20" s="31" t="s">
        <v>8</v>
      </c>
      <c r="D20" s="29" t="s">
        <v>143</v>
      </c>
      <c r="E20" s="9" t="s">
        <v>34</v>
      </c>
      <c r="F20" s="31" t="s">
        <v>68</v>
      </c>
      <c r="G20" s="29">
        <v>6.5</v>
      </c>
      <c r="H20" s="31" t="s">
        <v>14</v>
      </c>
      <c r="I20" s="30" t="s">
        <v>144</v>
      </c>
    </row>
    <row r="21" spans="2:9" ht="37.799999999999997" x14ac:dyDescent="0.5">
      <c r="B21" s="16" t="s">
        <v>104</v>
      </c>
      <c r="C21" s="31" t="s">
        <v>79</v>
      </c>
      <c r="D21" s="29" t="s">
        <v>110</v>
      </c>
      <c r="E21" s="9" t="s">
        <v>34</v>
      </c>
      <c r="F21" s="31" t="s">
        <v>86</v>
      </c>
      <c r="G21" s="29">
        <v>8.5</v>
      </c>
      <c r="H21" s="31" t="s">
        <v>111</v>
      </c>
      <c r="I21" s="30" t="s">
        <v>146</v>
      </c>
    </row>
    <row r="22" spans="2:9" ht="50.4" x14ac:dyDescent="0.5">
      <c r="B22" s="16" t="s">
        <v>67</v>
      </c>
      <c r="C22" s="31" t="s">
        <v>8</v>
      </c>
      <c r="D22" s="29" t="s">
        <v>147</v>
      </c>
      <c r="E22" s="9" t="s">
        <v>34</v>
      </c>
      <c r="F22" s="31" t="s">
        <v>69</v>
      </c>
      <c r="G22" s="29">
        <v>8.5</v>
      </c>
      <c r="H22" s="31" t="s">
        <v>14</v>
      </c>
      <c r="I22" s="30" t="s">
        <v>148</v>
      </c>
    </row>
    <row r="23" spans="2:9" ht="25.2" x14ac:dyDescent="0.5">
      <c r="B23" s="16" t="s">
        <v>67</v>
      </c>
      <c r="C23" s="31" t="s">
        <v>79</v>
      </c>
      <c r="D23" s="29" t="s">
        <v>149</v>
      </c>
      <c r="E23" s="9" t="s">
        <v>34</v>
      </c>
      <c r="F23" s="31" t="s">
        <v>68</v>
      </c>
      <c r="G23" s="29">
        <v>6.5</v>
      </c>
      <c r="H23" s="31" t="s">
        <v>111</v>
      </c>
      <c r="I23" s="30" t="s">
        <v>150</v>
      </c>
    </row>
    <row r="24" spans="2:9" ht="25.2" x14ac:dyDescent="0.5">
      <c r="B24" s="16" t="s">
        <v>67</v>
      </c>
      <c r="C24" s="31" t="s">
        <v>87</v>
      </c>
      <c r="D24" s="29" t="s">
        <v>88</v>
      </c>
      <c r="E24" s="9" t="s">
        <v>34</v>
      </c>
      <c r="F24" s="14" t="s">
        <v>68</v>
      </c>
      <c r="G24" s="9">
        <v>0.5</v>
      </c>
      <c r="H24" s="31" t="s">
        <v>14</v>
      </c>
      <c r="I24" s="30" t="s">
        <v>89</v>
      </c>
    </row>
    <row r="25" spans="2:9" x14ac:dyDescent="0.5">
      <c r="B25" s="42" t="s">
        <v>92</v>
      </c>
      <c r="C25" s="43"/>
      <c r="D25" s="43"/>
      <c r="E25" s="43"/>
      <c r="F25" s="43"/>
      <c r="G25" s="43"/>
      <c r="H25" s="43"/>
      <c r="I25" s="44"/>
    </row>
    <row r="26" spans="2:9" ht="50.4" x14ac:dyDescent="0.5">
      <c r="B26" s="33" t="s">
        <v>91</v>
      </c>
      <c r="C26" s="31" t="s">
        <v>8</v>
      </c>
      <c r="D26" s="29" t="s">
        <v>76</v>
      </c>
      <c r="E26" s="9" t="s">
        <v>34</v>
      </c>
      <c r="F26" s="14" t="s">
        <v>68</v>
      </c>
      <c r="G26" s="9">
        <v>4.5</v>
      </c>
      <c r="H26" s="31" t="s">
        <v>121</v>
      </c>
      <c r="I26" s="30" t="s">
        <v>95</v>
      </c>
    </row>
    <row r="27" spans="2:9" ht="25.2" x14ac:dyDescent="0.5">
      <c r="B27" s="35" t="s">
        <v>114</v>
      </c>
      <c r="C27" s="31" t="s">
        <v>8</v>
      </c>
      <c r="D27" s="29" t="s">
        <v>120</v>
      </c>
      <c r="E27" s="9" t="s">
        <v>34</v>
      </c>
      <c r="F27" s="14" t="s">
        <v>68</v>
      </c>
      <c r="G27" s="9">
        <v>1.5</v>
      </c>
      <c r="H27" s="31" t="s">
        <v>14</v>
      </c>
      <c r="I27" s="30" t="s">
        <v>151</v>
      </c>
    </row>
    <row r="28" spans="2:9" ht="37.799999999999997" x14ac:dyDescent="0.5">
      <c r="B28" s="33" t="s">
        <v>67</v>
      </c>
      <c r="C28" s="31" t="s">
        <v>87</v>
      </c>
      <c r="D28" s="29" t="s">
        <v>77</v>
      </c>
      <c r="E28" s="9" t="s">
        <v>34</v>
      </c>
      <c r="F28" s="14" t="s">
        <v>68</v>
      </c>
      <c r="G28" s="9">
        <v>15.5</v>
      </c>
      <c r="H28" s="31" t="s">
        <v>14</v>
      </c>
      <c r="I28" s="30" t="s">
        <v>152</v>
      </c>
    </row>
    <row r="29" spans="2:9" ht="25.2" x14ac:dyDescent="0.5">
      <c r="B29" s="34" t="s">
        <v>67</v>
      </c>
      <c r="C29" s="31" t="s">
        <v>80</v>
      </c>
      <c r="D29" s="29" t="s">
        <v>81</v>
      </c>
      <c r="E29" s="9" t="s">
        <v>34</v>
      </c>
      <c r="F29" s="14" t="s">
        <v>68</v>
      </c>
      <c r="G29" s="9">
        <v>5.5</v>
      </c>
      <c r="H29" s="31" t="s">
        <v>21</v>
      </c>
      <c r="I29" s="30" t="s">
        <v>153</v>
      </c>
    </row>
    <row r="30" spans="2:9" ht="44.7" customHeight="1" x14ac:dyDescent="0.5">
      <c r="B30" s="16" t="s">
        <v>104</v>
      </c>
      <c r="C30" s="31" t="s">
        <v>8</v>
      </c>
      <c r="D30" s="29" t="s">
        <v>112</v>
      </c>
      <c r="E30" s="9" t="s">
        <v>34</v>
      </c>
      <c r="F30" s="14" t="s">
        <v>68</v>
      </c>
      <c r="G30" s="9">
        <v>3.5</v>
      </c>
      <c r="H30" s="31" t="s">
        <v>22</v>
      </c>
      <c r="I30" s="30" t="s">
        <v>117</v>
      </c>
    </row>
    <row r="31" spans="2:9" x14ac:dyDescent="0.5">
      <c r="B31" s="42" t="s">
        <v>84</v>
      </c>
      <c r="C31" s="43"/>
      <c r="D31" s="43"/>
      <c r="E31" s="43"/>
      <c r="F31" s="43"/>
      <c r="G31" s="43"/>
      <c r="H31" s="43"/>
      <c r="I31" s="44"/>
    </row>
    <row r="32" spans="2:9" ht="25.2" x14ac:dyDescent="0.5">
      <c r="B32" s="16" t="s">
        <v>75</v>
      </c>
      <c r="C32" s="31" t="s">
        <v>8</v>
      </c>
      <c r="D32" s="29" t="s">
        <v>76</v>
      </c>
      <c r="E32" s="9" t="s">
        <v>34</v>
      </c>
      <c r="F32" s="14" t="s">
        <v>68</v>
      </c>
      <c r="G32" s="9">
        <v>2</v>
      </c>
      <c r="H32" s="31" t="s">
        <v>14</v>
      </c>
      <c r="I32" s="30" t="s">
        <v>155</v>
      </c>
    </row>
    <row r="33" spans="2:9" ht="69.3" customHeight="1" x14ac:dyDescent="0.5">
      <c r="B33" s="16" t="s">
        <v>75</v>
      </c>
      <c r="C33" s="14" t="s">
        <v>8</v>
      </c>
      <c r="D33" s="29" t="s">
        <v>77</v>
      </c>
      <c r="E33" s="9" t="s">
        <v>34</v>
      </c>
      <c r="F33" s="14" t="s">
        <v>68</v>
      </c>
      <c r="G33" s="9">
        <v>11.5</v>
      </c>
      <c r="H33" s="14" t="s">
        <v>14</v>
      </c>
      <c r="I33" s="30" t="s">
        <v>154</v>
      </c>
    </row>
    <row r="34" spans="2:9" ht="37.799999999999997" x14ac:dyDescent="0.5">
      <c r="B34" s="16" t="s">
        <v>75</v>
      </c>
      <c r="C34" s="14" t="s">
        <v>8</v>
      </c>
      <c r="D34" s="31" t="s">
        <v>78</v>
      </c>
      <c r="E34" s="9" t="s">
        <v>34</v>
      </c>
      <c r="F34" s="14" t="s">
        <v>69</v>
      </c>
      <c r="G34" s="9">
        <v>1.5</v>
      </c>
      <c r="H34" s="14" t="s">
        <v>14</v>
      </c>
      <c r="I34" s="30" t="s">
        <v>108</v>
      </c>
    </row>
    <row r="35" spans="2:9" ht="25.2" x14ac:dyDescent="0.5">
      <c r="B35" s="16" t="s">
        <v>104</v>
      </c>
      <c r="C35" s="14" t="s">
        <v>8</v>
      </c>
      <c r="D35" s="29" t="s">
        <v>109</v>
      </c>
      <c r="E35" s="9" t="s">
        <v>34</v>
      </c>
      <c r="F35" s="14" t="s">
        <v>86</v>
      </c>
      <c r="G35" s="9">
        <v>1.5</v>
      </c>
      <c r="H35" s="14" t="s">
        <v>22</v>
      </c>
      <c r="I35" s="30" t="s">
        <v>119</v>
      </c>
    </row>
    <row r="36" spans="2:9" ht="25.2" x14ac:dyDescent="0.5">
      <c r="B36" s="16" t="s">
        <v>104</v>
      </c>
      <c r="C36" s="14" t="s">
        <v>79</v>
      </c>
      <c r="D36" s="29" t="s">
        <v>113</v>
      </c>
      <c r="E36" s="9" t="s">
        <v>34</v>
      </c>
      <c r="F36" s="14" t="s">
        <v>68</v>
      </c>
      <c r="G36" s="9">
        <v>1.5</v>
      </c>
      <c r="H36" s="14" t="s">
        <v>17</v>
      </c>
      <c r="I36" s="30" t="s">
        <v>156</v>
      </c>
    </row>
    <row r="37" spans="2:9" ht="37.799999999999997" x14ac:dyDescent="0.5">
      <c r="B37" s="16" t="s">
        <v>104</v>
      </c>
      <c r="C37" s="31" t="s">
        <v>80</v>
      </c>
      <c r="D37" s="29" t="s">
        <v>81</v>
      </c>
      <c r="E37" s="9" t="s">
        <v>34</v>
      </c>
      <c r="F37" s="14" t="s">
        <v>98</v>
      </c>
      <c r="G37" s="9">
        <v>3.5</v>
      </c>
      <c r="H37" s="31" t="s">
        <v>97</v>
      </c>
      <c r="I37" s="30" t="s">
        <v>118</v>
      </c>
    </row>
    <row r="38" spans="2:9" ht="37.799999999999997" x14ac:dyDescent="0.5">
      <c r="B38" s="16" t="s">
        <v>67</v>
      </c>
      <c r="C38" s="31" t="s">
        <v>8</v>
      </c>
      <c r="D38" s="29" t="s">
        <v>147</v>
      </c>
      <c r="E38" s="9" t="s">
        <v>34</v>
      </c>
      <c r="F38" s="14" t="s">
        <v>69</v>
      </c>
      <c r="G38" s="9">
        <v>5.5</v>
      </c>
      <c r="H38" s="31" t="s">
        <v>14</v>
      </c>
      <c r="I38" s="30" t="s">
        <v>158</v>
      </c>
    </row>
    <row r="39" spans="2:9" x14ac:dyDescent="0.5">
      <c r="B39" s="16" t="s">
        <v>67</v>
      </c>
      <c r="C39" s="31" t="s">
        <v>12</v>
      </c>
      <c r="D39" s="29" t="s">
        <v>116</v>
      </c>
      <c r="E39" s="9" t="s">
        <v>21</v>
      </c>
      <c r="F39" s="14"/>
      <c r="G39" s="9">
        <v>8.5</v>
      </c>
      <c r="H39" s="31" t="s">
        <v>21</v>
      </c>
      <c r="I39" s="30" t="s">
        <v>163</v>
      </c>
    </row>
    <row r="40" spans="2:9" ht="37.799999999999997" x14ac:dyDescent="0.5">
      <c r="B40" s="16" t="s">
        <v>122</v>
      </c>
      <c r="C40" s="14" t="s">
        <v>8</v>
      </c>
      <c r="D40" s="29" t="s">
        <v>143</v>
      </c>
      <c r="E40" s="9" t="s">
        <v>34</v>
      </c>
      <c r="F40" s="14" t="s">
        <v>69</v>
      </c>
      <c r="G40" s="9">
        <v>9.5</v>
      </c>
      <c r="H40" s="14" t="s">
        <v>14</v>
      </c>
      <c r="I40" s="30" t="s">
        <v>157</v>
      </c>
    </row>
    <row r="41" spans="2:9" x14ac:dyDescent="0.5">
      <c r="B41" s="42" t="s">
        <v>123</v>
      </c>
      <c r="C41" s="45"/>
      <c r="D41" s="45"/>
      <c r="E41" s="45"/>
      <c r="F41" s="45"/>
      <c r="G41" s="45"/>
      <c r="H41" s="45"/>
      <c r="I41" s="46"/>
    </row>
    <row r="42" spans="2:9" ht="37.799999999999997" x14ac:dyDescent="0.5">
      <c r="B42" s="16" t="s">
        <v>67</v>
      </c>
      <c r="C42" s="14" t="s">
        <v>8</v>
      </c>
      <c r="D42" s="29" t="s">
        <v>77</v>
      </c>
      <c r="E42" s="9" t="s">
        <v>34</v>
      </c>
      <c r="F42" s="14" t="s">
        <v>68</v>
      </c>
      <c r="G42" s="9">
        <v>13.5</v>
      </c>
      <c r="H42" s="14" t="s">
        <v>14</v>
      </c>
      <c r="I42" s="30" t="s">
        <v>159</v>
      </c>
    </row>
    <row r="43" spans="2:9" ht="21" customHeight="1" x14ac:dyDescent="0.5">
      <c r="B43" s="16" t="s">
        <v>67</v>
      </c>
      <c r="C43" s="14" t="s">
        <v>12</v>
      </c>
      <c r="D43" s="29" t="s">
        <v>124</v>
      </c>
      <c r="E43" s="9" t="s">
        <v>21</v>
      </c>
      <c r="F43" s="14"/>
      <c r="G43" s="9">
        <v>2.5</v>
      </c>
      <c r="H43" s="14" t="s">
        <v>18</v>
      </c>
      <c r="I43" s="30" t="s">
        <v>160</v>
      </c>
    </row>
    <row r="44" spans="2:9" ht="25.2" x14ac:dyDescent="0.5">
      <c r="B44" s="16" t="s">
        <v>67</v>
      </c>
      <c r="C44" s="14" t="s">
        <v>80</v>
      </c>
      <c r="D44" s="29" t="s">
        <v>126</v>
      </c>
      <c r="E44" s="9" t="s">
        <v>34</v>
      </c>
      <c r="F44" s="14" t="s">
        <v>98</v>
      </c>
      <c r="G44" s="9">
        <v>1.5</v>
      </c>
      <c r="H44" s="14" t="s">
        <v>97</v>
      </c>
      <c r="I44" s="30" t="s">
        <v>127</v>
      </c>
    </row>
    <row r="45" spans="2:9" ht="37.799999999999997" x14ac:dyDescent="0.5">
      <c r="B45" s="16" t="s">
        <v>67</v>
      </c>
      <c r="C45" s="14" t="s">
        <v>10</v>
      </c>
      <c r="D45" s="29" t="s">
        <v>128</v>
      </c>
      <c r="E45" s="9" t="s">
        <v>34</v>
      </c>
      <c r="F45" s="14" t="s">
        <v>129</v>
      </c>
      <c r="G45" s="9">
        <v>2.5</v>
      </c>
      <c r="H45" s="14" t="s">
        <v>21</v>
      </c>
      <c r="I45" s="30" t="s">
        <v>130</v>
      </c>
    </row>
    <row r="46" spans="2:9" ht="37.799999999999997" x14ac:dyDescent="0.5">
      <c r="B46" s="16" t="s">
        <v>67</v>
      </c>
      <c r="C46" s="14" t="s">
        <v>8</v>
      </c>
      <c r="D46" s="29" t="s">
        <v>109</v>
      </c>
      <c r="E46" s="9" t="s">
        <v>34</v>
      </c>
      <c r="F46" s="14" t="s">
        <v>86</v>
      </c>
      <c r="G46" s="9">
        <v>1.5</v>
      </c>
      <c r="H46" s="14" t="s">
        <v>22</v>
      </c>
      <c r="I46" s="30" t="s">
        <v>131</v>
      </c>
    </row>
    <row r="47" spans="2:9" ht="25.2" x14ac:dyDescent="0.5">
      <c r="B47" s="16" t="s">
        <v>67</v>
      </c>
      <c r="C47" s="14" t="s">
        <v>12</v>
      </c>
      <c r="D47" s="29" t="s">
        <v>164</v>
      </c>
      <c r="E47" s="9" t="s">
        <v>21</v>
      </c>
      <c r="F47" s="14"/>
      <c r="G47" s="9">
        <v>10.5</v>
      </c>
      <c r="H47" s="14" t="s">
        <v>21</v>
      </c>
      <c r="I47" s="30" t="s">
        <v>165</v>
      </c>
    </row>
    <row r="48" spans="2:9" ht="25.2" x14ac:dyDescent="0.5">
      <c r="B48" s="16" t="s">
        <v>67</v>
      </c>
      <c r="C48" s="14" t="s">
        <v>80</v>
      </c>
      <c r="D48" s="29" t="s">
        <v>161</v>
      </c>
      <c r="E48" s="9" t="s">
        <v>34</v>
      </c>
      <c r="F48" s="14" t="s">
        <v>86</v>
      </c>
      <c r="G48" s="9">
        <v>7.5</v>
      </c>
      <c r="H48" s="14" t="s">
        <v>111</v>
      </c>
      <c r="I48" s="30" t="s">
        <v>162</v>
      </c>
    </row>
    <row r="49" spans="2:9" x14ac:dyDescent="0.5">
      <c r="B49" s="8"/>
      <c r="C49" s="14"/>
      <c r="D49" s="9"/>
      <c r="E49" s="9"/>
      <c r="F49" s="14"/>
      <c r="G49" s="9"/>
      <c r="H49" s="14"/>
      <c r="I49" s="12"/>
    </row>
    <row r="50" spans="2:9" x14ac:dyDescent="0.5">
      <c r="B50" s="24"/>
      <c r="C50" s="25"/>
      <c r="D50" s="26"/>
      <c r="E50" s="26"/>
      <c r="F50" s="28" t="s">
        <v>61</v>
      </c>
      <c r="G50" s="39">
        <f>SUM(G3:G49)</f>
        <v>204</v>
      </c>
      <c r="H50" s="40"/>
      <c r="I50" s="41"/>
    </row>
    <row r="51" spans="2:9" ht="14.4" thickBot="1" x14ac:dyDescent="0.55000000000000004">
      <c r="B51" s="20"/>
      <c r="C51" s="21"/>
      <c r="D51" s="22"/>
      <c r="E51" s="22"/>
      <c r="F51" s="27" t="s">
        <v>62</v>
      </c>
      <c r="G51" s="36"/>
      <c r="H51" s="37"/>
      <c r="I51" s="38"/>
    </row>
    <row r="52" spans="2:9" ht="14.4" thickTop="1" x14ac:dyDescent="0.5"/>
  </sheetData>
  <mergeCells count="7">
    <mergeCell ref="G51:I51"/>
    <mergeCell ref="G50:I50"/>
    <mergeCell ref="B31:I31"/>
    <mergeCell ref="B4:I4"/>
    <mergeCell ref="B15:I15"/>
    <mergeCell ref="B25:I25"/>
    <mergeCell ref="B41:I41"/>
  </mergeCells>
  <phoneticPr fontId="7" type="noConversion"/>
  <dataValidations count="2">
    <dataValidation type="list" allowBlank="1" showInputMessage="1" showErrorMessage="1" sqref="F5:F14 F16:F24 F26:F30 F32:F40 F42:F49" xr:uid="{53DFE149-253D-48DF-8A9B-0D7DDD203965}">
      <formula1>INDIRECT(E5)</formula1>
    </dataValidation>
    <dataValidation type="list" allowBlank="1" showInputMessage="1" showErrorMessage="1" sqref="H5:H14 H16:H24 H26:H30 H32:H40 H42:H49" xr:uid="{D986E9F5-8000-4AA3-84D3-1D5159CA6065}">
      <formula1>hh</formula1>
    </dataValidation>
  </dataValidations>
  <pageMargins left="0.7" right="0.7" top="0.75" bottom="0.75" header="0.3" footer="0.3"/>
  <pageSetup paperSize="8" orientation="landscape"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C31D7706-183F-4320-A552-5C4D4B899F57}">
          <x14:formula1>
            <xm:f>数据标签!$B$11:$D$11</xm:f>
          </x14:formula1>
          <xm:sqref>E5:E14 E16:E24 E26:E30 E32:E40 E42:E51</xm:sqref>
        </x14:dataValidation>
        <x14:dataValidation type="list" allowBlank="1" showInputMessage="1" showErrorMessage="1" xr:uid="{3C5F29E6-8D47-4064-AB82-3A2353E1739F}">
          <x14:formula1>
            <xm:f>数据标签!$B$2:$H$2</xm:f>
          </x14:formula1>
          <xm:sqref>C5:C14 C16:C24 C26:C30 C32:C40 C42:C51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7</v>
      </c>
      <c r="B2" s="3" t="s">
        <v>8</v>
      </c>
      <c r="C2" s="3" t="s">
        <v>9</v>
      </c>
      <c r="D2" s="3" t="s">
        <v>10</v>
      </c>
      <c r="E2" s="3" t="s">
        <v>11</v>
      </c>
      <c r="F2" s="3" t="s">
        <v>63</v>
      </c>
      <c r="G2" s="3" t="s">
        <v>54</v>
      </c>
      <c r="H2" s="3" t="s">
        <v>12</v>
      </c>
    </row>
    <row r="3" spans="1:8" ht="25.2" x14ac:dyDescent="0.5">
      <c r="A3" s="2" t="s">
        <v>13</v>
      </c>
      <c r="B3" s="3" t="s">
        <v>14</v>
      </c>
      <c r="C3" s="3" t="s">
        <v>14</v>
      </c>
      <c r="D3" s="3" t="s">
        <v>14</v>
      </c>
      <c r="E3" s="3" t="s">
        <v>15</v>
      </c>
      <c r="F3" s="3" t="s">
        <v>16</v>
      </c>
      <c r="G3" s="3" t="s">
        <v>17</v>
      </c>
      <c r="H3" s="3" t="s">
        <v>18</v>
      </c>
    </row>
    <row r="4" spans="1:8" ht="37.799999999999997" x14ac:dyDescent="0.5">
      <c r="B4" s="3" t="s">
        <v>19</v>
      </c>
      <c r="C4" s="3" t="s">
        <v>19</v>
      </c>
      <c r="D4" s="3" t="s">
        <v>19</v>
      </c>
      <c r="E4" s="3" t="s">
        <v>20</v>
      </c>
      <c r="F4" s="17" t="s">
        <v>56</v>
      </c>
      <c r="G4" s="3" t="s">
        <v>52</v>
      </c>
      <c r="H4" s="3" t="s">
        <v>55</v>
      </c>
    </row>
    <row r="5" spans="1:8" x14ac:dyDescent="0.5">
      <c r="B5" s="3" t="s">
        <v>22</v>
      </c>
      <c r="C5" s="3" t="s">
        <v>22</v>
      </c>
      <c r="D5" s="3" t="s">
        <v>22</v>
      </c>
      <c r="E5" s="3" t="s">
        <v>23</v>
      </c>
      <c r="F5" s="1" t="s">
        <v>21</v>
      </c>
      <c r="G5" s="3" t="s">
        <v>24</v>
      </c>
      <c r="H5" s="3" t="s">
        <v>25</v>
      </c>
    </row>
    <row r="6" spans="1:8" ht="25.2" x14ac:dyDescent="0.5">
      <c r="B6" s="3" t="s">
        <v>26</v>
      </c>
      <c r="C6" s="3" t="s">
        <v>26</v>
      </c>
      <c r="D6" s="3" t="s">
        <v>26</v>
      </c>
      <c r="E6" s="3" t="s">
        <v>27</v>
      </c>
      <c r="G6" s="3" t="s">
        <v>28</v>
      </c>
      <c r="H6" s="3" t="s">
        <v>29</v>
      </c>
    </row>
    <row r="7" spans="1:8" ht="37.799999999999997" x14ac:dyDescent="0.5">
      <c r="B7" s="3" t="s">
        <v>30</v>
      </c>
      <c r="C7" s="3" t="s">
        <v>30</v>
      </c>
      <c r="D7" s="3" t="s">
        <v>30</v>
      </c>
      <c r="E7" s="3" t="s">
        <v>31</v>
      </c>
      <c r="G7" s="1" t="s">
        <v>21</v>
      </c>
      <c r="H7" s="3" t="s">
        <v>32</v>
      </c>
    </row>
    <row r="8" spans="1:8" x14ac:dyDescent="0.5">
      <c r="B8" s="1" t="s">
        <v>21</v>
      </c>
      <c r="C8" s="1" t="s">
        <v>21</v>
      </c>
      <c r="D8" s="1" t="s">
        <v>21</v>
      </c>
      <c r="E8" s="18"/>
      <c r="F8" s="17"/>
      <c r="G8" s="18"/>
      <c r="H8" s="23" t="s">
        <v>65</v>
      </c>
    </row>
    <row r="9" spans="1:8" x14ac:dyDescent="0.5">
      <c r="C9" s="18"/>
      <c r="D9" s="18"/>
      <c r="H9" s="1" t="s">
        <v>60</v>
      </c>
    </row>
    <row r="11" spans="1:8" x14ac:dyDescent="0.5">
      <c r="A11" s="1" t="s">
        <v>33</v>
      </c>
      <c r="B11" s="1" t="s">
        <v>34</v>
      </c>
      <c r="C11" s="1" t="s">
        <v>35</v>
      </c>
      <c r="D11" s="1" t="s">
        <v>21</v>
      </c>
    </row>
    <row r="12" spans="1:8" ht="37.799999999999997" x14ac:dyDescent="0.5">
      <c r="A12" s="1" t="s">
        <v>36</v>
      </c>
      <c r="B12" s="3" t="s">
        <v>37</v>
      </c>
    </row>
    <row r="13" spans="1:8" ht="25.2" x14ac:dyDescent="0.5">
      <c r="B13" s="19" t="s">
        <v>49</v>
      </c>
      <c r="C13" s="13" t="s">
        <v>50</v>
      </c>
      <c r="D13" s="13" t="s">
        <v>50</v>
      </c>
    </row>
    <row r="14" spans="1:8" ht="25.2" x14ac:dyDescent="0.5">
      <c r="B14" s="19" t="s">
        <v>38</v>
      </c>
      <c r="C14" s="13" t="s">
        <v>50</v>
      </c>
      <c r="D14" s="13" t="s">
        <v>50</v>
      </c>
    </row>
    <row r="15" spans="1:8" ht="50.4" x14ac:dyDescent="0.5">
      <c r="B15" s="19" t="s">
        <v>39</v>
      </c>
      <c r="C15" s="13" t="s">
        <v>50</v>
      </c>
      <c r="D15" s="13" t="s">
        <v>50</v>
      </c>
    </row>
    <row r="16" spans="1:8" ht="50.4" x14ac:dyDescent="0.5">
      <c r="B16" s="19" t="s">
        <v>40</v>
      </c>
      <c r="C16" s="13" t="s">
        <v>50</v>
      </c>
      <c r="D16" s="13" t="s">
        <v>50</v>
      </c>
    </row>
    <row r="17" spans="2:4" ht="37.799999999999997" x14ac:dyDescent="0.5">
      <c r="B17" s="19" t="s">
        <v>41</v>
      </c>
      <c r="C17" s="13" t="s">
        <v>50</v>
      </c>
      <c r="D17" s="13" t="s">
        <v>50</v>
      </c>
    </row>
    <row r="18" spans="2:4" ht="50.4" x14ac:dyDescent="0.5">
      <c r="B18" s="19" t="s">
        <v>42</v>
      </c>
      <c r="C18" s="13" t="s">
        <v>50</v>
      </c>
      <c r="D18" s="13" t="s">
        <v>50</v>
      </c>
    </row>
    <row r="19" spans="2:4" ht="50.4" x14ac:dyDescent="0.5">
      <c r="B19" s="19" t="s">
        <v>43</v>
      </c>
      <c r="C19" s="13" t="s">
        <v>50</v>
      </c>
      <c r="D19" s="13" t="s">
        <v>50</v>
      </c>
    </row>
    <row r="20" spans="2:4" ht="37.799999999999997" x14ac:dyDescent="0.5">
      <c r="B20" s="19" t="s">
        <v>57</v>
      </c>
      <c r="C20" s="13" t="s">
        <v>50</v>
      </c>
      <c r="D20" s="13" t="s">
        <v>50</v>
      </c>
    </row>
    <row r="21" spans="2:4" ht="25.2" x14ac:dyDescent="0.5">
      <c r="B21" s="19" t="s">
        <v>44</v>
      </c>
      <c r="C21" s="13" t="s">
        <v>50</v>
      </c>
      <c r="D21" s="13" t="s">
        <v>50</v>
      </c>
    </row>
    <row r="22" spans="2:4" ht="37.799999999999997" x14ac:dyDescent="0.5">
      <c r="B22" s="19" t="s">
        <v>58</v>
      </c>
      <c r="C22" s="13" t="s">
        <v>50</v>
      </c>
      <c r="D22" s="13" t="s">
        <v>50</v>
      </c>
    </row>
    <row r="23" spans="2:4" ht="37.799999999999997" x14ac:dyDescent="0.5">
      <c r="B23" s="19" t="s">
        <v>59</v>
      </c>
      <c r="C23" s="13"/>
      <c r="D23" s="13"/>
    </row>
    <row r="24" spans="2:4" ht="63" x14ac:dyDescent="0.5">
      <c r="B24" s="19" t="s">
        <v>48</v>
      </c>
      <c r="C24" s="13" t="s">
        <v>50</v>
      </c>
      <c r="D24" s="13" t="s">
        <v>50</v>
      </c>
    </row>
    <row r="25" spans="2:4" ht="37.799999999999997" x14ac:dyDescent="0.5">
      <c r="B25" s="19" t="s">
        <v>45</v>
      </c>
      <c r="C25" s="13" t="s">
        <v>50</v>
      </c>
      <c r="D25" s="13" t="s">
        <v>50</v>
      </c>
    </row>
    <row r="26" spans="2:4" ht="37.799999999999997" x14ac:dyDescent="0.5">
      <c r="B26" s="19" t="s">
        <v>46</v>
      </c>
      <c r="C26" s="13" t="s">
        <v>50</v>
      </c>
      <c r="D26" s="13" t="s">
        <v>50</v>
      </c>
    </row>
    <row r="27" spans="2:4" ht="25.2" x14ac:dyDescent="0.5">
      <c r="B27" s="19" t="s">
        <v>47</v>
      </c>
      <c r="C27" s="13" t="s">
        <v>50</v>
      </c>
      <c r="D27" s="13" t="s">
        <v>50</v>
      </c>
    </row>
  </sheetData>
  <phoneticPr fontId="7" type="noConversion"/>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ianzhuang(庄一清)</cp:lastModifiedBy>
  <cp:lastPrinted>2025-03-09T10:20:18Z</cp:lastPrinted>
  <dcterms:created xsi:type="dcterms:W3CDTF">2024-12-10T02:24:00Z</dcterms:created>
  <dcterms:modified xsi:type="dcterms:W3CDTF">2025-08-04T14:14:57Z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