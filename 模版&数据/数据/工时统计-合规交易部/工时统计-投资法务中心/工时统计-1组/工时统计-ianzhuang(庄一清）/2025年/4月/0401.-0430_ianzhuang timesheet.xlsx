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ime entries\4月\"/>
    </mc:Choice>
  </mc:AlternateContent>
  <xr:revisionPtr revIDLastSave="0" documentId="13_ncr:1_{A6C1C2B4-A1F6-4A71-BB28-16DB2D715A75}" xr6:coauthVersionLast="47" xr6:coauthVersionMax="47" xr10:uidLastSave="{00000000-0000-0000-0000-000000000000}"/>
  <bookViews>
    <workbookView xWindow="0" yWindow="60" windowWidth="18000" windowHeight="1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1" l="1"/>
</calcChain>
</file>

<file path=xl/sharedStrings.xml><?xml version="1.0" encoding="utf-8"?>
<sst xmlns="http://schemas.openxmlformats.org/spreadsheetml/2006/main" count="437" uniqueCount="185">
  <si>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</si>
  <si>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</si>
  <si>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</si>
  <si>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</si>
  <si>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</si>
  <si>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</si>
  <si>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</si>
  <si>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</si>
  <si>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</si>
  <si>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</si>
  <si>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</si>
  <si>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</si>
  <si>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</si>
  <si>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</si>
  <si>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</si>
  <si>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</si>
  <si>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</si>
  <si>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</si>
  <si>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</si>
  <si>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</si>
  <si>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</si>
  <si>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</si>
  <si>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</si>
  <si>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</si>
  <si>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</si>
  <si>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</si>
  <si>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</si>
  <si>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</si>
  <si>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</si>
  <si>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</si>
  <si>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</si>
  <si>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</si>
  <si>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</si>
  <si>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</si>
  <si>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</si>
  <si>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</si>
  <si>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</si>
  <si>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</si>
  <si>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</si>
  <si>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</si>
  <si>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</si>
  <si>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</si>
  <si>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</si>
  <si>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</si>
  <si>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</si>
  <si>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</si>
  <si>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</si>
  <si>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</si>
  <si>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</si>
  <si>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</si>
  <si>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</si>
  <si>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</si>
  <si>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</si>
  <si>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</si>
  <si>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</si>
  <si>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</si>
  <si>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</si>
  <si>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</si>
  <si>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</si>
  <si>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</si>
  <si>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</si>
  <si>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</si>
  <si>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</si>
  <si>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</si>
  <si>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</si>
  <si>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</si>
  <si>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</si>
  <si>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</si>
  <si>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</si>
  <si>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</si>
  <si>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</si>
  <si>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</si>
  <si>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</si>
  <si>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</si>
  <si>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</si>
  <si>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Insta 360</t>
    <phoneticPr fontId="7" type="noConversion"/>
  </si>
  <si>
    <t>interview</t>
    <phoneticPr fontId="7" type="noConversion"/>
  </si>
  <si>
    <t>ianzhuang</t>
    <phoneticPr fontId="7" type="noConversion"/>
  </si>
  <si>
    <t>Little Freddie</t>
    <phoneticPr fontId="7" type="noConversion"/>
  </si>
  <si>
    <t>国际业务(投资)监管应对Interaction with regulators for international investments</t>
  </si>
  <si>
    <t>世纪华通</t>
    <phoneticPr fontId="7" type="noConversion"/>
  </si>
  <si>
    <t>Robinhood</t>
    <phoneticPr fontId="7" type="noConversion"/>
  </si>
  <si>
    <t xml:space="preserve">ianzhuang </t>
    <phoneticPr fontId="7" type="noConversion"/>
  </si>
  <si>
    <t>Public - Knowledge Accumulation &amp; Sharing</t>
  </si>
  <si>
    <t>FEFTA rule amendment</t>
    <phoneticPr fontId="7" type="noConversion"/>
  </si>
  <si>
    <t>ianzhuang</t>
    <phoneticPr fontId="7" type="noConversion"/>
  </si>
  <si>
    <t>Public - Infrastructure &amp; Guidance</t>
  </si>
  <si>
    <t>AI products</t>
    <phoneticPr fontId="7" type="noConversion"/>
  </si>
  <si>
    <t>ianzhuang</t>
    <phoneticPr fontId="7" type="noConversion"/>
  </si>
  <si>
    <t>世纪华通</t>
    <phoneticPr fontId="7" type="noConversion"/>
  </si>
  <si>
    <t>week 4</t>
    <phoneticPr fontId="7" type="noConversion"/>
  </si>
  <si>
    <t xml:space="preserve">week 1 </t>
    <phoneticPr fontId="7" type="noConversion"/>
  </si>
  <si>
    <t>英雄互娱</t>
    <phoneticPr fontId="7" type="noConversion"/>
  </si>
  <si>
    <t>Japan FEFTA</t>
    <phoneticPr fontId="7" type="noConversion"/>
  </si>
  <si>
    <t>敏感投资领域投资指引 Guidance for sensitive investment fields</t>
  </si>
  <si>
    <t>further discussion with MA team on the proposed structure, our exit options and other key arrangements for purpose of acquiring indirect interest in the listco</t>
    <phoneticPr fontId="7" type="noConversion"/>
  </si>
  <si>
    <t>Investment Related - M&amp;A Deal</t>
    <phoneticPr fontId="7" type="noConversion"/>
  </si>
  <si>
    <t>Airwallex</t>
    <phoneticPr fontId="7" type="noConversion"/>
  </si>
  <si>
    <t>证券投顾牌照</t>
    <phoneticPr fontId="7" type="noConversion"/>
  </si>
  <si>
    <t>境内外金融业务资质申请 Application for domestic and overseas financial business licenses</t>
  </si>
  <si>
    <t>Further review and revise the transaction proposal wrt proposed investment in Insta 360</t>
    <phoneticPr fontId="7" type="noConversion"/>
  </si>
  <si>
    <t>智元</t>
    <phoneticPr fontId="7" type="noConversion"/>
  </si>
  <si>
    <t>Internal follow up with huanhuan re latest status in 智元. Touch base on the outstanding issues.</t>
    <phoneticPr fontId="7" type="noConversion"/>
  </si>
  <si>
    <t>Attend CTD mgmt bi-weekly meeting</t>
    <phoneticPr fontId="7" type="noConversion"/>
  </si>
  <si>
    <t>ianzhuang</t>
    <phoneticPr fontId="7" type="noConversion"/>
  </si>
  <si>
    <t>discussion with internal and external teams working on AI products and understand the technical issues for local AI deployment and other AI functions</t>
    <phoneticPr fontId="7" type="noConversion"/>
  </si>
  <si>
    <t>Nexon</t>
    <phoneticPr fontId="7" type="noConversion"/>
  </si>
  <si>
    <t xml:space="preserve">call with MA re the proposed privatization of Nectar. Discussion with MOFO team re the same. Review existing documents </t>
    <phoneticPr fontId="7" type="noConversion"/>
  </si>
  <si>
    <t>Travel to SZ/HK</t>
    <phoneticPr fontId="7" type="noConversion"/>
  </si>
  <si>
    <t>VNG</t>
    <phoneticPr fontId="7" type="noConversion"/>
  </si>
  <si>
    <t>Preparing knowhow/memo/client alert</t>
    <phoneticPr fontId="7" type="noConversion"/>
  </si>
  <si>
    <t>Establishing/improving IT systems</t>
    <phoneticPr fontId="7" type="noConversion"/>
  </si>
  <si>
    <t>Others</t>
    <phoneticPr fontId="7" type="noConversion"/>
  </si>
  <si>
    <t>ianzhuang</t>
    <phoneticPr fontId="7" type="noConversion"/>
  </si>
  <si>
    <t>week 3</t>
    <phoneticPr fontId="7" type="noConversion"/>
  </si>
  <si>
    <t>week 2</t>
    <phoneticPr fontId="7" type="noConversion"/>
  </si>
  <si>
    <t>投资项目全流程法务支持 Full-process legal support for investments</t>
    <phoneticPr fontId="7" type="noConversion"/>
  </si>
  <si>
    <t>external discussion with Carlye team re the proposed redemption in Little Freddie. Review and revise the information right and inspection right letter to Little Freddie</t>
    <phoneticPr fontId="7" type="noConversion"/>
  </si>
  <si>
    <t>review and discuss latest proposal by IDG team</t>
    <phoneticPr fontId="7" type="noConversion"/>
  </si>
  <si>
    <t>meeting with 世纪华通 team to discuss the latest ongoing matters</t>
    <phoneticPr fontId="7" type="noConversion"/>
  </si>
  <si>
    <t>IEGG related ESOP</t>
    <phoneticPr fontId="7" type="noConversion"/>
  </si>
  <si>
    <t>internal discussion with Jed, Cooker and etc. re the proposed efforts in AI products</t>
    <phoneticPr fontId="7" type="noConversion"/>
  </si>
  <si>
    <t>discussion with Martin re proposed ESOP adoption by of the IEGG studios</t>
    <phoneticPr fontId="7" type="noConversion"/>
  </si>
  <si>
    <t>TPP investments</t>
    <phoneticPr fontId="7" type="noConversion"/>
  </si>
  <si>
    <t>Marshall</t>
    <phoneticPr fontId="7" type="noConversion"/>
  </si>
  <si>
    <t>ianzhuang</t>
    <phoneticPr fontId="7" type="noConversion"/>
  </si>
  <si>
    <t>FEFTA inquiry</t>
    <phoneticPr fontId="7" type="noConversion"/>
  </si>
  <si>
    <t>prepare script and relevant responses wrt proposed meeting between MOFO and FEFTA officer</t>
    <phoneticPr fontId="7" type="noConversion"/>
  </si>
  <si>
    <t>AI Infra building</t>
    <phoneticPr fontId="7" type="noConversion"/>
  </si>
  <si>
    <t>Establishing/improving IT systems</t>
  </si>
  <si>
    <t>follow up with Kelly on the Insta 360 status and latest key issues</t>
    <phoneticPr fontId="7" type="noConversion"/>
  </si>
  <si>
    <t>执业管理平台体系完善 Perfection of the professional management platform</t>
  </si>
  <si>
    <t>Travel to Beijing (AI related topics)</t>
    <phoneticPr fontId="7" type="noConversion"/>
  </si>
  <si>
    <t xml:space="preserve">discussion with Cooker on proposed plan re team's AI function (F8 and etc.). To improve the current F8 fucntion by exploring the prompt design </t>
    <phoneticPr fontId="7" type="noConversion"/>
  </si>
  <si>
    <t>travel to Beijing to meet with Xiaomi GC and Hankun team, to discuss the applications of AI functions in their day to day work</t>
    <phoneticPr fontId="7" type="noConversion"/>
  </si>
  <si>
    <t>external discussion with 华通 team re the letter to regulator re 李纳川's involvement in company's business operation.</t>
    <phoneticPr fontId="7" type="noConversion"/>
  </si>
  <si>
    <t>internal discussion re 英雄互娱 revised corporate governance strucutre post repurchase</t>
    <phoneticPr fontId="7" type="noConversion"/>
  </si>
  <si>
    <t>Follow up on the latest status of the investment in securities investment consulting services company. Legal research re shareholding structure above THL</t>
    <phoneticPr fontId="7" type="noConversion"/>
  </si>
  <si>
    <t xml:space="preserve">to catch up on the latest status of Airwallex potenal sell down and new round of financing. Internal discussion with Wenna. </t>
    <phoneticPr fontId="7" type="noConversion"/>
  </si>
  <si>
    <t>ianzhuang</t>
    <phoneticPr fontId="7" type="noConversion"/>
  </si>
  <si>
    <t>management bi-weekly meeting</t>
    <phoneticPr fontId="7" type="noConversion"/>
  </si>
  <si>
    <t>call with MOFO to discuss the proposed regulator consultation after the amended FEFTA rules</t>
    <phoneticPr fontId="7" type="noConversion"/>
  </si>
  <si>
    <t>response to Japan regulator</t>
    <phoneticPr fontId="7" type="noConversion"/>
  </si>
  <si>
    <t>海外投资合规管理 Overseas investment compliance management</t>
  </si>
  <si>
    <t>prepare draft response to inquiries from Japan regulator</t>
    <phoneticPr fontId="7" type="noConversion"/>
  </si>
  <si>
    <t>review and revise letter to Little Freddie re information request and potential breaches by Little Freddie</t>
    <phoneticPr fontId="7" type="noConversion"/>
  </si>
  <si>
    <t>project Nectar</t>
    <phoneticPr fontId="7" type="noConversion"/>
  </si>
  <si>
    <t>attend calls re project Nectar, review background materials, internal discussion and external discussion re the transaction structure</t>
    <phoneticPr fontId="7" type="noConversion"/>
  </si>
  <si>
    <t>catch up call with MA team to understand our key asks in connection with the new F round financing. To prepare analysis and background information for Brent's call with target team</t>
    <phoneticPr fontId="7" type="noConversion"/>
  </si>
  <si>
    <t>Travel to Beijing (Yueshan Secondment)</t>
    <phoneticPr fontId="7" type="noConversion"/>
  </si>
  <si>
    <t>meeting with LW team to align and to implement  Yueshan's secondment arrangement</t>
    <phoneticPr fontId="7" type="noConversion"/>
  </si>
  <si>
    <t>Hillbot</t>
    <phoneticPr fontId="7" type="noConversion"/>
  </si>
  <si>
    <t>to attend the meeting with DPW team re potential CFIUS, bulk sensitive personal data rule issues. Review the CB docs and etc.</t>
    <phoneticPr fontId="7" type="noConversion"/>
  </si>
  <si>
    <t>Ianzhuang</t>
    <phoneticPr fontId="7" type="noConversion"/>
  </si>
  <si>
    <t>海澜之家</t>
    <phoneticPr fontId="7" type="noConversion"/>
  </si>
  <si>
    <t>review and revise the distribution confirmation letter to the custodian bank. Internal alignment on the relevant descriptions and numbers</t>
    <phoneticPr fontId="7" type="noConversion"/>
  </si>
  <si>
    <t>project Nectar</t>
    <phoneticPr fontId="7" type="noConversion"/>
  </si>
  <si>
    <t>Revise the draft TS shared by Nectar team, prepare key issues list for team's reference.</t>
    <phoneticPr fontId="7" type="noConversion"/>
  </si>
  <si>
    <t>Interview two potential candidates for MA legal team</t>
    <phoneticPr fontId="7" type="noConversion"/>
  </si>
  <si>
    <t>internal follow up on the redemption progress. Discuss on the potential action plan, prepare analysis accordingly</t>
    <phoneticPr fontId="7" type="noConversion"/>
  </si>
  <si>
    <t>update and finalize the response to Japan regulator, internal discussion re the same</t>
    <phoneticPr fontId="7" type="noConversion"/>
  </si>
  <si>
    <t>disucssion with 世纪华通 team re its proposed board meeting to review and approve its annual report. Review the board deck and prepare relevant analysis</t>
    <phoneticPr fontId="7" type="noConversion"/>
  </si>
  <si>
    <t>Dream Job</t>
    <phoneticPr fontId="7" type="noConversion"/>
  </si>
  <si>
    <t xml:space="preserve">review and internal discussion re the draft term sheet for the new investment. Internal discussion re company's unique structure </t>
    <phoneticPr fontId="7" type="noConversion"/>
  </si>
  <si>
    <t>Further discussion re FEFTA amended rules and its potential impact</t>
    <phoneticPr fontId="7" type="noConversion"/>
  </si>
  <si>
    <t>to prepare draft response to James' question. Internal discussion re director resusal in case of exposure to MNPI. External discussion with LW, DPW and CC team on the same topic</t>
    <phoneticPr fontId="7" type="noConversion"/>
  </si>
  <si>
    <t>travel to HK/SZ for the meeting with CC team, and attend the 星曜 graduation ceremony</t>
    <phoneticPr fontId="7" type="noConversion"/>
  </si>
  <si>
    <t>internal discussion with IEGG and OLC team on the potential dispute with VNG. Review reporting materials prepared by IEGG team. Discussion with MA's Sunny re the same</t>
    <phoneticPr fontId="7" type="noConversion"/>
  </si>
  <si>
    <t>Hillbot</t>
    <phoneticPr fontId="7" type="noConversion"/>
  </si>
  <si>
    <t>further discussion with Kexiaon on the potential regulatory issues in connection with the investment. Review existing documents accordingly.</t>
    <phoneticPr fontId="7" type="noConversion"/>
  </si>
  <si>
    <t>无端科技</t>
    <phoneticPr fontId="7" type="noConversion"/>
  </si>
  <si>
    <t>review and discuss investment background, align on the transaction structure, and prepare offer letter (email) to third party</t>
    <phoneticPr fontId="7" type="noConversion"/>
  </si>
  <si>
    <t xml:space="preserve">Internal discussion with Martin re Marshall deal. </t>
    <phoneticPr fontId="7" type="noConversion"/>
  </si>
  <si>
    <t>Internal discussion with Dexter re latest status of TPP investments. To align on the next step re TPP handover</t>
    <phoneticPr fontId="7" type="noConversion"/>
  </si>
  <si>
    <t>AI products</t>
    <phoneticPr fontId="7" type="noConversion"/>
  </si>
  <si>
    <t>internal/external discussion with Cooker and Hankun team, CC team re its inhouse AI capabilities</t>
    <phoneticPr fontId="7" type="noConversion"/>
  </si>
  <si>
    <t>Project Nectar</t>
    <phoneticPr fontId="7" type="noConversion"/>
  </si>
  <si>
    <t>Review and revise list of key issues in the termsheet, internal discussion re the same, review and revise LOI, discussion with Nozomi and Zac re the same.</t>
    <phoneticPr fontId="7" type="noConversion"/>
  </si>
  <si>
    <t>Robinhood</t>
    <phoneticPr fontId="7" type="noConversion"/>
  </si>
  <si>
    <t>Drafting/reviewing/negotiating legal documents</t>
    <phoneticPr fontId="7" type="noConversion"/>
  </si>
  <si>
    <t>internal discussion with Charity and Cindy re the proposed amendment to IC approval mechanism (i.e. change to director recusal mechanism)</t>
    <phoneticPr fontId="7" type="noConversion"/>
  </si>
  <si>
    <t>Revolut</t>
    <phoneticPr fontId="7" type="noConversion"/>
  </si>
  <si>
    <t>Internal discussion with Ning re proposed investment in Revolut, i.e. purchase of LP interest from新鸿基. Prepare analysis re the same</t>
    <phoneticPr fontId="7" type="noConversion"/>
  </si>
  <si>
    <t>Bulk data rule</t>
    <phoneticPr fontId="7" type="noConversion"/>
  </si>
  <si>
    <t xml:space="preserve">discussion with DPW, LW, Cov and PW re the interpretation of the Bulk Sensitive Personal Data rule. Internal discussion re the same, prepare the summary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</si>
</sst>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66"/>
  <sheetViews>
    <sheetView tabSelected="1" topLeftCell="D3" zoomScale="96" zoomScaleNormal="100" workbookViewId="0">
      <selection activeCell="H9" sqref="H9"/>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2" t="s">
        <v>91</v>
      </c>
      <c r="C4" s="43"/>
      <c r="D4" s="43"/>
      <c r="E4" s="43"/>
      <c r="F4" s="43"/>
      <c r="G4" s="43"/>
      <c r="H4" s="43"/>
      <c r="I4" s="44"/>
    </row>
    <row r="5" spans="2:9" ht="22.5" customHeight="1" x14ac:dyDescent="0.5">
      <c r="B5" s="32" t="s">
        <v>67</v>
      </c>
      <c r="C5" s="31" t="s">
        <v>8</v>
      </c>
      <c r="D5" s="29" t="s">
        <v>75</v>
      </c>
      <c r="E5" s="9" t="s">
        <v>34</v>
      </c>
      <c r="F5" s="14" t="s">
        <v>69</v>
      </c>
      <c r="G5" s="9">
        <v>1</v>
      </c>
      <c r="H5" s="31" t="s">
        <v>14</v>
      </c>
      <c r="I5" s="30" t="s">
        <v>130</v>
      </c>
    </row>
    <row r="6" spans="2:9" ht="36.6" customHeight="1" x14ac:dyDescent="0.5">
      <c r="B6" s="32" t="s">
        <v>67</v>
      </c>
      <c r="C6" s="31" t="s">
        <v>86</v>
      </c>
      <c r="D6" s="29" t="s">
        <v>128</v>
      </c>
      <c r="E6" s="9" t="s">
        <v>34</v>
      </c>
      <c r="F6" s="14" t="s">
        <v>131</v>
      </c>
      <c r="G6" s="9">
        <v>5.5</v>
      </c>
      <c r="H6" s="31" t="s">
        <v>129</v>
      </c>
      <c r="I6" s="30" t="s">
        <v>133</v>
      </c>
    </row>
    <row r="7" spans="2:9" ht="37.799999999999997" customHeight="1" x14ac:dyDescent="0.5">
      <c r="B7" s="32" t="s">
        <v>67</v>
      </c>
      <c r="C7" s="31" t="s">
        <v>12</v>
      </c>
      <c r="D7" s="29" t="s">
        <v>132</v>
      </c>
      <c r="E7" s="9" t="s">
        <v>34</v>
      </c>
      <c r="F7" s="31" t="s">
        <v>131</v>
      </c>
      <c r="G7" s="9">
        <v>10.5</v>
      </c>
      <c r="H7" s="31" t="s">
        <v>21</v>
      </c>
      <c r="I7" s="30" t="s">
        <v>134</v>
      </c>
    </row>
    <row r="8" spans="2:9" ht="37.799999999999997" customHeight="1" x14ac:dyDescent="0.5">
      <c r="B8" s="35" t="s">
        <v>139</v>
      </c>
      <c r="C8" s="31" t="s">
        <v>10</v>
      </c>
      <c r="D8" s="29" t="s">
        <v>142</v>
      </c>
      <c r="E8" s="9" t="s">
        <v>34</v>
      </c>
      <c r="F8" s="31" t="s">
        <v>143</v>
      </c>
      <c r="G8" s="9">
        <v>4.5</v>
      </c>
      <c r="H8" s="31" t="s">
        <v>30</v>
      </c>
      <c r="I8" s="30" t="s">
        <v>144</v>
      </c>
    </row>
    <row r="9" spans="2:9" ht="22.5" customHeight="1" x14ac:dyDescent="0.5">
      <c r="B9" s="32" t="s">
        <v>67</v>
      </c>
      <c r="C9" s="31" t="s">
        <v>8</v>
      </c>
      <c r="D9" s="29" t="s">
        <v>93</v>
      </c>
      <c r="E9" s="9" t="s">
        <v>34</v>
      </c>
      <c r="F9" s="14" t="s">
        <v>94</v>
      </c>
      <c r="G9" s="9">
        <v>2</v>
      </c>
      <c r="H9" s="31" t="s">
        <v>14</v>
      </c>
      <c r="I9" s="30" t="s">
        <v>141</v>
      </c>
    </row>
    <row r="10" spans="2:9" ht="22.5" customHeight="1" x14ac:dyDescent="0.5">
      <c r="B10" s="16" t="s">
        <v>67</v>
      </c>
      <c r="C10" s="31" t="s">
        <v>8</v>
      </c>
      <c r="D10" s="29" t="s">
        <v>75</v>
      </c>
      <c r="E10" s="9" t="s">
        <v>34</v>
      </c>
      <c r="F10" s="14" t="s">
        <v>69</v>
      </c>
      <c r="G10" s="9">
        <v>1.5</v>
      </c>
      <c r="H10" s="31" t="s">
        <v>14</v>
      </c>
      <c r="I10" s="30" t="s">
        <v>95</v>
      </c>
    </row>
    <row r="11" spans="2:9" ht="37.799999999999997" x14ac:dyDescent="0.5">
      <c r="B11" s="16" t="s">
        <v>67</v>
      </c>
      <c r="C11" s="31" t="s">
        <v>8</v>
      </c>
      <c r="D11" s="29" t="s">
        <v>97</v>
      </c>
      <c r="E11" s="9" t="s">
        <v>34</v>
      </c>
      <c r="F11" s="14" t="s">
        <v>68</v>
      </c>
      <c r="G11" s="9">
        <v>1.5</v>
      </c>
      <c r="H11" s="31" t="s">
        <v>14</v>
      </c>
      <c r="I11" s="30" t="s">
        <v>138</v>
      </c>
    </row>
    <row r="12" spans="2:9" ht="37.799999999999997" x14ac:dyDescent="0.5">
      <c r="B12" s="16" t="s">
        <v>88</v>
      </c>
      <c r="C12" s="31" t="s">
        <v>10</v>
      </c>
      <c r="D12" s="29" t="s">
        <v>89</v>
      </c>
      <c r="E12" s="9" t="s">
        <v>34</v>
      </c>
      <c r="F12" s="14" t="s">
        <v>68</v>
      </c>
      <c r="G12" s="9">
        <v>3.5</v>
      </c>
      <c r="H12" s="31" t="s">
        <v>14</v>
      </c>
      <c r="I12" s="30" t="s">
        <v>135</v>
      </c>
    </row>
    <row r="13" spans="2:9" ht="25.2" x14ac:dyDescent="0.5">
      <c r="B13" s="16" t="s">
        <v>67</v>
      </c>
      <c r="C13" s="31" t="s">
        <v>8</v>
      </c>
      <c r="D13" s="29" t="s">
        <v>92</v>
      </c>
      <c r="E13" s="9" t="s">
        <v>34</v>
      </c>
      <c r="F13" s="14" t="s">
        <v>68</v>
      </c>
      <c r="G13" s="9">
        <v>2.5</v>
      </c>
      <c r="H13" s="31" t="s">
        <v>14</v>
      </c>
      <c r="I13" s="30" t="s">
        <v>136</v>
      </c>
    </row>
    <row r="14" spans="2:9" ht="37.799999999999997" x14ac:dyDescent="0.5">
      <c r="B14" s="16" t="s">
        <v>67</v>
      </c>
      <c r="C14" s="31" t="s">
        <v>8</v>
      </c>
      <c r="D14" s="29" t="s">
        <v>98</v>
      </c>
      <c r="E14" s="9" t="s">
        <v>34</v>
      </c>
      <c r="F14" s="14" t="s">
        <v>99</v>
      </c>
      <c r="G14" s="9">
        <v>3.5</v>
      </c>
      <c r="H14" s="31" t="s">
        <v>21</v>
      </c>
      <c r="I14" s="30" t="s">
        <v>137</v>
      </c>
    </row>
    <row r="15" spans="2:9" x14ac:dyDescent="0.5">
      <c r="B15" s="16" t="s">
        <v>139</v>
      </c>
      <c r="C15" s="31" t="s">
        <v>12</v>
      </c>
      <c r="D15" s="29" t="s">
        <v>140</v>
      </c>
      <c r="E15" s="9" t="s">
        <v>21</v>
      </c>
      <c r="F15" s="14"/>
      <c r="G15" s="9">
        <v>1</v>
      </c>
      <c r="H15" s="31" t="s">
        <v>18</v>
      </c>
      <c r="I15" s="30" t="s">
        <v>103</v>
      </c>
    </row>
    <row r="16" spans="2:9" ht="37.799999999999997" x14ac:dyDescent="0.5">
      <c r="B16" s="16" t="s">
        <v>67</v>
      </c>
      <c r="C16" s="31" t="s">
        <v>8</v>
      </c>
      <c r="D16" s="29" t="s">
        <v>75</v>
      </c>
      <c r="E16" s="9" t="s">
        <v>34</v>
      </c>
      <c r="F16" s="14" t="s">
        <v>69</v>
      </c>
      <c r="G16" s="9">
        <v>2</v>
      </c>
      <c r="H16" s="31" t="s">
        <v>14</v>
      </c>
      <c r="I16" s="30" t="s">
        <v>100</v>
      </c>
    </row>
    <row r="17" spans="2:9" x14ac:dyDescent="0.5">
      <c r="B17" s="42" t="s">
        <v>115</v>
      </c>
      <c r="C17" s="43"/>
      <c r="D17" s="43"/>
      <c r="E17" s="43"/>
      <c r="F17" s="43"/>
      <c r="G17" s="43"/>
      <c r="H17" s="43"/>
      <c r="I17" s="44"/>
    </row>
    <row r="18" spans="2:9" ht="37.799999999999997" x14ac:dyDescent="0.5">
      <c r="B18" s="16" t="s">
        <v>67</v>
      </c>
      <c r="C18" s="31" t="s">
        <v>8</v>
      </c>
      <c r="D18" s="29" t="s">
        <v>146</v>
      </c>
      <c r="E18" s="9" t="s">
        <v>34</v>
      </c>
      <c r="F18" s="14" t="s">
        <v>68</v>
      </c>
      <c r="G18" s="9">
        <v>8.5</v>
      </c>
      <c r="H18" s="31" t="s">
        <v>14</v>
      </c>
      <c r="I18" s="30" t="s">
        <v>147</v>
      </c>
    </row>
    <row r="19" spans="2:9" ht="50.4" x14ac:dyDescent="0.5">
      <c r="B19" s="16" t="s">
        <v>139</v>
      </c>
      <c r="C19" s="31" t="s">
        <v>8</v>
      </c>
      <c r="D19" s="29" t="s">
        <v>97</v>
      </c>
      <c r="E19" s="9" t="s">
        <v>34</v>
      </c>
      <c r="F19" s="14" t="s">
        <v>68</v>
      </c>
      <c r="G19" s="9">
        <v>5.5</v>
      </c>
      <c r="H19" s="31" t="s">
        <v>14</v>
      </c>
      <c r="I19" s="30" t="s">
        <v>148</v>
      </c>
    </row>
    <row r="20" spans="2:9" ht="25.2" x14ac:dyDescent="0.5">
      <c r="B20" s="16" t="s">
        <v>67</v>
      </c>
      <c r="C20" s="31" t="s">
        <v>96</v>
      </c>
      <c r="D20" s="29" t="s">
        <v>78</v>
      </c>
      <c r="E20" s="9" t="s">
        <v>34</v>
      </c>
      <c r="F20" s="31" t="s">
        <v>116</v>
      </c>
      <c r="G20" s="29">
        <v>3</v>
      </c>
      <c r="H20" s="31" t="s">
        <v>14</v>
      </c>
      <c r="I20" s="30" t="s">
        <v>145</v>
      </c>
    </row>
    <row r="21" spans="2:9" ht="25.2" x14ac:dyDescent="0.5">
      <c r="B21" s="16" t="s">
        <v>139</v>
      </c>
      <c r="C21" s="31" t="s">
        <v>12</v>
      </c>
      <c r="D21" s="29" t="s">
        <v>149</v>
      </c>
      <c r="E21" s="9" t="s">
        <v>34</v>
      </c>
      <c r="F21" s="31" t="s">
        <v>131</v>
      </c>
      <c r="G21" s="29">
        <v>11.5</v>
      </c>
      <c r="H21" s="31" t="s">
        <v>21</v>
      </c>
      <c r="I21" s="30" t="s">
        <v>150</v>
      </c>
    </row>
    <row r="22" spans="2:9" ht="37.799999999999997" x14ac:dyDescent="0.5">
      <c r="B22" s="16" t="s">
        <v>139</v>
      </c>
      <c r="C22" s="31" t="s">
        <v>8</v>
      </c>
      <c r="D22" s="29" t="s">
        <v>151</v>
      </c>
      <c r="E22" s="9" t="s">
        <v>34</v>
      </c>
      <c r="F22" s="31" t="s">
        <v>68</v>
      </c>
      <c r="G22" s="29">
        <v>3.5</v>
      </c>
      <c r="H22" s="31" t="s">
        <v>14</v>
      </c>
      <c r="I22" s="30" t="s">
        <v>152</v>
      </c>
    </row>
    <row r="23" spans="2:9" ht="37.799999999999997" x14ac:dyDescent="0.5">
      <c r="B23" s="16" t="s">
        <v>153</v>
      </c>
      <c r="C23" s="31" t="s">
        <v>8</v>
      </c>
      <c r="D23" s="29" t="s">
        <v>154</v>
      </c>
      <c r="E23" s="9" t="s">
        <v>34</v>
      </c>
      <c r="F23" s="31" t="s">
        <v>68</v>
      </c>
      <c r="G23" s="29">
        <v>2.5</v>
      </c>
      <c r="H23" s="31" t="s">
        <v>14</v>
      </c>
      <c r="I23" s="30" t="s">
        <v>155</v>
      </c>
    </row>
    <row r="24" spans="2:9" ht="25.2" x14ac:dyDescent="0.5">
      <c r="B24" s="16" t="s">
        <v>139</v>
      </c>
      <c r="C24" s="31" t="s">
        <v>8</v>
      </c>
      <c r="D24" s="29" t="s">
        <v>156</v>
      </c>
      <c r="E24" s="9" t="s">
        <v>34</v>
      </c>
      <c r="F24" s="31" t="s">
        <v>68</v>
      </c>
      <c r="G24" s="29">
        <v>7.5</v>
      </c>
      <c r="H24" s="31" t="s">
        <v>14</v>
      </c>
      <c r="I24" s="30" t="s">
        <v>157</v>
      </c>
    </row>
    <row r="25" spans="2:9" ht="37.799999999999997" x14ac:dyDescent="0.5">
      <c r="B25" s="16" t="s">
        <v>139</v>
      </c>
      <c r="C25" s="31" t="s">
        <v>8</v>
      </c>
      <c r="D25" s="29" t="s">
        <v>181</v>
      </c>
      <c r="E25" s="9" t="s">
        <v>34</v>
      </c>
      <c r="F25" s="31" t="s">
        <v>68</v>
      </c>
      <c r="G25" s="29">
        <v>5.5</v>
      </c>
      <c r="H25" s="31" t="s">
        <v>14</v>
      </c>
      <c r="I25" s="30" t="s">
        <v>182</v>
      </c>
    </row>
    <row r="26" spans="2:9" ht="25.2" x14ac:dyDescent="0.5">
      <c r="B26" s="16" t="s">
        <v>67</v>
      </c>
      <c r="C26" s="31" t="s">
        <v>96</v>
      </c>
      <c r="D26" s="29" t="s">
        <v>101</v>
      </c>
      <c r="E26" s="9" t="s">
        <v>34</v>
      </c>
      <c r="F26" s="14" t="s">
        <v>68</v>
      </c>
      <c r="G26" s="9">
        <v>0.5</v>
      </c>
      <c r="H26" s="31" t="s">
        <v>14</v>
      </c>
      <c r="I26" s="30" t="s">
        <v>102</v>
      </c>
    </row>
    <row r="27" spans="2:9" x14ac:dyDescent="0.5">
      <c r="B27" s="42" t="s">
        <v>114</v>
      </c>
      <c r="C27" s="43"/>
      <c r="D27" s="43"/>
      <c r="E27" s="43"/>
      <c r="F27" s="43"/>
      <c r="G27" s="43"/>
      <c r="H27" s="43"/>
      <c r="I27" s="44"/>
    </row>
    <row r="28" spans="2:9" ht="50.4" x14ac:dyDescent="0.5">
      <c r="B28" s="33" t="s">
        <v>113</v>
      </c>
      <c r="C28" s="31" t="s">
        <v>8</v>
      </c>
      <c r="D28" s="29" t="s">
        <v>78</v>
      </c>
      <c r="E28" s="9" t="s">
        <v>34</v>
      </c>
      <c r="F28" s="14" t="s">
        <v>68</v>
      </c>
      <c r="G28" s="9">
        <v>4.5</v>
      </c>
      <c r="H28" s="31" t="s">
        <v>14</v>
      </c>
      <c r="I28" s="30" t="s">
        <v>117</v>
      </c>
    </row>
    <row r="29" spans="2:9" ht="25.2" x14ac:dyDescent="0.5">
      <c r="B29" s="33" t="s">
        <v>113</v>
      </c>
      <c r="C29" s="31" t="s">
        <v>96</v>
      </c>
      <c r="D29" s="29" t="s">
        <v>75</v>
      </c>
      <c r="E29" s="9" t="s">
        <v>34</v>
      </c>
      <c r="F29" s="14" t="s">
        <v>68</v>
      </c>
      <c r="G29" s="9">
        <v>1.5</v>
      </c>
      <c r="H29" s="31" t="s">
        <v>14</v>
      </c>
      <c r="I29" s="30" t="s">
        <v>118</v>
      </c>
    </row>
    <row r="30" spans="2:9" ht="25.2" x14ac:dyDescent="0.5">
      <c r="B30" s="33" t="s">
        <v>67</v>
      </c>
      <c r="C30" s="31" t="s">
        <v>96</v>
      </c>
      <c r="D30" s="29" t="s">
        <v>80</v>
      </c>
      <c r="E30" s="9" t="s">
        <v>34</v>
      </c>
      <c r="F30" s="14" t="s">
        <v>68</v>
      </c>
      <c r="G30" s="9">
        <v>2.5</v>
      </c>
      <c r="H30" s="31" t="s">
        <v>21</v>
      </c>
      <c r="I30" s="30" t="s">
        <v>119</v>
      </c>
    </row>
    <row r="31" spans="2:9" ht="25.2" x14ac:dyDescent="0.5">
      <c r="B31" s="33" t="s">
        <v>67</v>
      </c>
      <c r="C31" s="31" t="s">
        <v>96</v>
      </c>
      <c r="D31" s="29" t="s">
        <v>120</v>
      </c>
      <c r="E31" s="9" t="s">
        <v>34</v>
      </c>
      <c r="F31" s="14" t="s">
        <v>68</v>
      </c>
      <c r="G31" s="9">
        <v>0.5</v>
      </c>
      <c r="H31" s="31" t="s">
        <v>21</v>
      </c>
      <c r="I31" s="30" t="s">
        <v>122</v>
      </c>
    </row>
    <row r="32" spans="2:9" ht="25.2" x14ac:dyDescent="0.5">
      <c r="B32" s="34" t="s">
        <v>67</v>
      </c>
      <c r="C32" s="31" t="s">
        <v>86</v>
      </c>
      <c r="D32" s="29" t="s">
        <v>87</v>
      </c>
      <c r="E32" s="9" t="s">
        <v>34</v>
      </c>
      <c r="F32" s="14" t="s">
        <v>68</v>
      </c>
      <c r="G32" s="9">
        <v>1</v>
      </c>
      <c r="H32" s="31" t="s">
        <v>21</v>
      </c>
      <c r="I32" s="30" t="s">
        <v>121</v>
      </c>
    </row>
    <row r="33" spans="2:9" ht="25.2" x14ac:dyDescent="0.5">
      <c r="B33" s="16" t="s">
        <v>67</v>
      </c>
      <c r="C33" s="31" t="s">
        <v>8</v>
      </c>
      <c r="D33" s="29" t="s">
        <v>123</v>
      </c>
      <c r="E33" s="9" t="s">
        <v>34</v>
      </c>
      <c r="F33" s="14" t="s">
        <v>68</v>
      </c>
      <c r="G33" s="9">
        <v>1.5</v>
      </c>
      <c r="H33" s="31" t="s">
        <v>14</v>
      </c>
      <c r="I33" s="30" t="s">
        <v>173</v>
      </c>
    </row>
    <row r="34" spans="2:9" ht="25.2" x14ac:dyDescent="0.5">
      <c r="B34" s="16" t="s">
        <v>67</v>
      </c>
      <c r="C34" s="31" t="s">
        <v>8</v>
      </c>
      <c r="D34" s="29" t="s">
        <v>124</v>
      </c>
      <c r="E34" s="9" t="s">
        <v>34</v>
      </c>
      <c r="F34" s="14" t="s">
        <v>68</v>
      </c>
      <c r="G34" s="9">
        <v>1</v>
      </c>
      <c r="H34" s="31" t="s">
        <v>21</v>
      </c>
      <c r="I34" s="30" t="s">
        <v>172</v>
      </c>
    </row>
    <row r="35" spans="2:9" ht="25.2" x14ac:dyDescent="0.5">
      <c r="B35" s="16" t="s">
        <v>139</v>
      </c>
      <c r="C35" s="31" t="s">
        <v>86</v>
      </c>
      <c r="D35" s="29" t="s">
        <v>174</v>
      </c>
      <c r="E35" s="9" t="s">
        <v>34</v>
      </c>
      <c r="F35" s="14" t="s">
        <v>131</v>
      </c>
      <c r="G35" s="9">
        <v>3.5</v>
      </c>
      <c r="H35" s="31" t="s">
        <v>129</v>
      </c>
      <c r="I35" s="30" t="s">
        <v>175</v>
      </c>
    </row>
    <row r="36" spans="2:9" ht="37.799999999999997" x14ac:dyDescent="0.5">
      <c r="B36" s="16" t="s">
        <v>139</v>
      </c>
      <c r="C36" s="31" t="s">
        <v>8</v>
      </c>
      <c r="D36" s="29" t="s">
        <v>176</v>
      </c>
      <c r="E36" s="9" t="s">
        <v>34</v>
      </c>
      <c r="F36" s="14" t="s">
        <v>68</v>
      </c>
      <c r="G36" s="9">
        <v>5.5</v>
      </c>
      <c r="H36" s="31" t="s">
        <v>179</v>
      </c>
      <c r="I36" s="30" t="s">
        <v>177</v>
      </c>
    </row>
    <row r="37" spans="2:9" ht="37.799999999999997" x14ac:dyDescent="0.5">
      <c r="B37" s="16" t="s">
        <v>139</v>
      </c>
      <c r="C37" s="31" t="s">
        <v>8</v>
      </c>
      <c r="D37" s="29" t="s">
        <v>178</v>
      </c>
      <c r="E37" s="9" t="s">
        <v>34</v>
      </c>
      <c r="F37" s="14" t="s">
        <v>68</v>
      </c>
      <c r="G37" s="9">
        <v>2.5</v>
      </c>
      <c r="H37" s="31" t="s">
        <v>22</v>
      </c>
      <c r="I37" s="30" t="s">
        <v>180</v>
      </c>
    </row>
    <row r="38" spans="2:9" ht="25.2" x14ac:dyDescent="0.5">
      <c r="B38" s="16" t="s">
        <v>125</v>
      </c>
      <c r="C38" s="31" t="s">
        <v>10</v>
      </c>
      <c r="D38" s="29" t="s">
        <v>126</v>
      </c>
      <c r="E38" s="9" t="s">
        <v>34</v>
      </c>
      <c r="F38" s="14" t="s">
        <v>79</v>
      </c>
      <c r="G38" s="9">
        <v>3.5</v>
      </c>
      <c r="H38" s="31" t="s">
        <v>26</v>
      </c>
      <c r="I38" s="30" t="s">
        <v>127</v>
      </c>
    </row>
    <row r="39" spans="2:9" ht="37.799999999999997" x14ac:dyDescent="0.5">
      <c r="B39" s="16" t="s">
        <v>139</v>
      </c>
      <c r="C39" s="31" t="s">
        <v>83</v>
      </c>
      <c r="D39" s="29" t="s">
        <v>183</v>
      </c>
      <c r="E39" s="9" t="s">
        <v>34</v>
      </c>
      <c r="F39" s="14" t="s">
        <v>94</v>
      </c>
      <c r="G39" s="9">
        <v>6.5</v>
      </c>
      <c r="H39" s="31" t="s">
        <v>17</v>
      </c>
      <c r="I39" s="30" t="s">
        <v>184</v>
      </c>
    </row>
    <row r="40" spans="2:9" x14ac:dyDescent="0.5">
      <c r="B40" s="42" t="s">
        <v>90</v>
      </c>
      <c r="C40" s="43"/>
      <c r="D40" s="43"/>
      <c r="E40" s="43"/>
      <c r="F40" s="43"/>
      <c r="G40" s="43"/>
      <c r="H40" s="43"/>
      <c r="I40" s="44"/>
    </row>
    <row r="41" spans="2:9" x14ac:dyDescent="0.5">
      <c r="B41" s="16" t="s">
        <v>67</v>
      </c>
      <c r="C41" s="31" t="s">
        <v>12</v>
      </c>
      <c r="D41" s="31" t="s">
        <v>76</v>
      </c>
      <c r="E41" s="9" t="s">
        <v>21</v>
      </c>
      <c r="F41" s="14"/>
      <c r="G41" s="9">
        <v>2.5</v>
      </c>
      <c r="H41" s="31" t="s">
        <v>21</v>
      </c>
      <c r="I41" s="30" t="s">
        <v>158</v>
      </c>
    </row>
    <row r="42" spans="2:9" ht="37.799999999999997" x14ac:dyDescent="0.5">
      <c r="B42" s="16" t="s">
        <v>77</v>
      </c>
      <c r="C42" s="31" t="s">
        <v>8</v>
      </c>
      <c r="D42" s="29" t="s">
        <v>78</v>
      </c>
      <c r="E42" s="9" t="s">
        <v>34</v>
      </c>
      <c r="F42" s="14" t="s">
        <v>68</v>
      </c>
      <c r="G42" s="9">
        <v>2</v>
      </c>
      <c r="H42" s="31" t="s">
        <v>14</v>
      </c>
      <c r="I42" s="30" t="s">
        <v>159</v>
      </c>
    </row>
    <row r="43" spans="2:9" x14ac:dyDescent="0.5">
      <c r="B43" s="16"/>
      <c r="C43" s="31"/>
      <c r="D43" s="29"/>
      <c r="E43" s="9"/>
      <c r="F43" s="14"/>
      <c r="G43" s="9"/>
      <c r="H43" s="31"/>
      <c r="I43" s="30"/>
    </row>
    <row r="44" spans="2:9" ht="25.2" x14ac:dyDescent="0.5">
      <c r="B44" s="16" t="s">
        <v>77</v>
      </c>
      <c r="C44" s="14" t="s">
        <v>10</v>
      </c>
      <c r="D44" s="29" t="s">
        <v>93</v>
      </c>
      <c r="E44" s="9" t="s">
        <v>34</v>
      </c>
      <c r="F44" s="14" t="s">
        <v>79</v>
      </c>
      <c r="G44" s="9">
        <v>4.5</v>
      </c>
      <c r="H44" s="14" t="s">
        <v>26</v>
      </c>
      <c r="I44" s="30" t="s">
        <v>160</v>
      </c>
    </row>
    <row r="45" spans="2:9" ht="37.799999999999997" x14ac:dyDescent="0.5">
      <c r="B45" s="16" t="s">
        <v>77</v>
      </c>
      <c r="C45" s="14" t="s">
        <v>8</v>
      </c>
      <c r="D45" s="29" t="s">
        <v>80</v>
      </c>
      <c r="E45" s="9" t="s">
        <v>34</v>
      </c>
      <c r="F45" s="14" t="s">
        <v>68</v>
      </c>
      <c r="G45" s="9">
        <v>2.5</v>
      </c>
      <c r="H45" s="14" t="s">
        <v>14</v>
      </c>
      <c r="I45" s="30" t="s">
        <v>161</v>
      </c>
    </row>
    <row r="46" spans="2:9" ht="50.4" x14ac:dyDescent="0.5">
      <c r="B46" s="16" t="s">
        <v>77</v>
      </c>
      <c r="C46" s="14" t="s">
        <v>8</v>
      </c>
      <c r="D46" s="31" t="s">
        <v>81</v>
      </c>
      <c r="E46" s="9" t="s">
        <v>34</v>
      </c>
      <c r="F46" s="14" t="s">
        <v>69</v>
      </c>
      <c r="G46" s="9">
        <v>8.5</v>
      </c>
      <c r="H46" s="14" t="s">
        <v>14</v>
      </c>
      <c r="I46" s="30" t="s">
        <v>165</v>
      </c>
    </row>
    <row r="47" spans="2:9" ht="37.799999999999997" x14ac:dyDescent="0.5">
      <c r="B47" s="16" t="s">
        <v>77</v>
      </c>
      <c r="C47" s="14" t="s">
        <v>8</v>
      </c>
      <c r="D47" s="29" t="s">
        <v>162</v>
      </c>
      <c r="E47" s="9" t="s">
        <v>34</v>
      </c>
      <c r="F47" s="14" t="s">
        <v>68</v>
      </c>
      <c r="G47" s="9">
        <v>2.5</v>
      </c>
      <c r="H47" s="14" t="s">
        <v>14</v>
      </c>
      <c r="I47" s="30" t="s">
        <v>163</v>
      </c>
    </row>
    <row r="48" spans="2:9" ht="25.2" x14ac:dyDescent="0.5">
      <c r="B48" s="16" t="s">
        <v>82</v>
      </c>
      <c r="C48" s="14" t="s">
        <v>83</v>
      </c>
      <c r="D48" s="29" t="s">
        <v>84</v>
      </c>
      <c r="E48" s="9" t="s">
        <v>34</v>
      </c>
      <c r="F48" s="14" t="s">
        <v>68</v>
      </c>
      <c r="G48" s="9">
        <v>1</v>
      </c>
      <c r="H48" s="30" t="s">
        <v>110</v>
      </c>
      <c r="I48" s="30" t="s">
        <v>164</v>
      </c>
    </row>
    <row r="49" spans="2:9" ht="37.799999999999997" x14ac:dyDescent="0.5">
      <c r="B49" s="16" t="s">
        <v>85</v>
      </c>
      <c r="C49" s="14" t="s">
        <v>86</v>
      </c>
      <c r="D49" s="29" t="s">
        <v>87</v>
      </c>
      <c r="E49" s="9" t="s">
        <v>34</v>
      </c>
      <c r="F49" s="14" t="s">
        <v>68</v>
      </c>
      <c r="G49" s="9">
        <v>4.5</v>
      </c>
      <c r="H49" s="30" t="s">
        <v>111</v>
      </c>
      <c r="I49" s="30" t="s">
        <v>105</v>
      </c>
    </row>
    <row r="50" spans="2:9" ht="37.799999999999997" x14ac:dyDescent="0.5">
      <c r="B50" s="16" t="s">
        <v>104</v>
      </c>
      <c r="C50" s="14" t="s">
        <v>8</v>
      </c>
      <c r="D50" s="31" t="s">
        <v>106</v>
      </c>
      <c r="E50" s="9" t="s">
        <v>34</v>
      </c>
      <c r="F50" s="14" t="s">
        <v>68</v>
      </c>
      <c r="G50" s="9">
        <v>4.5</v>
      </c>
      <c r="H50" s="30" t="s">
        <v>112</v>
      </c>
      <c r="I50" s="30" t="s">
        <v>107</v>
      </c>
    </row>
    <row r="51" spans="2:9" ht="25.2" x14ac:dyDescent="0.5">
      <c r="B51" s="16" t="s">
        <v>104</v>
      </c>
      <c r="C51" s="14" t="s">
        <v>12</v>
      </c>
      <c r="D51" s="29" t="s">
        <v>108</v>
      </c>
      <c r="E51" s="9" t="s">
        <v>21</v>
      </c>
      <c r="F51" s="14"/>
      <c r="G51" s="9">
        <v>11.5</v>
      </c>
      <c r="H51" s="14" t="s">
        <v>21</v>
      </c>
      <c r="I51" s="30" t="s">
        <v>166</v>
      </c>
    </row>
    <row r="52" spans="2:9" ht="50.4" x14ac:dyDescent="0.5">
      <c r="B52" s="16" t="s">
        <v>104</v>
      </c>
      <c r="C52" s="14" t="s">
        <v>10</v>
      </c>
      <c r="D52" s="29" t="s">
        <v>109</v>
      </c>
      <c r="E52" s="9" t="s">
        <v>34</v>
      </c>
      <c r="F52" s="14" t="s">
        <v>68</v>
      </c>
      <c r="G52" s="9">
        <v>2.5</v>
      </c>
      <c r="H52" s="14" t="s">
        <v>14</v>
      </c>
      <c r="I52" s="30" t="s">
        <v>167</v>
      </c>
    </row>
    <row r="53" spans="2:9" ht="37.799999999999997" x14ac:dyDescent="0.5">
      <c r="B53" s="16" t="s">
        <v>113</v>
      </c>
      <c r="C53" s="14" t="s">
        <v>8</v>
      </c>
      <c r="D53" s="29" t="s">
        <v>168</v>
      </c>
      <c r="E53" s="9" t="s">
        <v>34</v>
      </c>
      <c r="F53" s="14" t="s">
        <v>68</v>
      </c>
      <c r="G53" s="9">
        <v>1.5</v>
      </c>
      <c r="H53" s="14" t="s">
        <v>21</v>
      </c>
      <c r="I53" s="30" t="s">
        <v>169</v>
      </c>
    </row>
    <row r="54" spans="2:9" ht="37.799999999999997" x14ac:dyDescent="0.5">
      <c r="B54" s="16" t="s">
        <v>139</v>
      </c>
      <c r="C54" s="14" t="s">
        <v>8</v>
      </c>
      <c r="D54" s="29" t="s">
        <v>170</v>
      </c>
      <c r="E54" s="9" t="s">
        <v>34</v>
      </c>
      <c r="F54" s="14" t="s">
        <v>68</v>
      </c>
      <c r="G54" s="9">
        <v>4.5</v>
      </c>
      <c r="H54" s="14" t="s">
        <v>14</v>
      </c>
      <c r="I54" s="30" t="s">
        <v>171</v>
      </c>
    </row>
    <row r="55" spans="2:9" x14ac:dyDescent="0.5">
      <c r="B55" s="16"/>
      <c r="C55" s="14"/>
      <c r="D55" s="29"/>
      <c r="E55" s="9"/>
      <c r="F55" s="14"/>
      <c r="G55" s="9"/>
      <c r="H55" s="14"/>
      <c r="I55" s="30"/>
    </row>
    <row r="56" spans="2:9" x14ac:dyDescent="0.5">
      <c r="B56" s="16"/>
      <c r="C56" s="14"/>
      <c r="D56" s="29"/>
      <c r="E56" s="9"/>
      <c r="F56" s="14"/>
      <c r="G56" s="9"/>
      <c r="H56" s="14"/>
      <c r="I56" s="30"/>
    </row>
    <row r="57" spans="2:9" x14ac:dyDescent="0.5">
      <c r="B57" s="16"/>
      <c r="C57" s="14"/>
      <c r="D57" s="29"/>
      <c r="E57" s="9"/>
      <c r="F57" s="14"/>
      <c r="G57" s="9"/>
      <c r="H57" s="14"/>
      <c r="I57" s="30"/>
    </row>
    <row r="58" spans="2:9" x14ac:dyDescent="0.5">
      <c r="B58" s="16"/>
      <c r="C58" s="31"/>
      <c r="D58" s="31"/>
      <c r="E58" s="9"/>
      <c r="F58" s="14"/>
      <c r="G58" s="9"/>
      <c r="H58" s="31"/>
      <c r="I58" s="30"/>
    </row>
    <row r="59" spans="2:9" x14ac:dyDescent="0.5">
      <c r="B59" s="8"/>
      <c r="C59" s="14"/>
      <c r="D59" s="9"/>
      <c r="E59" s="9"/>
      <c r="F59" s="14"/>
      <c r="G59" s="9"/>
      <c r="H59" s="14"/>
      <c r="I59" s="12"/>
    </row>
    <row r="60" spans="2:9" x14ac:dyDescent="0.5">
      <c r="B60" s="8"/>
      <c r="C60" s="14"/>
      <c r="D60" s="9"/>
      <c r="E60" s="9"/>
      <c r="F60" s="14"/>
      <c r="G60" s="9"/>
      <c r="H60" s="14"/>
      <c r="I60" s="12"/>
    </row>
    <row r="61" spans="2:9" x14ac:dyDescent="0.5">
      <c r="B61" s="8"/>
      <c r="C61" s="14"/>
      <c r="D61" s="9"/>
      <c r="E61" s="9"/>
      <c r="F61" s="14"/>
      <c r="G61" s="9"/>
      <c r="H61" s="14"/>
      <c r="I61" s="12"/>
    </row>
    <row r="62" spans="2:9" x14ac:dyDescent="0.5">
      <c r="B62" s="8"/>
      <c r="C62" s="14"/>
      <c r="D62" s="9"/>
      <c r="E62" s="9"/>
      <c r="F62" s="14"/>
      <c r="G62" s="9"/>
      <c r="H62" s="14"/>
      <c r="I62" s="12"/>
    </row>
    <row r="63" spans="2:9" x14ac:dyDescent="0.5">
      <c r="B63" s="8"/>
      <c r="C63" s="14"/>
      <c r="D63" s="9"/>
      <c r="E63" s="9"/>
      <c r="F63" s="14"/>
      <c r="G63" s="9"/>
      <c r="H63" s="14"/>
      <c r="I63" s="12"/>
    </row>
    <row r="64" spans="2:9" x14ac:dyDescent="0.5">
      <c r="B64" s="24"/>
      <c r="C64" s="25"/>
      <c r="D64" s="26"/>
      <c r="E64" s="26"/>
      <c r="F64" s="28" t="s">
        <v>61</v>
      </c>
      <c r="G64" s="39">
        <f>SUM(G3:G63)</f>
        <v>173.5</v>
      </c>
      <c r="H64" s="40"/>
      <c r="I64" s="41"/>
    </row>
    <row r="65" spans="2:9" ht="14.4" thickBot="1" x14ac:dyDescent="0.55000000000000004">
      <c r="B65" s="20"/>
      <c r="C65" s="21"/>
      <c r="D65" s="22"/>
      <c r="E65" s="22"/>
      <c r="F65" s="27" t="s">
        <v>62</v>
      </c>
      <c r="G65" s="36"/>
      <c r="H65" s="37"/>
      <c r="I65" s="38"/>
    </row>
    <row r="66" spans="2:9" ht="14.4" thickTop="1" x14ac:dyDescent="0.5"/>
  </sheetData>
  <mergeCells count="6">
    <mergeCell ref="G65:I65"/>
    <mergeCell ref="G64:I64"/>
    <mergeCell ref="B40:I40"/>
    <mergeCell ref="B4:I4"/>
    <mergeCell ref="B17:I17"/>
    <mergeCell ref="B27:I27"/>
  </mergeCells>
  <phoneticPr fontId="7" type="noConversion"/>
  <dataValidations count="2">
    <dataValidation type="list" allowBlank="1" showInputMessage="1" showErrorMessage="1" sqref="F28:F29 F5:F16 F18:F26 F41:F63 F30:F39" xr:uid="{3E83FCF3-F479-44C4-B87F-D4C567156BA1}">
      <formula1>INDIRECT(E5)</formula1>
    </dataValidation>
    <dataValidation type="list" allowBlank="1" showInputMessage="1" showErrorMessage="1" sqref="H28:H29 H5:H16 H18:H26 H41:H63 H30:H39" xr:uid="{CE7D0970-AF2E-4CAF-B75B-9815C42EA3B8}">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E5266CC0-F8B1-4699-80AE-B05F9B6CEDE8}">
          <x14:formula1>
            <xm:f>数据标签!$B$11:$D$11</xm:f>
          </x14:formula1>
          <xm:sqref>E5:E16 E18:E26 E41:E65 E28:E39</xm:sqref>
        </x14:dataValidation>
        <x14:dataValidation type="list" allowBlank="1" showInputMessage="1" showErrorMessage="1" xr:uid="{B1BE9697-5A94-4E95-ADF1-7FACDDFFF197}">
          <x14:formula1>
            <xm:f>数据标签!$B$2:$H$2</xm:f>
          </x14:formula1>
          <xm:sqref>C5:C16 C18:C26 C41:C65 C28:C39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2025-05-06T11:28:19Z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