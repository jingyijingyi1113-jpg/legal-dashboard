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
    </mc:Choice>
  </mc:AlternateContent>
  <xr:revisionPtr revIDLastSave="0" documentId="13_ncr:1_{C93E9EDC-7341-44F2-819A-BAB86DB3211A}" xr6:coauthVersionLast="47" xr6:coauthVersionMax="47" xr10:uidLastSave="{00000000-0000-0000-0000-000000000000}"/>
  <bookViews>
    <workbookView xWindow="44880" yWindow="7185"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<sst xmlns="http://schemas.openxmlformats.org/spreadsheetml/2006/main" count="344" uniqueCount="138">
  <si>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</si>
  <si>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</si>
  <si>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</si>
  <si>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</si>
  <si>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</si>
  <si>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</si>
  <si>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</si>
  <si>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</si>
  <si>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</si>
  <si>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</si>
  <si>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</si>
  <si>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</si>
  <si>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</si>
  <si>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</si>
  <si>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</si>
  <si>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</si>
  <si>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</si>
  <si>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</si>
  <si>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</si>
  <si>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</si>
  <si>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</si>
  <si>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</si>
  <si>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</si>
  <si>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</si>
  <si>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</si>
  <si>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</si>
  <si>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</si>
  <si>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</si>
  <si>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</si>
  <si>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</si>
  <si>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</si>
  <si>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</si>
  <si>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</si>
  <si>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</si>
  <si>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</si>
  <si>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</si>
  <si>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</si>
  <si>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</si>
  <si>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</si>
  <si>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</si>
  <si>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</si>
  <si>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</si>
  <si>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</si>
  <si>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</si>
  <si>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</si>
  <si>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</si>
  <si>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</si>
  <si>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</si>
  <si>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</si>
  <si>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</si>
  <si>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</si>
  <si>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</si>
  <si>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</si>
  <si>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</si>
  <si>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</si>
  <si>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</si>
  <si>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</si>
  <si>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</si>
  <si>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</si>
  <si>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</si>
  <si>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</si>
  <si>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</si>
  <si>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</si>
  <si>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</si>
  <si>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</si>
  <si>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</si>
  <si>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</si>
  <si>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</si>
  <si>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</si>
  <si>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</si>
  <si>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</si>
  <si>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</si>
  <si>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</si>
  <si>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</si>
  <si>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</si>
  <si>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ianzhuang</t>
    <phoneticPr fontId="7" type="noConversion"/>
  </si>
  <si>
    <t>Public - Infrastructure &amp; Guidance</t>
  </si>
  <si>
    <t>AI Infra building</t>
    <phoneticPr fontId="7" type="noConversion"/>
  </si>
  <si>
    <t>Discord</t>
    <phoneticPr fontId="7" type="noConversion"/>
  </si>
  <si>
    <t>CFIUS/DSP matrix</t>
    <phoneticPr fontId="7" type="noConversion"/>
  </si>
  <si>
    <t>小皮</t>
    <phoneticPr fontId="7" type="noConversion"/>
  </si>
  <si>
    <t>Frontier</t>
    <phoneticPr fontId="7" type="noConversion"/>
  </si>
  <si>
    <t>小红书</t>
    <phoneticPr fontId="7" type="noConversion"/>
  </si>
  <si>
    <t>BSC</t>
    <phoneticPr fontId="7" type="noConversion"/>
  </si>
  <si>
    <t>执业管理平台体系完善 Perfection of the professional management platform</t>
  </si>
  <si>
    <t>资本市场、投融资活动创新突破 Innovative breakthroughs in investments and capital market transactions</t>
  </si>
  <si>
    <t>敏感投资领域投资指引 Guidance for sensitive investment fields</t>
  </si>
  <si>
    <t>Establishing/improving IT systems</t>
  </si>
  <si>
    <t>Drafting/reviewing/negotiating legal documents</t>
  </si>
  <si>
    <t>build up connection with Harvey team, reasearch into Harvey's recent policy re no PRC users, discussion with PWC team</t>
    <phoneticPr fontId="7" type="noConversion"/>
  </si>
  <si>
    <t>draft prompts for CFIUS analysis (offline info gathering) workflow</t>
    <phoneticPr fontId="7" type="noConversion"/>
  </si>
  <si>
    <t>draft prompts for CFIUS analysis (CFIUS risk assessment matrix) module.</t>
    <phoneticPr fontId="7" type="noConversion"/>
  </si>
  <si>
    <t xml:space="preserve">discussion with MA team on latest update re 世纪华通, company's recent approach to MA team seeking for a solution. Discussion with external counsel re the same. </t>
    <phoneticPr fontId="7" type="noConversion"/>
  </si>
  <si>
    <t>discussion with MA team re the potential investment in Discord, the upper limit of % we could invest in this company.</t>
    <phoneticPr fontId="7" type="noConversion"/>
  </si>
  <si>
    <t>further discussion and internal report re CFIUS/DSP matrix</t>
    <phoneticPr fontId="7" type="noConversion"/>
  </si>
  <si>
    <t>follow up with MA re 小皮 redemption，discussion with Carlye re the same.</t>
    <phoneticPr fontId="7" type="noConversion"/>
  </si>
  <si>
    <t>review draft resolutions provided by Frontier team, discussion with counsel re the same</t>
    <phoneticPr fontId="7" type="noConversion"/>
  </si>
  <si>
    <t>Further review and revise the CFIUS/DSP internal review and risk scoring matrix</t>
    <phoneticPr fontId="7" type="noConversion"/>
  </si>
  <si>
    <t xml:space="preserve">internal communication with MA team re the potential classification </t>
    <phoneticPr fontId="7" type="noConversion"/>
  </si>
  <si>
    <t>week 1</t>
    <phoneticPr fontId="7" type="noConversion"/>
  </si>
  <si>
    <t>week 2</t>
    <phoneticPr fontId="7" type="noConversion"/>
  </si>
  <si>
    <t>Treelab</t>
    <phoneticPr fontId="7" type="noConversion"/>
  </si>
  <si>
    <t>乐城堡</t>
    <phoneticPr fontId="7" type="noConversion"/>
  </si>
  <si>
    <t>Public - Knowledge Accumulation &amp; Sharing</t>
  </si>
  <si>
    <t>平行架构</t>
    <phoneticPr fontId="7" type="noConversion"/>
  </si>
  <si>
    <t>talking points with MA team</t>
    <phoneticPr fontId="7" type="noConversion"/>
  </si>
  <si>
    <t>Toei</t>
    <phoneticPr fontId="7" type="noConversion"/>
  </si>
  <si>
    <t>discussion with PWC team re Harvey's no PRC user policy and potential solutions. Review and revise the draft agreements sent by Harvey team.</t>
    <phoneticPr fontId="7" type="noConversion"/>
  </si>
  <si>
    <t>review and revise the current proposal by Treelab team, internal discussion with MA re the same.</t>
    <phoneticPr fontId="7" type="noConversion"/>
  </si>
  <si>
    <t>review the draft transaction documents, internal discussion with MA and tax team.</t>
    <phoneticPr fontId="7" type="noConversion"/>
  </si>
  <si>
    <t>internal discussion with Cooker re the AI infrastructure, communication with PWC team re the same.</t>
    <phoneticPr fontId="7" type="noConversion"/>
  </si>
  <si>
    <t xml:space="preserve">discussion with dispute resolution team re the case of 世纪华通, exploring available routes and options </t>
    <phoneticPr fontId="7" type="noConversion"/>
  </si>
  <si>
    <t>internal discussion re foreign exchange and tax issues with 平行架构 and its respective valuation.</t>
    <phoneticPr fontId="7" type="noConversion"/>
  </si>
  <si>
    <t>prepare list of talking points with MA teams</t>
    <phoneticPr fontId="7" type="noConversion"/>
  </si>
  <si>
    <t>discussion with MA re the proposed investment in Toei. Legal research re FEFTA filing for our proposed stake in the listed company</t>
    <phoneticPr fontId="7" type="noConversion"/>
  </si>
  <si>
    <t>week 3</t>
    <phoneticPr fontId="7" type="noConversion"/>
  </si>
  <si>
    <t>Investment Related - M&amp;A Deal</t>
    <phoneticPr fontId="7" type="noConversion"/>
  </si>
  <si>
    <t>discussion with MA team re 世纪华通. meeting with 黄怡 re the current position by the company. Review the proposal by the company and draft agreement for potential debt settlement</t>
    <phoneticPr fontId="7" type="noConversion"/>
  </si>
  <si>
    <t>meeting with 世纪华通 team to discuss the debt settlement agreement</t>
    <phoneticPr fontId="7" type="noConversion"/>
  </si>
  <si>
    <t>meeting with MA team</t>
    <phoneticPr fontId="7" type="noConversion"/>
  </si>
  <si>
    <t>meeting with MA (danying team and Chris ning) to discuss investment plan for 2026.</t>
    <phoneticPr fontId="7" type="noConversion"/>
  </si>
  <si>
    <t>meeting with Krystal</t>
    <phoneticPr fontId="7" type="noConversion"/>
  </si>
  <si>
    <t>meeting with Krystal to discuss potential opportunities with investment in Revolut</t>
    <phoneticPr fontId="7" type="noConversion"/>
  </si>
  <si>
    <t>AI products</t>
    <phoneticPr fontId="7" type="noConversion"/>
  </si>
  <si>
    <t>call with Harvey team, call with internal IT team, call with PWC team, to discuss Harvey's policy and Tencent's options</t>
    <phoneticPr fontId="7" type="noConversion"/>
  </si>
  <si>
    <t>continue to improve the CFIUS assessment prompts</t>
    <phoneticPr fontId="7" type="noConversion"/>
  </si>
  <si>
    <t>presentation to James</t>
    <phoneticPr fontId="7" type="noConversion"/>
  </si>
  <si>
    <t>prepare the slides re AI for meeting with James, attend the meeting with James.</t>
    <phoneticPr fontId="7" type="noConversion"/>
  </si>
  <si>
    <t>investment exit</t>
    <phoneticPr fontId="7" type="noConversion"/>
  </si>
  <si>
    <t>Meeting with MA's Daniel to discuss the potential efforts in investment exits. Internal alignment and collection of relevant knowhows.</t>
    <phoneticPr fontId="7" type="noConversion"/>
  </si>
  <si>
    <t>discussion with Hanlin and etc. re the current practice re attorney fees management, and proposals to improve the current system.</t>
    <phoneticPr fontId="7" type="noConversion"/>
  </si>
  <si>
    <t>UBO filing</t>
    <phoneticPr fontId="7" type="noConversion"/>
  </si>
  <si>
    <t>review and revise the work flow design by 微盛 team, internal discussion with 微盛</t>
    <phoneticPr fontId="7" type="noConversion"/>
  </si>
  <si>
    <t>draft prompt for CFIUS/DSP analysis</t>
    <phoneticPr fontId="7" type="noConversion"/>
  </si>
  <si>
    <t>draft prompt for CFIUS/DSP analysis, testing the same</t>
    <phoneticPr fontId="7" type="noConversion"/>
  </si>
  <si>
    <t>week 4</t>
    <phoneticPr fontId="7" type="noConversion"/>
  </si>
  <si>
    <t>review and revise the current report, our proposal re UBO filings by investees, and our request for Pony's personal info</t>
    <phoneticPr fontId="7" type="noConversion"/>
  </si>
  <si>
    <t>further review and revise the debt settlement agreement with the counter party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</si>
</sst>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pplyAlignment="1">
      <alignment vertical="center" wrapText="1"/>
    </xf>
    <xf numFmtId="0" fontId="5" fillId="0" borderId="9" xfId="0" applyFont="1" applyBorder="1">
      <alignment vertical="center"/>
    </xf>
    <xf numFmtId="0" fontId="1" fillId="0" borderId="11" xfId="0" applyFont="1" applyBorder="1" applyAlignment="1">
      <alignment horizontal="right" vertical="center" wrapText="1"/>
    </xf>
    <xf numFmtId="0" fontId="1" fillId="0" borderId="15"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2" xfId="0" applyFont="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0" xfId="0" applyFont="1" applyBorder="1" applyAlignment="1">
      <alignment horizontal="left" vertical="center"/>
    </xf>
    <xf numFmtId="0" fontId="1" fillId="0" borderId="4" xfId="0" applyFont="1" applyBorder="1" applyAlignment="1">
      <alignment vertical="center" wrapText="1"/>
    </xf>
    <xf numFmtId="0" fontId="1" fillId="0" borderId="18"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0" fontId="1" fillId="0" borderId="18"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2"/>
  <sheetViews>
    <sheetView tabSelected="1" topLeftCell="A3" zoomScale="90" zoomScaleNormal="90" workbookViewId="0">
      <selection activeCell="I37" sqref="I37"/>
    </sheetView>
  </sheetViews>
  <sheetFormatPr defaultColWidth="9" defaultRowHeight="14.1" x14ac:dyDescent="0.5"/>
  <cols>
    <col min="3" max="3" width="34.34765625" style="11" customWidth="1"/>
    <col min="4" max="4" width="15.1484375" customWidth="1"/>
    <col min="5" max="5" width="10.6484375" customWidth="1"/>
    <col min="6" max="6" width="29.84765625" style="11" customWidth="1"/>
    <col min="8" max="8" width="41.6484375" style="11" customWidth="1"/>
    <col min="9" max="9" width="39.84765625" customWidth="1"/>
  </cols>
  <sheetData>
    <row r="2" spans="2:9" x14ac:dyDescent="0.5">
      <c r="B2" s="4" t="s">
        <v>0</v>
      </c>
      <c r="C2" s="5" t="s">
        <v>64</v>
      </c>
      <c r="D2" s="5" t="s">
        <v>1</v>
      </c>
      <c r="E2" s="5" t="s">
        <v>71</v>
      </c>
      <c r="F2" s="5" t="s">
        <v>72</v>
      </c>
      <c r="G2" s="5" t="s">
        <v>2</v>
      </c>
      <c r="H2" s="5" t="s">
        <v>3</v>
      </c>
      <c r="I2" s="8" t="s">
        <v>4</v>
      </c>
    </row>
    <row r="3" spans="2:9" ht="257.39999999999998" customHeight="1" x14ac:dyDescent="0.5">
      <c r="B3" s="6" t="s">
        <v>5</v>
      </c>
      <c r="C3" s="7" t="s">
        <v>6</v>
      </c>
      <c r="D3" s="7" t="s">
        <v>7</v>
      </c>
      <c r="E3" s="7" t="s">
        <v>70</v>
      </c>
      <c r="F3" s="7" t="s">
        <v>73</v>
      </c>
      <c r="G3" s="7" t="s">
        <v>8</v>
      </c>
      <c r="H3" s="7" t="s">
        <v>9</v>
      </c>
      <c r="I3" s="9" t="s">
        <v>10</v>
      </c>
    </row>
    <row r="4" spans="2:9" ht="21" customHeight="1" x14ac:dyDescent="0.5">
      <c r="B4" s="31" t="s">
        <v>99</v>
      </c>
      <c r="C4" s="32"/>
      <c r="D4" s="32"/>
      <c r="E4" s="32"/>
      <c r="F4" s="32"/>
      <c r="G4" s="32"/>
      <c r="H4" s="32"/>
      <c r="I4" s="33"/>
    </row>
    <row r="5" spans="2:9" ht="37.799999999999997" x14ac:dyDescent="0.5">
      <c r="B5" s="12" t="s">
        <v>75</v>
      </c>
      <c r="C5" s="30" t="s">
        <v>76</v>
      </c>
      <c r="D5" s="22" t="s">
        <v>77</v>
      </c>
      <c r="E5" s="22" t="s">
        <v>37</v>
      </c>
      <c r="F5" s="30" t="s">
        <v>84</v>
      </c>
      <c r="G5" s="22">
        <v>5.5</v>
      </c>
      <c r="H5" s="30" t="s">
        <v>87</v>
      </c>
      <c r="I5" s="23" t="s">
        <v>89</v>
      </c>
    </row>
    <row r="6" spans="2:9" ht="25.2" x14ac:dyDescent="0.5">
      <c r="B6" s="12" t="s">
        <v>75</v>
      </c>
      <c r="C6" s="30" t="s">
        <v>76</v>
      </c>
      <c r="D6" s="22" t="s">
        <v>77</v>
      </c>
      <c r="E6" s="22" t="s">
        <v>83</v>
      </c>
      <c r="F6" s="30" t="s">
        <v>84</v>
      </c>
      <c r="G6" s="22">
        <v>8.5</v>
      </c>
      <c r="H6" s="30" t="s">
        <v>87</v>
      </c>
      <c r="I6" s="23" t="s">
        <v>90</v>
      </c>
    </row>
    <row r="7" spans="2:9" ht="25.2" x14ac:dyDescent="0.5">
      <c r="B7" s="12" t="s">
        <v>75</v>
      </c>
      <c r="C7" s="30" t="s">
        <v>76</v>
      </c>
      <c r="D7" s="22" t="s">
        <v>77</v>
      </c>
      <c r="E7" s="22" t="s">
        <v>83</v>
      </c>
      <c r="F7" s="30" t="s">
        <v>84</v>
      </c>
      <c r="G7" s="22">
        <v>6</v>
      </c>
      <c r="H7" s="30" t="s">
        <v>87</v>
      </c>
      <c r="I7" s="23" t="s">
        <v>91</v>
      </c>
    </row>
    <row r="8" spans="2:9" ht="37.799999999999997" x14ac:dyDescent="0.5">
      <c r="B8" s="12" t="s">
        <v>75</v>
      </c>
      <c r="C8" s="30" t="s">
        <v>14</v>
      </c>
      <c r="D8" s="22" t="s">
        <v>74</v>
      </c>
      <c r="E8" s="22" t="s">
        <v>37</v>
      </c>
      <c r="F8" s="30" t="s">
        <v>69</v>
      </c>
      <c r="G8" s="22">
        <v>5.5</v>
      </c>
      <c r="H8" s="30" t="s">
        <v>66</v>
      </c>
      <c r="I8" s="23" t="s">
        <v>92</v>
      </c>
    </row>
    <row r="9" spans="2:9" ht="37.799999999999997" x14ac:dyDescent="0.5">
      <c r="B9" s="12" t="s">
        <v>75</v>
      </c>
      <c r="C9" s="30" t="s">
        <v>12</v>
      </c>
      <c r="D9" s="22" t="s">
        <v>78</v>
      </c>
      <c r="E9" s="22" t="s">
        <v>37</v>
      </c>
      <c r="F9" s="30" t="s">
        <v>85</v>
      </c>
      <c r="G9" s="22">
        <v>1.5</v>
      </c>
      <c r="H9" s="30" t="s">
        <v>66</v>
      </c>
      <c r="I9" s="23" t="s">
        <v>93</v>
      </c>
    </row>
    <row r="10" spans="2:9" ht="25.2" x14ac:dyDescent="0.5">
      <c r="B10" s="12" t="s">
        <v>75</v>
      </c>
      <c r="C10" s="30" t="s">
        <v>76</v>
      </c>
      <c r="D10" s="22" t="s">
        <v>79</v>
      </c>
      <c r="E10" s="22" t="s">
        <v>37</v>
      </c>
      <c r="F10" s="30" t="s">
        <v>86</v>
      </c>
      <c r="G10" s="22">
        <v>4.5</v>
      </c>
      <c r="H10" s="30" t="s">
        <v>19</v>
      </c>
      <c r="I10" s="23" t="s">
        <v>94</v>
      </c>
    </row>
    <row r="11" spans="2:9" ht="25.2" x14ac:dyDescent="0.5">
      <c r="B11" s="12" t="s">
        <v>75</v>
      </c>
      <c r="C11" s="30" t="s">
        <v>14</v>
      </c>
      <c r="D11" s="22" t="s">
        <v>80</v>
      </c>
      <c r="E11" s="22" t="s">
        <v>37</v>
      </c>
      <c r="F11" s="30" t="s">
        <v>69</v>
      </c>
      <c r="G11" s="22">
        <v>2.5</v>
      </c>
      <c r="H11" s="30" t="s">
        <v>66</v>
      </c>
      <c r="I11" s="23" t="s">
        <v>95</v>
      </c>
    </row>
    <row r="12" spans="2:9" ht="25.2" x14ac:dyDescent="0.5">
      <c r="B12" s="12" t="s">
        <v>75</v>
      </c>
      <c r="C12" s="30" t="s">
        <v>14</v>
      </c>
      <c r="D12" s="22" t="s">
        <v>81</v>
      </c>
      <c r="E12" s="22" t="s">
        <v>37</v>
      </c>
      <c r="F12" s="30" t="s">
        <v>69</v>
      </c>
      <c r="G12" s="22">
        <v>2.5</v>
      </c>
      <c r="H12" s="30" t="s">
        <v>66</v>
      </c>
      <c r="I12" s="23" t="s">
        <v>96</v>
      </c>
    </row>
    <row r="13" spans="2:9" ht="25.2" x14ac:dyDescent="0.5">
      <c r="B13" s="12" t="s">
        <v>75</v>
      </c>
      <c r="C13" s="30" t="s">
        <v>76</v>
      </c>
      <c r="D13" s="22" t="s">
        <v>79</v>
      </c>
      <c r="E13" s="22" t="s">
        <v>37</v>
      </c>
      <c r="F13" s="30" t="s">
        <v>86</v>
      </c>
      <c r="G13" s="22">
        <v>2.5</v>
      </c>
      <c r="H13" s="30" t="s">
        <v>19</v>
      </c>
      <c r="I13" s="23" t="s">
        <v>97</v>
      </c>
    </row>
    <row r="14" spans="2:9" ht="25.2" x14ac:dyDescent="0.5">
      <c r="B14" s="12" t="s">
        <v>75</v>
      </c>
      <c r="C14" s="30" t="s">
        <v>14</v>
      </c>
      <c r="D14" s="22" t="s">
        <v>82</v>
      </c>
      <c r="E14" s="22" t="s">
        <v>37</v>
      </c>
      <c r="F14" s="30" t="s">
        <v>69</v>
      </c>
      <c r="G14" s="22">
        <v>0.5</v>
      </c>
      <c r="H14" s="30" t="s">
        <v>24</v>
      </c>
      <c r="I14" s="23" t="s">
        <v>98</v>
      </c>
    </row>
    <row r="15" spans="2:9" x14ac:dyDescent="0.5">
      <c r="B15" s="31" t="s">
        <v>100</v>
      </c>
      <c r="C15" s="32"/>
      <c r="D15" s="32"/>
      <c r="E15" s="32"/>
      <c r="F15" s="32"/>
      <c r="G15" s="32"/>
      <c r="H15" s="32"/>
      <c r="I15" s="33"/>
    </row>
    <row r="16" spans="2:9" ht="37.799999999999997" x14ac:dyDescent="0.5">
      <c r="B16" s="12" t="s">
        <v>75</v>
      </c>
      <c r="C16" s="30" t="s">
        <v>76</v>
      </c>
      <c r="D16" s="22" t="s">
        <v>77</v>
      </c>
      <c r="E16" s="22" t="s">
        <v>37</v>
      </c>
      <c r="F16" s="30" t="s">
        <v>84</v>
      </c>
      <c r="G16" s="22">
        <v>5.5</v>
      </c>
      <c r="H16" s="30" t="s">
        <v>87</v>
      </c>
      <c r="I16" s="23" t="s">
        <v>107</v>
      </c>
    </row>
    <row r="17" spans="2:9" ht="25.2" x14ac:dyDescent="0.5">
      <c r="B17" s="12" t="s">
        <v>75</v>
      </c>
      <c r="C17" s="30" t="s">
        <v>14</v>
      </c>
      <c r="D17" s="22" t="s">
        <v>101</v>
      </c>
      <c r="E17" s="22" t="s">
        <v>37</v>
      </c>
      <c r="F17" s="30" t="s">
        <v>69</v>
      </c>
      <c r="G17" s="22">
        <v>2.5</v>
      </c>
      <c r="H17" s="30" t="s">
        <v>66</v>
      </c>
      <c r="I17" s="23" t="s">
        <v>108</v>
      </c>
    </row>
    <row r="18" spans="2:9" ht="37.799999999999997" x14ac:dyDescent="0.5">
      <c r="B18" s="12" t="s">
        <v>75</v>
      </c>
      <c r="C18" s="30" t="s">
        <v>12</v>
      </c>
      <c r="D18" s="22" t="s">
        <v>102</v>
      </c>
      <c r="E18" s="22" t="s">
        <v>37</v>
      </c>
      <c r="F18" s="30" t="s">
        <v>85</v>
      </c>
      <c r="G18" s="22">
        <v>5.5</v>
      </c>
      <c r="H18" s="30" t="s">
        <v>66</v>
      </c>
      <c r="I18" s="23" t="s">
        <v>109</v>
      </c>
    </row>
    <row r="19" spans="2:9" ht="25.2" x14ac:dyDescent="0.5">
      <c r="B19" s="12" t="s">
        <v>75</v>
      </c>
      <c r="C19" s="30" t="s">
        <v>76</v>
      </c>
      <c r="D19" s="22" t="s">
        <v>77</v>
      </c>
      <c r="E19" s="22" t="s">
        <v>37</v>
      </c>
      <c r="F19" s="30" t="s">
        <v>84</v>
      </c>
      <c r="G19" s="22">
        <v>2.5</v>
      </c>
      <c r="H19" s="30" t="s">
        <v>87</v>
      </c>
      <c r="I19" s="23" t="s">
        <v>110</v>
      </c>
    </row>
    <row r="20" spans="2:9" ht="25.2" x14ac:dyDescent="0.5">
      <c r="B20" s="12" t="s">
        <v>75</v>
      </c>
      <c r="C20" s="30" t="s">
        <v>14</v>
      </c>
      <c r="D20" s="22" t="s">
        <v>74</v>
      </c>
      <c r="E20" s="22" t="s">
        <v>37</v>
      </c>
      <c r="F20" s="30" t="s">
        <v>69</v>
      </c>
      <c r="G20" s="22">
        <v>1.5</v>
      </c>
      <c r="H20" s="30" t="s">
        <v>25</v>
      </c>
      <c r="I20" s="23" t="s">
        <v>111</v>
      </c>
    </row>
    <row r="21" spans="2:9" ht="25.2" x14ac:dyDescent="0.5">
      <c r="B21" s="12" t="s">
        <v>75</v>
      </c>
      <c r="C21" s="30" t="s">
        <v>103</v>
      </c>
      <c r="D21" s="22" t="s">
        <v>104</v>
      </c>
      <c r="E21" s="22" t="s">
        <v>37</v>
      </c>
      <c r="F21" s="30" t="s">
        <v>69</v>
      </c>
      <c r="G21" s="22">
        <v>2.5</v>
      </c>
      <c r="H21" s="30" t="s">
        <v>20</v>
      </c>
      <c r="I21" s="23" t="s">
        <v>112</v>
      </c>
    </row>
    <row r="22" spans="2:9" ht="25.2" x14ac:dyDescent="0.5">
      <c r="B22" s="12" t="s">
        <v>75</v>
      </c>
      <c r="C22" s="30" t="s">
        <v>16</v>
      </c>
      <c r="D22" s="22" t="s">
        <v>105</v>
      </c>
      <c r="E22" s="22" t="s">
        <v>37</v>
      </c>
      <c r="F22" s="30" t="s">
        <v>69</v>
      </c>
      <c r="G22" s="22">
        <v>4.5</v>
      </c>
      <c r="H22" s="30" t="s">
        <v>24</v>
      </c>
      <c r="I22" s="23" t="s">
        <v>113</v>
      </c>
    </row>
    <row r="23" spans="2:9" ht="37.799999999999997" x14ac:dyDescent="0.5">
      <c r="B23" s="12" t="s">
        <v>75</v>
      </c>
      <c r="C23" s="30" t="s">
        <v>12</v>
      </c>
      <c r="D23" s="22" t="s">
        <v>106</v>
      </c>
      <c r="E23" s="22" t="s">
        <v>37</v>
      </c>
      <c r="F23" s="30" t="s">
        <v>69</v>
      </c>
      <c r="G23" s="22">
        <v>1</v>
      </c>
      <c r="H23" s="30" t="s">
        <v>25</v>
      </c>
      <c r="I23" s="23" t="s">
        <v>114</v>
      </c>
    </row>
    <row r="24" spans="2:9" x14ac:dyDescent="0.5">
      <c r="B24" s="31" t="s">
        <v>115</v>
      </c>
      <c r="C24" s="32"/>
      <c r="D24" s="32"/>
      <c r="E24" s="32"/>
      <c r="F24" s="32"/>
      <c r="G24" s="32"/>
      <c r="H24" s="32"/>
      <c r="I24" s="33"/>
    </row>
    <row r="25" spans="2:9" ht="50.4" x14ac:dyDescent="0.5">
      <c r="B25" s="34" t="s">
        <v>75</v>
      </c>
      <c r="C25" s="30" t="s">
        <v>116</v>
      </c>
      <c r="D25" s="22" t="s">
        <v>74</v>
      </c>
      <c r="E25" s="22" t="s">
        <v>37</v>
      </c>
      <c r="F25" s="30" t="s">
        <v>69</v>
      </c>
      <c r="G25" s="22">
        <v>12.5</v>
      </c>
      <c r="H25" s="30" t="s">
        <v>66</v>
      </c>
      <c r="I25" s="23" t="s">
        <v>117</v>
      </c>
    </row>
    <row r="26" spans="2:9" ht="25.2" x14ac:dyDescent="0.5">
      <c r="B26" s="34" t="s">
        <v>75</v>
      </c>
      <c r="C26" s="30" t="s">
        <v>12</v>
      </c>
      <c r="D26" s="22" t="s">
        <v>74</v>
      </c>
      <c r="E26" s="22" t="s">
        <v>37</v>
      </c>
      <c r="F26" s="30" t="s">
        <v>69</v>
      </c>
      <c r="G26" s="22">
        <v>3.5</v>
      </c>
      <c r="H26" s="30" t="s">
        <v>66</v>
      </c>
      <c r="I26" s="23" t="s">
        <v>118</v>
      </c>
    </row>
    <row r="27" spans="2:9" ht="25.2" x14ac:dyDescent="0.5">
      <c r="B27" s="34" t="s">
        <v>75</v>
      </c>
      <c r="C27" s="30" t="s">
        <v>16</v>
      </c>
      <c r="D27" s="22" t="s">
        <v>119</v>
      </c>
      <c r="E27" s="22" t="s">
        <v>37</v>
      </c>
      <c r="F27" s="30" t="s">
        <v>69</v>
      </c>
      <c r="G27" s="22">
        <v>3.5</v>
      </c>
      <c r="H27" s="30" t="s">
        <v>24</v>
      </c>
      <c r="I27" s="23" t="s">
        <v>120</v>
      </c>
    </row>
    <row r="28" spans="2:9" ht="25.2" x14ac:dyDescent="0.5">
      <c r="B28" s="12" t="s">
        <v>75</v>
      </c>
      <c r="C28" s="30" t="s">
        <v>76</v>
      </c>
      <c r="D28" s="22" t="s">
        <v>123</v>
      </c>
      <c r="E28" s="22" t="s">
        <v>37</v>
      </c>
      <c r="F28" s="30" t="s">
        <v>84</v>
      </c>
      <c r="G28" s="22">
        <v>8.5</v>
      </c>
      <c r="H28" s="30" t="s">
        <v>87</v>
      </c>
      <c r="I28" s="23" t="s">
        <v>133</v>
      </c>
    </row>
    <row r="29" spans="2:9" ht="25.2" x14ac:dyDescent="0.5">
      <c r="B29" s="12" t="s">
        <v>75</v>
      </c>
      <c r="C29" s="30" t="s">
        <v>76</v>
      </c>
      <c r="D29" s="22" t="s">
        <v>123</v>
      </c>
      <c r="E29" s="22" t="s">
        <v>37</v>
      </c>
      <c r="F29" s="30" t="s">
        <v>84</v>
      </c>
      <c r="G29" s="22">
        <v>9.5</v>
      </c>
      <c r="H29" s="30" t="s">
        <v>87</v>
      </c>
      <c r="I29" s="23" t="s">
        <v>134</v>
      </c>
    </row>
    <row r="30" spans="2:9" ht="25.2" x14ac:dyDescent="0.5">
      <c r="B30" s="34" t="s">
        <v>75</v>
      </c>
      <c r="C30" s="30" t="s">
        <v>16</v>
      </c>
      <c r="D30" s="22" t="s">
        <v>121</v>
      </c>
      <c r="E30" s="22" t="s">
        <v>37</v>
      </c>
      <c r="F30" s="30" t="s">
        <v>69</v>
      </c>
      <c r="G30" s="22">
        <v>1.5</v>
      </c>
      <c r="H30" s="30" t="s">
        <v>24</v>
      </c>
      <c r="I30" s="23" t="s">
        <v>122</v>
      </c>
    </row>
    <row r="31" spans="2:9" ht="37.799999999999997" x14ac:dyDescent="0.5">
      <c r="B31" s="34" t="s">
        <v>75</v>
      </c>
      <c r="C31" s="30" t="s">
        <v>76</v>
      </c>
      <c r="D31" s="22" t="s">
        <v>123</v>
      </c>
      <c r="E31" s="22" t="s">
        <v>37</v>
      </c>
      <c r="F31" s="30" t="s">
        <v>84</v>
      </c>
      <c r="G31" s="22">
        <v>3.5</v>
      </c>
      <c r="H31" s="30" t="s">
        <v>87</v>
      </c>
      <c r="I31" s="23" t="s">
        <v>124</v>
      </c>
    </row>
    <row r="32" spans="2:9" ht="25.2" x14ac:dyDescent="0.5">
      <c r="B32" s="34" t="s">
        <v>75</v>
      </c>
      <c r="C32" s="30" t="s">
        <v>76</v>
      </c>
      <c r="D32" s="22" t="s">
        <v>123</v>
      </c>
      <c r="E32" s="22" t="s">
        <v>37</v>
      </c>
      <c r="F32" s="30" t="s">
        <v>84</v>
      </c>
      <c r="G32" s="22">
        <v>9.5</v>
      </c>
      <c r="H32" s="30" t="s">
        <v>87</v>
      </c>
      <c r="I32" s="23" t="s">
        <v>125</v>
      </c>
    </row>
    <row r="33" spans="2:9" x14ac:dyDescent="0.5">
      <c r="B33" s="31" t="s">
        <v>135</v>
      </c>
      <c r="C33" s="32"/>
      <c r="D33" s="32"/>
      <c r="E33" s="32"/>
      <c r="F33" s="32"/>
      <c r="G33" s="32"/>
      <c r="H33" s="32"/>
      <c r="I33" s="33"/>
    </row>
    <row r="34" spans="2:9" ht="25.2" x14ac:dyDescent="0.5">
      <c r="B34" s="12" t="s">
        <v>75</v>
      </c>
      <c r="C34" s="30" t="s">
        <v>16</v>
      </c>
      <c r="D34" s="22" t="s">
        <v>126</v>
      </c>
      <c r="E34" s="22" t="s">
        <v>37</v>
      </c>
      <c r="F34" s="30" t="s">
        <v>84</v>
      </c>
      <c r="G34" s="22">
        <v>5.5</v>
      </c>
      <c r="H34" s="30" t="s">
        <v>21</v>
      </c>
      <c r="I34" s="23" t="s">
        <v>127</v>
      </c>
    </row>
    <row r="35" spans="2:9" ht="37.799999999999997" x14ac:dyDescent="0.5">
      <c r="B35" s="12" t="s">
        <v>75</v>
      </c>
      <c r="C35" s="30" t="s">
        <v>16</v>
      </c>
      <c r="D35" s="22" t="s">
        <v>128</v>
      </c>
      <c r="E35" s="22" t="s">
        <v>37</v>
      </c>
      <c r="F35" s="30" t="s">
        <v>69</v>
      </c>
      <c r="G35" s="22">
        <v>2.5</v>
      </c>
      <c r="H35" s="30" t="s">
        <v>24</v>
      </c>
      <c r="I35" s="23" t="s">
        <v>129</v>
      </c>
    </row>
    <row r="36" spans="2:9" ht="25.2" x14ac:dyDescent="0.5">
      <c r="B36" s="12" t="s">
        <v>75</v>
      </c>
      <c r="C36" s="30" t="s">
        <v>12</v>
      </c>
      <c r="D36" s="22" t="s">
        <v>74</v>
      </c>
      <c r="E36" s="22" t="s">
        <v>37</v>
      </c>
      <c r="F36" s="30" t="s">
        <v>69</v>
      </c>
      <c r="G36" s="22">
        <v>11</v>
      </c>
      <c r="H36" s="30" t="s">
        <v>66</v>
      </c>
      <c r="I36" s="23" t="s">
        <v>137</v>
      </c>
    </row>
    <row r="37" spans="2:9" ht="37.799999999999997" x14ac:dyDescent="0.5">
      <c r="B37" s="12" t="s">
        <v>75</v>
      </c>
      <c r="C37" s="30" t="s">
        <v>76</v>
      </c>
      <c r="D37" s="22" t="s">
        <v>123</v>
      </c>
      <c r="E37" s="22" t="s">
        <v>37</v>
      </c>
      <c r="F37" s="30" t="s">
        <v>84</v>
      </c>
      <c r="G37" s="22">
        <v>1.5</v>
      </c>
      <c r="H37" s="30" t="s">
        <v>87</v>
      </c>
      <c r="I37" s="23" t="s">
        <v>130</v>
      </c>
    </row>
    <row r="38" spans="2:9" ht="37.799999999999997" x14ac:dyDescent="0.5">
      <c r="B38" s="12" t="s">
        <v>75</v>
      </c>
      <c r="C38" s="30" t="s">
        <v>14</v>
      </c>
      <c r="D38" s="22" t="s">
        <v>131</v>
      </c>
      <c r="E38" s="22" t="s">
        <v>37</v>
      </c>
      <c r="F38" s="30" t="s">
        <v>69</v>
      </c>
      <c r="G38" s="22">
        <v>5.5</v>
      </c>
      <c r="H38" s="30" t="s">
        <v>88</v>
      </c>
      <c r="I38" s="23" t="s">
        <v>136</v>
      </c>
    </row>
    <row r="39" spans="2:9" ht="25.2" x14ac:dyDescent="0.5">
      <c r="B39" s="12" t="s">
        <v>75</v>
      </c>
      <c r="C39" s="30" t="s">
        <v>76</v>
      </c>
      <c r="D39" s="22" t="s">
        <v>123</v>
      </c>
      <c r="E39" s="22" t="s">
        <v>37</v>
      </c>
      <c r="F39" s="30" t="s">
        <v>84</v>
      </c>
      <c r="G39" s="22">
        <v>10.5</v>
      </c>
      <c r="H39" s="30" t="s">
        <v>56</v>
      </c>
      <c r="I39" s="23" t="s">
        <v>132</v>
      </c>
    </row>
    <row r="40" spans="2:9" x14ac:dyDescent="0.5">
      <c r="B40" s="12"/>
      <c r="C40" s="18"/>
      <c r="D40" s="19"/>
      <c r="E40" s="19"/>
      <c r="F40" s="21" t="s">
        <v>61</v>
      </c>
      <c r="G40" s="27">
        <f>SUM(G5:G39)</f>
        <v>153.5</v>
      </c>
      <c r="H40" s="28"/>
      <c r="I40" s="29"/>
    </row>
    <row r="41" spans="2:9" ht="14.4" thickBot="1" x14ac:dyDescent="0.55000000000000004">
      <c r="B41" s="15"/>
      <c r="C41" s="16"/>
      <c r="D41" s="17"/>
      <c r="E41" s="17"/>
      <c r="F41" s="20" t="s">
        <v>62</v>
      </c>
      <c r="G41" s="24"/>
      <c r="H41" s="25"/>
      <c r="I41" s="26"/>
    </row>
    <row r="42" spans="2:9" ht="14.4" thickTop="1" x14ac:dyDescent="0.5"/>
  </sheetData>
  <mergeCells count="6">
    <mergeCell ref="G41:I41"/>
    <mergeCell ref="G40:I40"/>
    <mergeCell ref="B15:I15"/>
    <mergeCell ref="B4:I4"/>
    <mergeCell ref="B24:I24"/>
    <mergeCell ref="B33:I33"/>
  </mergeCells>
  <phoneticPr fontId="7" type="noConversion"/>
  <dataValidations count="2">
    <dataValidation type="list" allowBlank="1" showInputMessage="1" showErrorMessage="1" sqref="H5:H14 H16:H23 H25:H32 H34:H39" xr:uid="{00000000-0002-0000-0000-000000000000}">
      <formula1>hh</formula1>
    </dataValidation>
    <dataValidation type="list" allowBlank="1" showInputMessage="1" showErrorMessage="1" sqref="F5:F14 F16:F23 F25:F32 F34:F39" xr:uid="{00000000-0002-0000-0000-000001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C40:C41</xm:sqref>
        </x14:dataValidation>
        <x14:dataValidation type="list" allowBlank="1" showInputMessage="1" showErrorMessage="1" xr:uid="{00000000-0002-0000-0000-000003000000}">
          <x14:formula1>
            <xm:f>数据标签!$B$12:$C$12</xm:f>
          </x14:formula1>
          <xm:sqref>E40:E41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4765625" defaultRowHeight="12.6" x14ac:dyDescent="0.5"/>
  <cols>
    <col min="1" max="1" width="8.84765625" style="1"/>
    <col min="2" max="2" width="26.84765625" style="1" customWidth="1"/>
    <col min="3" max="3" width="21.6484375" style="1" customWidth="1"/>
    <col min="4" max="7" width="28.6484375" style="1" customWidth="1"/>
    <col min="8" max="8" width="27.34765625" style="1" customWidth="1"/>
    <col min="9" max="16384" width="8.8476562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4" t="s">
        <v>68</v>
      </c>
      <c r="C4" s="14" t="s">
        <v>68</v>
      </c>
      <c r="D4" s="14" t="s">
        <v>68</v>
      </c>
      <c r="E4" s="3" t="s">
        <v>23</v>
      </c>
      <c r="F4" s="13" t="s">
        <v>56</v>
      </c>
      <c r="G4" s="3" t="s">
        <v>53</v>
      </c>
      <c r="H4" s="3" t="s">
        <v>55</v>
      </c>
    </row>
    <row r="5" spans="1:8" ht="25.2" x14ac:dyDescent="0.5">
      <c r="B5" s="3" t="s">
        <v>22</v>
      </c>
      <c r="C5" s="3" t="s">
        <v>22</v>
      </c>
      <c r="D5" s="3" t="s">
        <v>22</v>
      </c>
      <c r="E5" s="14" t="s">
        <v>26</v>
      </c>
      <c r="F5" s="13" t="s">
        <v>24</v>
      </c>
      <c r="G5" s="14" t="s">
        <v>27</v>
      </c>
      <c r="H5" s="14" t="s">
        <v>28</v>
      </c>
    </row>
    <row r="6" spans="1:8" ht="25.2" x14ac:dyDescent="0.5">
      <c r="B6" s="3" t="s">
        <v>25</v>
      </c>
      <c r="C6" s="3" t="s">
        <v>25</v>
      </c>
      <c r="D6" s="3" t="s">
        <v>25</v>
      </c>
      <c r="E6" s="14" t="s">
        <v>30</v>
      </c>
      <c r="F6" s="13"/>
      <c r="G6" s="14" t="s">
        <v>31</v>
      </c>
      <c r="H6" s="14" t="s">
        <v>32</v>
      </c>
    </row>
    <row r="7" spans="1:8" ht="37.799999999999997" x14ac:dyDescent="0.5">
      <c r="B7" s="3" t="s">
        <v>29</v>
      </c>
      <c r="C7" s="3" t="s">
        <v>29</v>
      </c>
      <c r="D7" s="3" t="s">
        <v>29</v>
      </c>
      <c r="E7" s="14" t="s">
        <v>34</v>
      </c>
      <c r="G7" s="14" t="s">
        <v>24</v>
      </c>
      <c r="H7" s="14" t="s">
        <v>35</v>
      </c>
    </row>
    <row r="8" spans="1:8" x14ac:dyDescent="0.5">
      <c r="B8" s="3" t="s">
        <v>33</v>
      </c>
      <c r="C8" s="3" t="s">
        <v>33</v>
      </c>
      <c r="D8" s="3" t="s">
        <v>33</v>
      </c>
      <c r="E8" s="14"/>
      <c r="G8" s="14"/>
      <c r="H8" s="14" t="s">
        <v>65</v>
      </c>
    </row>
    <row r="9" spans="1:8" x14ac:dyDescent="0.5">
      <c r="B9" s="1" t="s">
        <v>24</v>
      </c>
      <c r="C9" s="1" t="s">
        <v>24</v>
      </c>
      <c r="D9" s="1" t="s">
        <v>24</v>
      </c>
      <c r="E9" s="14"/>
      <c r="F9" s="13"/>
      <c r="G9" s="14"/>
      <c r="H9" s="14" t="s">
        <v>60</v>
      </c>
    </row>
    <row r="10" spans="1:8" x14ac:dyDescent="0.5">
      <c r="C10" s="14"/>
      <c r="D10" s="14"/>
      <c r="H10" s="14"/>
    </row>
    <row r="12" spans="1:8" x14ac:dyDescent="0.5">
      <c r="A12" s="1" t="s">
        <v>36</v>
      </c>
      <c r="B12" s="1" t="s">
        <v>37</v>
      </c>
      <c r="C12" s="1" t="s">
        <v>24</v>
      </c>
    </row>
    <row r="13" spans="1:8" ht="37.799999999999997" x14ac:dyDescent="0.5">
      <c r="A13" s="1" t="s">
        <v>38</v>
      </c>
      <c r="B13" s="3" t="s">
        <v>39</v>
      </c>
    </row>
    <row r="14" spans="1:8" ht="25.2" x14ac:dyDescent="0.5">
      <c r="B14" s="3" t="s">
        <v>51</v>
      </c>
      <c r="C14" s="10" t="s">
        <v>52</v>
      </c>
      <c r="D14" s="10" t="s">
        <v>52</v>
      </c>
    </row>
    <row r="15" spans="1:8" ht="25.2" x14ac:dyDescent="0.5">
      <c r="B15" s="3" t="s">
        <v>40</v>
      </c>
      <c r="C15" s="10" t="s">
        <v>52</v>
      </c>
      <c r="D15" s="10" t="s">
        <v>52</v>
      </c>
    </row>
    <row r="16" spans="1:8" ht="50.4" x14ac:dyDescent="0.5">
      <c r="B16" s="3" t="s">
        <v>41</v>
      </c>
      <c r="C16" s="10" t="s">
        <v>52</v>
      </c>
      <c r="D16" s="10" t="s">
        <v>52</v>
      </c>
    </row>
    <row r="17" spans="2:4" ht="50.4" x14ac:dyDescent="0.5">
      <c r="B17" s="3" t="s">
        <v>42</v>
      </c>
      <c r="C17" s="10" t="s">
        <v>52</v>
      </c>
      <c r="D17" s="10" t="s">
        <v>52</v>
      </c>
    </row>
    <row r="18" spans="2:4" ht="37.799999999999997" x14ac:dyDescent="0.5">
      <c r="B18" s="3" t="s">
        <v>43</v>
      </c>
      <c r="C18" s="10" t="s">
        <v>52</v>
      </c>
      <c r="D18" s="10" t="s">
        <v>52</v>
      </c>
    </row>
    <row r="19" spans="2:4" ht="50.4" x14ac:dyDescent="0.5">
      <c r="B19" s="3" t="s">
        <v>44</v>
      </c>
      <c r="C19" s="10" t="s">
        <v>52</v>
      </c>
      <c r="D19" s="10" t="s">
        <v>52</v>
      </c>
    </row>
    <row r="20" spans="2:4" ht="50.4" x14ac:dyDescent="0.5">
      <c r="B20" s="3" t="s">
        <v>45</v>
      </c>
      <c r="C20" s="10" t="s">
        <v>52</v>
      </c>
      <c r="D20" s="10" t="s">
        <v>52</v>
      </c>
    </row>
    <row r="21" spans="2:4" ht="37.799999999999997" x14ac:dyDescent="0.5">
      <c r="B21" s="3" t="s">
        <v>57</v>
      </c>
      <c r="C21" s="10" t="s">
        <v>52</v>
      </c>
      <c r="D21" s="10" t="s">
        <v>52</v>
      </c>
    </row>
    <row r="22" spans="2:4" ht="25.2" x14ac:dyDescent="0.5">
      <c r="B22" s="3" t="s">
        <v>46</v>
      </c>
      <c r="C22" s="10" t="s">
        <v>52</v>
      </c>
      <c r="D22" s="10" t="s">
        <v>52</v>
      </c>
    </row>
    <row r="23" spans="2:4" ht="37.799999999999997" x14ac:dyDescent="0.5">
      <c r="B23" s="3" t="s">
        <v>58</v>
      </c>
      <c r="C23" s="10" t="s">
        <v>52</v>
      </c>
      <c r="D23" s="10" t="s">
        <v>52</v>
      </c>
    </row>
    <row r="24" spans="2:4" ht="37.799999999999997" x14ac:dyDescent="0.5">
      <c r="B24" s="3" t="s">
        <v>59</v>
      </c>
      <c r="C24" s="10"/>
      <c r="D24" s="10"/>
    </row>
    <row r="25" spans="2:4" ht="63" x14ac:dyDescent="0.5">
      <c r="B25" s="3" t="s">
        <v>50</v>
      </c>
      <c r="C25" s="10" t="s">
        <v>52</v>
      </c>
      <c r="D25" s="10" t="s">
        <v>52</v>
      </c>
    </row>
    <row r="26" spans="2:4" ht="37.799999999999997" x14ac:dyDescent="0.5">
      <c r="B26" s="3" t="s">
        <v>47</v>
      </c>
      <c r="C26" s="10" t="s">
        <v>52</v>
      </c>
      <c r="D26" s="10" t="s">
        <v>52</v>
      </c>
    </row>
    <row r="27" spans="2:4" ht="37.799999999999997" x14ac:dyDescent="0.5">
      <c r="B27" s="3" t="s">
        <v>48</v>
      </c>
      <c r="C27" s="10" t="s">
        <v>52</v>
      </c>
      <c r="D27" s="10" t="s">
        <v>52</v>
      </c>
    </row>
    <row r="28" spans="2:4" ht="25.2" x14ac:dyDescent="0.5">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dcterms:created xsi:type="dcterms:W3CDTF">2024-12-10T02:24:00Z</dcterms:created>
  <dcterms:modified xsi:type="dcterms:W3CDTF">2025-11-30T14:34:59Z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