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ime entries\5月\"/>
    </mc:Choice>
  </mc:AlternateContent>
  <xr:revisionPtr revIDLastSave="0" documentId="13_ncr:1_{7EE03531-7E7B-451B-9401-6186C3537AC7}" xr6:coauthVersionLast="47" xr6:coauthVersionMax="47" xr10:uidLastSave="{00000000-0000-0000-0000-000000000000}"/>
  <bookViews>
    <workbookView xWindow="4488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2" i="1" l="1"/>
</calcChain>
</file>

<file path=xl/sharedStrings.xml><?xml version="1.0" encoding="utf-8"?>
<sst xmlns="http://schemas.openxmlformats.org/spreadsheetml/2006/main" count="387" uniqueCount="170">
  <si>
    <t>Name</t>
  </si>
  <si>
    <t>Deal/Matter Name</t>
  </si>
  <si>
    <t>OKR/BSC Tag</t>
  </si>
  <si>
    <t>OKR/BSC Item</t>
  </si>
  <si>
    <t>Hours</t>
  </si>
  <si>
    <t>Work Category</t>
  </si>
  <si>
    <t>Narrative (Optional)</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</si>
  <si>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</si>
  <si>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</si>
  <si>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</si>
  <si>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</si>
  <si>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</si>
  <si>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</si>
  <si>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</si>
  <si>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</si>
  <si>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</si>
  <si>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</si>
  <si>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</si>
  <si>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</si>
  <si>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</si>
  <si>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</si>
  <si>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</si>
  <si>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</si>
  <si>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</si>
  <si>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</si>
  <si>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</si>
  <si>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</si>
  <si>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</si>
  <si>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</si>
  <si>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</si>
  <si>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</si>
  <si>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</si>
  <si>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</si>
  <si>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</si>
  <si>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</si>
  <si>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</si>
  <si>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</si>
  <si>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</si>
  <si>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</si>
  <si>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</si>
  <si>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</si>
  <si>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</si>
  <si>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</si>
  <si>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</si>
  <si>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</si>
  <si>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</si>
  <si>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</si>
  <si>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</si>
  <si>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</si>
  <si>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</si>
  <si>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</si>
  <si>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</si>
  <si>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</si>
  <si>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</si>
  <si>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</si>
  <si>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</si>
  <si>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</si>
  <si>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</si>
  <si>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</si>
  <si>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</si>
  <si>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</si>
  <si>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</si>
  <si>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</si>
  <si>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</si>
  <si>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</si>
  <si>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</si>
  <si>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请填入记录人的企微姓名
Please insert your WeCom name</t>
    <phoneticPr fontId="7" type="noConversion"/>
  </si>
  <si>
    <t>ianzhuang</t>
    <phoneticPr fontId="7" type="noConversion"/>
  </si>
  <si>
    <t>投资项目全流程法务支持 Full-process legal support for investments</t>
  </si>
  <si>
    <t>资本市场、投融资活动创新突破 Innovative breakthroughs in investments and capital market transactions</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</si>
  <si>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</si>
  <si>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</si>
  <si>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请相应勾选下拉菜单中的工作类别选项
Please select relevant work category in the drop-down menu</t>
    <phoneticPr fontId="7" type="noConversion"/>
  </si>
  <si>
    <t>自选填写项目：简要描述工作内容
(Optional) Please insert the narrative of your work</t>
    <phoneticPr fontId="7" type="noConversion"/>
  </si>
  <si>
    <t>请输入小时数，精确到小数点后一位
Please insert  respective hours number spent for such work,  accurate to one decimal place</t>
    <phoneticPr fontId="7" type="noConversion"/>
  </si>
  <si>
    <t>Insta 360</t>
    <phoneticPr fontId="7" type="noConversion"/>
  </si>
  <si>
    <t>ianzhuang</t>
    <phoneticPr fontId="7" type="noConversion"/>
  </si>
  <si>
    <t>Little Freddie</t>
    <phoneticPr fontId="7" type="noConversion"/>
  </si>
  <si>
    <t>国际业务(投资)监管应对Interaction with regulators for international investments</t>
  </si>
  <si>
    <t>世纪华通</t>
    <phoneticPr fontId="7" type="noConversion"/>
  </si>
  <si>
    <t>Robinhood</t>
    <phoneticPr fontId="7" type="noConversion"/>
  </si>
  <si>
    <t>Public - Knowledge Accumulation &amp; Sharing</t>
  </si>
  <si>
    <t>ianzhuang</t>
    <phoneticPr fontId="7" type="noConversion"/>
  </si>
  <si>
    <t>Public - Infrastructure &amp; Guidance</t>
  </si>
  <si>
    <t>AI products</t>
    <phoneticPr fontId="7" type="noConversion"/>
  </si>
  <si>
    <t>ianzhuang</t>
    <phoneticPr fontId="7" type="noConversion"/>
  </si>
  <si>
    <t>世纪华通</t>
    <phoneticPr fontId="7" type="noConversion"/>
  </si>
  <si>
    <t>week 4</t>
    <phoneticPr fontId="7" type="noConversion"/>
  </si>
  <si>
    <t xml:space="preserve">week 1 </t>
    <phoneticPr fontId="7" type="noConversion"/>
  </si>
  <si>
    <t>英雄互娱</t>
    <phoneticPr fontId="7" type="noConversion"/>
  </si>
  <si>
    <t>Japan FEFTA</t>
    <phoneticPr fontId="7" type="noConversion"/>
  </si>
  <si>
    <t>敏感投资领域投资指引 Guidance for sensitive investment fields</t>
  </si>
  <si>
    <t>Investment Related - M&amp;A Deal</t>
    <phoneticPr fontId="7" type="noConversion"/>
  </si>
  <si>
    <t>Airwallex</t>
    <phoneticPr fontId="7" type="noConversion"/>
  </si>
  <si>
    <t>证券投顾牌照</t>
    <phoneticPr fontId="7" type="noConversion"/>
  </si>
  <si>
    <t>境内外金融业务资质申请 Application for domestic and overseas financial business licenses</t>
  </si>
  <si>
    <t>Further review and revise the transaction proposal wrt proposed investment in Insta 360</t>
    <phoneticPr fontId="7" type="noConversion"/>
  </si>
  <si>
    <t>智元</t>
    <phoneticPr fontId="7" type="noConversion"/>
  </si>
  <si>
    <t>Internal follow up with huanhuan re latest status in 智元. Touch base on the outstanding issues.</t>
    <phoneticPr fontId="7" type="noConversion"/>
  </si>
  <si>
    <t>Attend CTD mgmt bi-weekly meeting</t>
    <phoneticPr fontId="7" type="noConversion"/>
  </si>
  <si>
    <t>Establishing/improving IT systems</t>
    <phoneticPr fontId="7" type="noConversion"/>
  </si>
  <si>
    <t>ianzhuang</t>
    <phoneticPr fontId="7" type="noConversion"/>
  </si>
  <si>
    <t>week 3</t>
    <phoneticPr fontId="7" type="noConversion"/>
  </si>
  <si>
    <t>week 2</t>
    <phoneticPr fontId="7" type="noConversion"/>
  </si>
  <si>
    <t>投资项目全流程法务支持 Full-process legal support for investments</t>
    <phoneticPr fontId="7" type="noConversion"/>
  </si>
  <si>
    <t>external discussion with Carlye team re the proposed redemption in Little Freddie. Review and revise the information right and inspection right letter to Little Freddie</t>
    <phoneticPr fontId="7" type="noConversion"/>
  </si>
  <si>
    <t>internal discussion with Jed, Cooker and etc. re the proposed efforts in AI products</t>
    <phoneticPr fontId="7" type="noConversion"/>
  </si>
  <si>
    <t>ianzhuang</t>
    <phoneticPr fontId="7" type="noConversion"/>
  </si>
  <si>
    <t>FEFTA inquiry</t>
    <phoneticPr fontId="7" type="noConversion"/>
  </si>
  <si>
    <t>AI Infra building</t>
    <phoneticPr fontId="7" type="noConversion"/>
  </si>
  <si>
    <t>Establishing/improving IT systems</t>
  </si>
  <si>
    <t>执业管理平台体系完善 Perfection of the professional management platform</t>
  </si>
  <si>
    <t xml:space="preserve">discussion with Cooker on proposed plan re team's AI function (F8 and etc.). To improve the current F8 fucntion by exploring the prompt design </t>
    <phoneticPr fontId="7" type="noConversion"/>
  </si>
  <si>
    <t>ianzhuang</t>
    <phoneticPr fontId="7" type="noConversion"/>
  </si>
  <si>
    <t>management bi-weekly meeting</t>
    <phoneticPr fontId="7" type="noConversion"/>
  </si>
  <si>
    <t>response to Japan regulator</t>
    <phoneticPr fontId="7" type="noConversion"/>
  </si>
  <si>
    <t>海外投资合规管理 Overseas investment compliance management</t>
  </si>
  <si>
    <t>prepare draft response to inquiries from Japan regulator</t>
    <phoneticPr fontId="7" type="noConversion"/>
  </si>
  <si>
    <t>project Nectar</t>
    <phoneticPr fontId="7" type="noConversion"/>
  </si>
  <si>
    <t>Hillbot</t>
    <phoneticPr fontId="7" type="noConversion"/>
  </si>
  <si>
    <t>Ianzhuang</t>
    <phoneticPr fontId="7" type="noConversion"/>
  </si>
  <si>
    <t>海澜之家</t>
    <phoneticPr fontId="7" type="noConversion"/>
  </si>
  <si>
    <t>project Nectar</t>
    <phoneticPr fontId="7" type="noConversion"/>
  </si>
  <si>
    <t>disucssion with 世纪华通 team re its proposed board meeting to review and approve its annual report. Review the board deck and prepare relevant analysis</t>
    <phoneticPr fontId="7" type="noConversion"/>
  </si>
  <si>
    <t>AI products</t>
    <phoneticPr fontId="7" type="noConversion"/>
  </si>
  <si>
    <t>Project Nectar</t>
    <phoneticPr fontId="7" type="noConversion"/>
  </si>
  <si>
    <t>Review and revise list of key issues in the termsheet, internal discussion re the same, review and revise LOI, discussion with Nozomi and Zac re the same.</t>
    <phoneticPr fontId="7" type="noConversion"/>
  </si>
  <si>
    <t>Robinhood</t>
    <phoneticPr fontId="7" type="noConversion"/>
  </si>
  <si>
    <t>Drafting/reviewing/negotiating legal documents</t>
    <phoneticPr fontId="7" type="noConversion"/>
  </si>
  <si>
    <t>ianzhuang</t>
    <phoneticPr fontId="7" type="noConversion"/>
  </si>
  <si>
    <t>project Nectar</t>
    <phoneticPr fontId="7" type="noConversion"/>
  </si>
  <si>
    <t>Internal discussion with MA team on the proposed revisions to the TS. Further discussion with MOFO team re the same (corporate governnance in JP delisted companies)</t>
    <phoneticPr fontId="7" type="noConversion"/>
  </si>
  <si>
    <t>BSC/OKR</t>
    <phoneticPr fontId="7" type="noConversion"/>
  </si>
  <si>
    <t>Attend BSC meeting</t>
    <phoneticPr fontId="7" type="noConversion"/>
  </si>
  <si>
    <t>Recording/reviewing deals updates/weekly time reports/other team summaries</t>
  </si>
  <si>
    <t>update relevant items in BSC table</t>
    <phoneticPr fontId="7" type="noConversion"/>
  </si>
  <si>
    <t>Internal discussion re 世纪华通 share charge and potential next step. Legal research re the same</t>
    <phoneticPr fontId="7" type="noConversion"/>
  </si>
  <si>
    <t>follow up on the latest status of Insta 360</t>
    <phoneticPr fontId="7" type="noConversion"/>
  </si>
  <si>
    <t xml:space="preserve">Follow up on the latest status of the investment in securities investment consulting services company. </t>
    <phoneticPr fontId="7" type="noConversion"/>
  </si>
  <si>
    <t>follow up on the status of negotiation on corp governance</t>
    <phoneticPr fontId="7" type="noConversion"/>
  </si>
  <si>
    <t>internal follow up on deal progress of Airwallex</t>
    <phoneticPr fontId="7" type="noConversion"/>
  </si>
  <si>
    <t>attend calls re project Nectar, further revise the termsheet, internal discussion with MA team</t>
    <phoneticPr fontId="7" type="noConversion"/>
  </si>
  <si>
    <t>review the full set of bridge loan financing documents, prepare summary for Yan's reference, and draft reply to James</t>
    <phoneticPr fontId="7" type="noConversion"/>
  </si>
  <si>
    <t>internal discussion on the potentail redemption of shares in Little Freddie. Call with Carlye team on the next step, as well as negotiation tactics</t>
    <phoneticPr fontId="7" type="noConversion"/>
  </si>
  <si>
    <t>follow up and internal discssion on Hillbot matter, especially the analysis re data rule and reverse CFIUS</t>
    <phoneticPr fontId="7" type="noConversion"/>
  </si>
  <si>
    <t xml:space="preserve">finalize the confirmation letter </t>
    <phoneticPr fontId="7" type="noConversion"/>
  </si>
  <si>
    <t xml:space="preserve">further revise the TS per discussion with MA team </t>
    <phoneticPr fontId="7" type="noConversion"/>
  </si>
  <si>
    <t>无端</t>
    <phoneticPr fontId="7" type="noConversion"/>
  </si>
  <si>
    <t>review background material for the proposed investment in 无端. Prepare draft email to potential sellers</t>
    <phoneticPr fontId="7" type="noConversion"/>
  </si>
  <si>
    <t>review and revise the insider trading policy of THL. Internal discussion with Charity and Cindy re the same.</t>
    <phoneticPr fontId="7" type="noConversion"/>
  </si>
  <si>
    <t>further design and improve the prompt for NDA review</t>
    <phoneticPr fontId="7" type="noConversion"/>
  </si>
  <si>
    <t>further draft and revise response to MOF officer, internal discussion with TME team re the server location</t>
    <phoneticPr fontId="7" type="noConversion"/>
  </si>
  <si>
    <t>meeting with 世纪华通 team to discuss the proposed indemnification proposal</t>
    <phoneticPr fontId="7" type="noConversion"/>
  </si>
  <si>
    <t>onsite due diligence 无端</t>
    <phoneticPr fontId="7" type="noConversion"/>
  </si>
  <si>
    <t>further review and revise the insider trading policy</t>
    <phoneticPr fontId="7" type="noConversion"/>
  </si>
  <si>
    <t>finalize response to MOF officer</t>
    <phoneticPr fontId="7" type="noConversion"/>
  </si>
  <si>
    <t>prepare further analysis and next step proposal for the proposed redemption</t>
    <phoneticPr fontId="7" type="noConversion"/>
  </si>
  <si>
    <t>further improve the AI prompt design based on its review results for various NDA samples</t>
    <phoneticPr fontId="7" type="noConversion"/>
  </si>
  <si>
    <t>various potential fintech deals</t>
    <phoneticPr fontId="7" type="noConversion"/>
  </si>
  <si>
    <t>internal discussion with Wenna re several legal searches wrt potential new fintech investments. External calls with Cov team re the same</t>
    <phoneticPr fontId="7" type="noConversion"/>
  </si>
  <si>
    <t>DSP research</t>
    <phoneticPr fontId="7" type="noConversion"/>
  </si>
  <si>
    <t>Providing training sessions/knowledge sharing</t>
  </si>
  <si>
    <t>prepare summary email to Yan re latest status of DSP, review presentation, attend the meeting to share latest found on the DSP interpretation and application</t>
    <phoneticPr fontId="7" type="noConversion"/>
  </si>
  <si>
    <t>妈妈网</t>
    <phoneticPr fontId="7" type="noConversion"/>
  </si>
  <si>
    <t>lengthy discussion with MA team re the redemption proposal challenged by Martin and James. To discuss alternatives to redemption</t>
    <phoneticPr fontId="7" type="noConversion"/>
  </si>
  <si>
    <t>CC event</t>
    <phoneticPr fontId="7" type="noConversion"/>
  </si>
  <si>
    <t xml:space="preserve">attend CC event sharing latest update on FDI </t>
    <phoneticPr fontId="7" type="noConversion"/>
  </si>
  <si>
    <t>CFIUS</t>
    <phoneticPr fontId="7" type="noConversion"/>
  </si>
  <si>
    <t>discussion with Wenna and Yufei, re potential inconsistency between two opinions provided by Cov team on two gaming studio investments.</t>
    <phoneticPr fontId="7" type="noConversion"/>
  </si>
  <si>
    <t>further improve the AI prompts, testing with other NDA samples. Discussion with AI product team member to see where to improve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</si>
</sst>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1" fillId="0" borderId="11" xfId="0" applyFont="1" applyBorder="1" applyAlignment="1">
      <alignment horizontal="center"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54"/>
  <sheetViews>
    <sheetView tabSelected="1" topLeftCell="A3" zoomScale="96" zoomScaleNormal="100" workbookViewId="0">
      <selection activeCell="H51" sqref="H51"/>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64</v>
      </c>
      <c r="D2" s="5" t="s">
        <v>1</v>
      </c>
      <c r="E2" s="5" t="s">
        <v>2</v>
      </c>
      <c r="F2" s="5" t="s">
        <v>3</v>
      </c>
      <c r="G2" s="5" t="s">
        <v>4</v>
      </c>
      <c r="H2" s="5" t="s">
        <v>5</v>
      </c>
      <c r="I2" s="10" t="s">
        <v>6</v>
      </c>
    </row>
    <row r="3" spans="2:9" ht="207.9" customHeight="1" x14ac:dyDescent="0.5">
      <c r="B3" s="6" t="s">
        <v>66</v>
      </c>
      <c r="C3" s="7" t="s">
        <v>70</v>
      </c>
      <c r="D3" s="7" t="s">
        <v>71</v>
      </c>
      <c r="E3" s="7" t="s">
        <v>53</v>
      </c>
      <c r="F3" s="7" t="s">
        <v>51</v>
      </c>
      <c r="G3" s="7" t="s">
        <v>74</v>
      </c>
      <c r="H3" s="7" t="s">
        <v>72</v>
      </c>
      <c r="I3" s="11" t="s">
        <v>73</v>
      </c>
    </row>
    <row r="4" spans="2:9" ht="22.5" customHeight="1" x14ac:dyDescent="0.5">
      <c r="B4" s="42" t="s">
        <v>88</v>
      </c>
      <c r="C4" s="43"/>
      <c r="D4" s="43"/>
      <c r="E4" s="43"/>
      <c r="F4" s="43"/>
      <c r="G4" s="43"/>
      <c r="H4" s="43"/>
      <c r="I4" s="44"/>
    </row>
    <row r="5" spans="2:9" ht="36.6" customHeight="1" x14ac:dyDescent="0.5">
      <c r="B5" s="32" t="s">
        <v>67</v>
      </c>
      <c r="C5" s="31" t="s">
        <v>83</v>
      </c>
      <c r="D5" s="29" t="s">
        <v>109</v>
      </c>
      <c r="E5" s="9" t="s">
        <v>34</v>
      </c>
      <c r="F5" s="14" t="s">
        <v>111</v>
      </c>
      <c r="G5" s="9">
        <v>13.5</v>
      </c>
      <c r="H5" s="31" t="s">
        <v>110</v>
      </c>
      <c r="I5" s="30" t="s">
        <v>112</v>
      </c>
    </row>
    <row r="6" spans="2:9" ht="37.799999999999997" customHeight="1" x14ac:dyDescent="0.5">
      <c r="B6" s="35" t="s">
        <v>113</v>
      </c>
      <c r="C6" s="31" t="s">
        <v>10</v>
      </c>
      <c r="D6" s="29" t="s">
        <v>115</v>
      </c>
      <c r="E6" s="9" t="s">
        <v>34</v>
      </c>
      <c r="F6" s="31" t="s">
        <v>116</v>
      </c>
      <c r="G6" s="9">
        <v>5.5</v>
      </c>
      <c r="H6" s="31" t="s">
        <v>30</v>
      </c>
      <c r="I6" s="30" t="s">
        <v>117</v>
      </c>
    </row>
    <row r="7" spans="2:9" ht="22.5" customHeight="1" x14ac:dyDescent="0.5">
      <c r="B7" s="16" t="s">
        <v>67</v>
      </c>
      <c r="C7" s="31" t="s">
        <v>8</v>
      </c>
      <c r="D7" s="29" t="s">
        <v>75</v>
      </c>
      <c r="E7" s="9" t="s">
        <v>34</v>
      </c>
      <c r="F7" s="14" t="s">
        <v>69</v>
      </c>
      <c r="G7" s="9">
        <v>0.5</v>
      </c>
      <c r="H7" s="31" t="s">
        <v>14</v>
      </c>
      <c r="I7" s="30" t="s">
        <v>137</v>
      </c>
    </row>
    <row r="8" spans="2:9" ht="25.2" x14ac:dyDescent="0.5">
      <c r="B8" s="16" t="s">
        <v>85</v>
      </c>
      <c r="C8" s="31" t="s">
        <v>10</v>
      </c>
      <c r="D8" s="29" t="s">
        <v>86</v>
      </c>
      <c r="E8" s="9" t="s">
        <v>34</v>
      </c>
      <c r="F8" s="14" t="s">
        <v>68</v>
      </c>
      <c r="G8" s="9">
        <v>2.5</v>
      </c>
      <c r="H8" s="31" t="s">
        <v>14</v>
      </c>
      <c r="I8" s="30" t="s">
        <v>136</v>
      </c>
    </row>
    <row r="9" spans="2:9" ht="25.2" x14ac:dyDescent="0.5">
      <c r="B9" s="16" t="s">
        <v>67</v>
      </c>
      <c r="C9" s="31" t="s">
        <v>8</v>
      </c>
      <c r="D9" s="29" t="s">
        <v>89</v>
      </c>
      <c r="E9" s="9" t="s">
        <v>34</v>
      </c>
      <c r="F9" s="14" t="s">
        <v>68</v>
      </c>
      <c r="G9" s="9">
        <v>1</v>
      </c>
      <c r="H9" s="31" t="s">
        <v>14</v>
      </c>
      <c r="I9" s="30" t="s">
        <v>139</v>
      </c>
    </row>
    <row r="10" spans="2:9" ht="37.799999999999997" x14ac:dyDescent="0.5">
      <c r="B10" s="16" t="s">
        <v>67</v>
      </c>
      <c r="C10" s="31" t="s">
        <v>8</v>
      </c>
      <c r="D10" s="29" t="s">
        <v>94</v>
      </c>
      <c r="E10" s="9" t="s">
        <v>34</v>
      </c>
      <c r="F10" s="14" t="s">
        <v>95</v>
      </c>
      <c r="G10" s="9">
        <v>0.5</v>
      </c>
      <c r="H10" s="31" t="s">
        <v>21</v>
      </c>
      <c r="I10" s="30" t="s">
        <v>138</v>
      </c>
    </row>
    <row r="11" spans="2:9" ht="25.2" x14ac:dyDescent="0.5">
      <c r="B11" s="16" t="s">
        <v>129</v>
      </c>
      <c r="C11" s="31" t="s">
        <v>12</v>
      </c>
      <c r="D11" s="29" t="s">
        <v>132</v>
      </c>
      <c r="E11" s="9" t="s">
        <v>21</v>
      </c>
      <c r="F11" s="14"/>
      <c r="G11" s="9">
        <v>2.5</v>
      </c>
      <c r="H11" s="31" t="s">
        <v>134</v>
      </c>
      <c r="I11" s="30" t="s">
        <v>135</v>
      </c>
    </row>
    <row r="12" spans="2:9" x14ac:dyDescent="0.5">
      <c r="B12" s="16" t="s">
        <v>129</v>
      </c>
      <c r="C12" s="31" t="s">
        <v>12</v>
      </c>
      <c r="D12" s="29" t="s">
        <v>132</v>
      </c>
      <c r="E12" s="9" t="s">
        <v>21</v>
      </c>
      <c r="F12" s="14"/>
      <c r="G12" s="9">
        <v>1</v>
      </c>
      <c r="H12" s="31" t="s">
        <v>18</v>
      </c>
      <c r="I12" s="30" t="s">
        <v>133</v>
      </c>
    </row>
    <row r="13" spans="2:9" x14ac:dyDescent="0.5">
      <c r="B13" s="16" t="s">
        <v>113</v>
      </c>
      <c r="C13" s="31" t="s">
        <v>12</v>
      </c>
      <c r="D13" s="29" t="s">
        <v>114</v>
      </c>
      <c r="E13" s="9" t="s">
        <v>21</v>
      </c>
      <c r="F13" s="14"/>
      <c r="G13" s="9">
        <v>0.5</v>
      </c>
      <c r="H13" s="31" t="s">
        <v>18</v>
      </c>
      <c r="I13" s="30" t="s">
        <v>99</v>
      </c>
    </row>
    <row r="14" spans="2:9" ht="50.4" x14ac:dyDescent="0.5">
      <c r="B14" s="16" t="s">
        <v>129</v>
      </c>
      <c r="C14" s="31" t="s">
        <v>8</v>
      </c>
      <c r="D14" s="29" t="s">
        <v>130</v>
      </c>
      <c r="E14" s="9" t="s">
        <v>34</v>
      </c>
      <c r="F14" s="14" t="s">
        <v>68</v>
      </c>
      <c r="G14" s="9">
        <v>9.5</v>
      </c>
      <c r="H14" s="31" t="s">
        <v>14</v>
      </c>
      <c r="I14" s="30" t="s">
        <v>131</v>
      </c>
    </row>
    <row r="15" spans="2:9" ht="37.799999999999997" x14ac:dyDescent="0.5">
      <c r="B15" s="16" t="s">
        <v>67</v>
      </c>
      <c r="C15" s="31" t="s">
        <v>8</v>
      </c>
      <c r="D15" s="29" t="s">
        <v>75</v>
      </c>
      <c r="E15" s="9" t="s">
        <v>34</v>
      </c>
      <c r="F15" s="14" t="s">
        <v>69</v>
      </c>
      <c r="G15" s="9">
        <v>2</v>
      </c>
      <c r="H15" s="31" t="s">
        <v>14</v>
      </c>
      <c r="I15" s="30" t="s">
        <v>96</v>
      </c>
    </row>
    <row r="16" spans="2:9" x14ac:dyDescent="0.5">
      <c r="B16" s="42" t="s">
        <v>103</v>
      </c>
      <c r="C16" s="43"/>
      <c r="D16" s="43"/>
      <c r="E16" s="43"/>
      <c r="F16" s="43"/>
      <c r="G16" s="43"/>
      <c r="H16" s="43"/>
      <c r="I16" s="44"/>
    </row>
    <row r="17" spans="2:9" ht="25.2" x14ac:dyDescent="0.5">
      <c r="B17" s="16" t="s">
        <v>67</v>
      </c>
      <c r="C17" s="31" t="s">
        <v>8</v>
      </c>
      <c r="D17" s="29" t="s">
        <v>118</v>
      </c>
      <c r="E17" s="9" t="s">
        <v>34</v>
      </c>
      <c r="F17" s="14" t="s">
        <v>68</v>
      </c>
      <c r="G17" s="9">
        <v>9.5</v>
      </c>
      <c r="H17" s="31" t="s">
        <v>14</v>
      </c>
      <c r="I17" s="30" t="s">
        <v>141</v>
      </c>
    </row>
    <row r="18" spans="2:9" ht="37.799999999999997" x14ac:dyDescent="0.5">
      <c r="B18" s="16" t="s">
        <v>129</v>
      </c>
      <c r="C18" s="31" t="s">
        <v>8</v>
      </c>
      <c r="D18" s="29" t="s">
        <v>118</v>
      </c>
      <c r="E18" s="9" t="s">
        <v>34</v>
      </c>
      <c r="F18" s="14" t="s">
        <v>68</v>
      </c>
      <c r="G18" s="9">
        <v>10.5</v>
      </c>
      <c r="H18" s="31" t="s">
        <v>14</v>
      </c>
      <c r="I18" s="30" t="s">
        <v>142</v>
      </c>
    </row>
    <row r="19" spans="2:9" ht="25.2" x14ac:dyDescent="0.5">
      <c r="B19" s="16" t="s">
        <v>113</v>
      </c>
      <c r="C19" s="31" t="s">
        <v>8</v>
      </c>
      <c r="D19" s="29" t="s">
        <v>93</v>
      </c>
      <c r="E19" s="9" t="s">
        <v>34</v>
      </c>
      <c r="F19" s="14" t="s">
        <v>68</v>
      </c>
      <c r="G19" s="9">
        <v>0.5</v>
      </c>
      <c r="H19" s="31" t="s">
        <v>14</v>
      </c>
      <c r="I19" s="30" t="s">
        <v>140</v>
      </c>
    </row>
    <row r="20" spans="2:9" ht="37.799999999999997" x14ac:dyDescent="0.5">
      <c r="B20" s="16" t="s">
        <v>67</v>
      </c>
      <c r="C20" s="31" t="s">
        <v>92</v>
      </c>
      <c r="D20" s="29" t="s">
        <v>77</v>
      </c>
      <c r="E20" s="9" t="s">
        <v>34</v>
      </c>
      <c r="F20" s="31" t="s">
        <v>104</v>
      </c>
      <c r="G20" s="29">
        <v>3</v>
      </c>
      <c r="H20" s="31" t="s">
        <v>14</v>
      </c>
      <c r="I20" s="30" t="s">
        <v>143</v>
      </c>
    </row>
    <row r="21" spans="2:9" ht="25.2" x14ac:dyDescent="0.5">
      <c r="B21" s="16" t="s">
        <v>113</v>
      </c>
      <c r="C21" s="31" t="s">
        <v>8</v>
      </c>
      <c r="D21" s="29" t="s">
        <v>119</v>
      </c>
      <c r="E21" s="9" t="s">
        <v>34</v>
      </c>
      <c r="F21" s="31" t="s">
        <v>68</v>
      </c>
      <c r="G21" s="29">
        <v>1.5</v>
      </c>
      <c r="H21" s="31" t="s">
        <v>14</v>
      </c>
      <c r="I21" s="30" t="s">
        <v>144</v>
      </c>
    </row>
    <row r="22" spans="2:9" ht="25.2" x14ac:dyDescent="0.5">
      <c r="B22" s="16" t="s">
        <v>120</v>
      </c>
      <c r="C22" s="31" t="s">
        <v>8</v>
      </c>
      <c r="D22" s="29" t="s">
        <v>121</v>
      </c>
      <c r="E22" s="9" t="s">
        <v>34</v>
      </c>
      <c r="F22" s="31" t="s">
        <v>68</v>
      </c>
      <c r="G22" s="29">
        <v>0.5</v>
      </c>
      <c r="H22" s="31" t="s">
        <v>14</v>
      </c>
      <c r="I22" s="30" t="s">
        <v>145</v>
      </c>
    </row>
    <row r="23" spans="2:9" ht="25.2" x14ac:dyDescent="0.5">
      <c r="B23" s="16" t="s">
        <v>113</v>
      </c>
      <c r="C23" s="31" t="s">
        <v>8</v>
      </c>
      <c r="D23" s="29" t="s">
        <v>122</v>
      </c>
      <c r="E23" s="9" t="s">
        <v>34</v>
      </c>
      <c r="F23" s="31" t="s">
        <v>68</v>
      </c>
      <c r="G23" s="29">
        <v>7.5</v>
      </c>
      <c r="H23" s="31" t="s">
        <v>14</v>
      </c>
      <c r="I23" s="30" t="s">
        <v>146</v>
      </c>
    </row>
    <row r="24" spans="2:9" ht="37.799999999999997" x14ac:dyDescent="0.5">
      <c r="B24" s="16" t="s">
        <v>129</v>
      </c>
      <c r="C24" s="31" t="s">
        <v>8</v>
      </c>
      <c r="D24" s="29" t="s">
        <v>147</v>
      </c>
      <c r="E24" s="9" t="s">
        <v>34</v>
      </c>
      <c r="F24" s="31" t="s">
        <v>68</v>
      </c>
      <c r="G24" s="29">
        <v>3.5</v>
      </c>
      <c r="H24" s="31" t="s">
        <v>14</v>
      </c>
      <c r="I24" s="30" t="s">
        <v>148</v>
      </c>
    </row>
    <row r="25" spans="2:9" ht="37.799999999999997" x14ac:dyDescent="0.5">
      <c r="B25" s="16" t="s">
        <v>129</v>
      </c>
      <c r="C25" s="31" t="s">
        <v>81</v>
      </c>
      <c r="D25" s="29" t="s">
        <v>160</v>
      </c>
      <c r="E25" s="9" t="s">
        <v>34</v>
      </c>
      <c r="F25" s="31" t="s">
        <v>91</v>
      </c>
      <c r="G25" s="29">
        <v>13.5</v>
      </c>
      <c r="H25" s="31" t="s">
        <v>161</v>
      </c>
      <c r="I25" s="30" t="s">
        <v>162</v>
      </c>
    </row>
    <row r="26" spans="2:9" ht="25.2" x14ac:dyDescent="0.5">
      <c r="B26" s="16" t="s">
        <v>67</v>
      </c>
      <c r="C26" s="31" t="s">
        <v>92</v>
      </c>
      <c r="D26" s="29" t="s">
        <v>97</v>
      </c>
      <c r="E26" s="9" t="s">
        <v>34</v>
      </c>
      <c r="F26" s="14" t="s">
        <v>68</v>
      </c>
      <c r="G26" s="9">
        <v>0.5</v>
      </c>
      <c r="H26" s="31" t="s">
        <v>14</v>
      </c>
      <c r="I26" s="30" t="s">
        <v>98</v>
      </c>
    </row>
    <row r="27" spans="2:9" x14ac:dyDescent="0.5">
      <c r="B27" s="42" t="s">
        <v>102</v>
      </c>
      <c r="C27" s="43"/>
      <c r="D27" s="43"/>
      <c r="E27" s="43"/>
      <c r="F27" s="43"/>
      <c r="G27" s="43"/>
      <c r="H27" s="43"/>
      <c r="I27" s="44"/>
    </row>
    <row r="28" spans="2:9" ht="50.4" x14ac:dyDescent="0.5">
      <c r="B28" s="33" t="s">
        <v>101</v>
      </c>
      <c r="C28" s="31" t="s">
        <v>8</v>
      </c>
      <c r="D28" s="29" t="s">
        <v>77</v>
      </c>
      <c r="E28" s="9" t="s">
        <v>34</v>
      </c>
      <c r="F28" s="14" t="s">
        <v>68</v>
      </c>
      <c r="G28" s="9">
        <v>4.5</v>
      </c>
      <c r="H28" s="31" t="s">
        <v>14</v>
      </c>
      <c r="I28" s="30" t="s">
        <v>105</v>
      </c>
    </row>
    <row r="29" spans="2:9" ht="25.2" x14ac:dyDescent="0.5">
      <c r="B29" s="33" t="s">
        <v>67</v>
      </c>
      <c r="C29" s="31" t="s">
        <v>92</v>
      </c>
      <c r="D29" s="29" t="s">
        <v>79</v>
      </c>
      <c r="E29" s="9" t="s">
        <v>34</v>
      </c>
      <c r="F29" s="14" t="s">
        <v>68</v>
      </c>
      <c r="G29" s="9">
        <v>3.5</v>
      </c>
      <c r="H29" s="31" t="s">
        <v>21</v>
      </c>
      <c r="I29" s="30" t="s">
        <v>152</v>
      </c>
    </row>
    <row r="30" spans="2:9" ht="25.2" x14ac:dyDescent="0.5">
      <c r="B30" s="34" t="s">
        <v>67</v>
      </c>
      <c r="C30" s="31" t="s">
        <v>83</v>
      </c>
      <c r="D30" s="29" t="s">
        <v>84</v>
      </c>
      <c r="E30" s="9" t="s">
        <v>34</v>
      </c>
      <c r="F30" s="14" t="s">
        <v>68</v>
      </c>
      <c r="G30" s="9">
        <v>1</v>
      </c>
      <c r="H30" s="31" t="s">
        <v>21</v>
      </c>
      <c r="I30" s="30" t="s">
        <v>106</v>
      </c>
    </row>
    <row r="31" spans="2:9" ht="25.2" x14ac:dyDescent="0.5">
      <c r="B31" s="16" t="s">
        <v>113</v>
      </c>
      <c r="C31" s="31" t="s">
        <v>83</v>
      </c>
      <c r="D31" s="29" t="s">
        <v>124</v>
      </c>
      <c r="E31" s="9" t="s">
        <v>34</v>
      </c>
      <c r="F31" s="14" t="s">
        <v>111</v>
      </c>
      <c r="G31" s="9">
        <v>9.5</v>
      </c>
      <c r="H31" s="31" t="s">
        <v>110</v>
      </c>
      <c r="I31" s="30" t="s">
        <v>150</v>
      </c>
    </row>
    <row r="32" spans="2:9" ht="37.799999999999997" x14ac:dyDescent="0.5">
      <c r="B32" s="16" t="s">
        <v>113</v>
      </c>
      <c r="C32" s="31" t="s">
        <v>8</v>
      </c>
      <c r="D32" s="29" t="s">
        <v>125</v>
      </c>
      <c r="E32" s="9" t="s">
        <v>34</v>
      </c>
      <c r="F32" s="14" t="s">
        <v>68</v>
      </c>
      <c r="G32" s="9">
        <v>7.5</v>
      </c>
      <c r="H32" s="31" t="s">
        <v>128</v>
      </c>
      <c r="I32" s="30" t="s">
        <v>126</v>
      </c>
    </row>
    <row r="33" spans="2:9" ht="46.2" customHeight="1" x14ac:dyDescent="0.5">
      <c r="B33" s="16" t="s">
        <v>113</v>
      </c>
      <c r="C33" s="31" t="s">
        <v>8</v>
      </c>
      <c r="D33" s="29" t="s">
        <v>127</v>
      </c>
      <c r="E33" s="9" t="s">
        <v>34</v>
      </c>
      <c r="F33" s="14" t="s">
        <v>68</v>
      </c>
      <c r="G33" s="9">
        <v>4.5</v>
      </c>
      <c r="H33" s="31" t="s">
        <v>14</v>
      </c>
      <c r="I33" s="30" t="s">
        <v>149</v>
      </c>
    </row>
    <row r="34" spans="2:9" ht="44.7" customHeight="1" x14ac:dyDescent="0.5">
      <c r="B34" s="16" t="s">
        <v>107</v>
      </c>
      <c r="C34" s="31" t="s">
        <v>10</v>
      </c>
      <c r="D34" s="29" t="s">
        <v>108</v>
      </c>
      <c r="E34" s="9" t="s">
        <v>34</v>
      </c>
      <c r="F34" s="14" t="s">
        <v>78</v>
      </c>
      <c r="G34" s="9">
        <v>5.5</v>
      </c>
      <c r="H34" s="31" t="s">
        <v>26</v>
      </c>
      <c r="I34" s="30" t="s">
        <v>151</v>
      </c>
    </row>
    <row r="35" spans="2:9" ht="44.7" customHeight="1" x14ac:dyDescent="0.5">
      <c r="B35" s="16" t="s">
        <v>129</v>
      </c>
      <c r="C35" s="31" t="s">
        <v>8</v>
      </c>
      <c r="D35" s="29" t="s">
        <v>163</v>
      </c>
      <c r="E35" s="9" t="s">
        <v>34</v>
      </c>
      <c r="F35" s="14" t="s">
        <v>68</v>
      </c>
      <c r="G35" s="9">
        <v>7.5</v>
      </c>
      <c r="H35" s="31" t="s">
        <v>22</v>
      </c>
      <c r="I35" s="30" t="s">
        <v>164</v>
      </c>
    </row>
    <row r="36" spans="2:9" ht="44.7" customHeight="1" x14ac:dyDescent="0.5">
      <c r="B36" s="16" t="s">
        <v>129</v>
      </c>
      <c r="C36" s="31" t="s">
        <v>8</v>
      </c>
      <c r="D36" s="29" t="s">
        <v>147</v>
      </c>
      <c r="E36" s="9" t="s">
        <v>34</v>
      </c>
      <c r="F36" s="14" t="s">
        <v>68</v>
      </c>
      <c r="G36" s="9">
        <v>4.5</v>
      </c>
      <c r="H36" s="31" t="s">
        <v>19</v>
      </c>
      <c r="I36" s="30" t="s">
        <v>153</v>
      </c>
    </row>
    <row r="37" spans="2:9" x14ac:dyDescent="0.5">
      <c r="B37" s="42" t="s">
        <v>87</v>
      </c>
      <c r="C37" s="43"/>
      <c r="D37" s="43"/>
      <c r="E37" s="43"/>
      <c r="F37" s="43"/>
      <c r="G37" s="43"/>
      <c r="H37" s="43"/>
      <c r="I37" s="44"/>
    </row>
    <row r="38" spans="2:9" ht="25.2" x14ac:dyDescent="0.5">
      <c r="B38" s="16" t="s">
        <v>76</v>
      </c>
      <c r="C38" s="31" t="s">
        <v>8</v>
      </c>
      <c r="D38" s="29" t="s">
        <v>77</v>
      </c>
      <c r="E38" s="9" t="s">
        <v>34</v>
      </c>
      <c r="F38" s="14" t="s">
        <v>68</v>
      </c>
      <c r="G38" s="9">
        <v>2</v>
      </c>
      <c r="H38" s="31" t="s">
        <v>14</v>
      </c>
      <c r="I38" s="30" t="s">
        <v>156</v>
      </c>
    </row>
    <row r="39" spans="2:9" ht="25.2" x14ac:dyDescent="0.5">
      <c r="B39" s="16" t="s">
        <v>76</v>
      </c>
      <c r="C39" s="14" t="s">
        <v>10</v>
      </c>
      <c r="D39" s="29" t="s">
        <v>90</v>
      </c>
      <c r="E39" s="9" t="s">
        <v>34</v>
      </c>
      <c r="F39" s="14" t="s">
        <v>78</v>
      </c>
      <c r="G39" s="9">
        <v>4.5</v>
      </c>
      <c r="H39" s="14" t="s">
        <v>26</v>
      </c>
      <c r="I39" s="30" t="s">
        <v>155</v>
      </c>
    </row>
    <row r="40" spans="2:9" ht="37.799999999999997" x14ac:dyDescent="0.5">
      <c r="B40" s="16" t="s">
        <v>76</v>
      </c>
      <c r="C40" s="14" t="s">
        <v>8</v>
      </c>
      <c r="D40" s="29" t="s">
        <v>79</v>
      </c>
      <c r="E40" s="9" t="s">
        <v>34</v>
      </c>
      <c r="F40" s="14" t="s">
        <v>68</v>
      </c>
      <c r="G40" s="9">
        <v>2.5</v>
      </c>
      <c r="H40" s="14" t="s">
        <v>14</v>
      </c>
      <c r="I40" s="30" t="s">
        <v>123</v>
      </c>
    </row>
    <row r="41" spans="2:9" ht="37.799999999999997" x14ac:dyDescent="0.5">
      <c r="B41" s="16" t="s">
        <v>76</v>
      </c>
      <c r="C41" s="14" t="s">
        <v>8</v>
      </c>
      <c r="D41" s="31" t="s">
        <v>80</v>
      </c>
      <c r="E41" s="9" t="s">
        <v>34</v>
      </c>
      <c r="F41" s="14" t="s">
        <v>69</v>
      </c>
      <c r="G41" s="9">
        <v>2.5</v>
      </c>
      <c r="H41" s="14" t="s">
        <v>14</v>
      </c>
      <c r="I41" s="30" t="s">
        <v>154</v>
      </c>
    </row>
    <row r="42" spans="2:9" ht="25.2" x14ac:dyDescent="0.5">
      <c r="B42" s="16" t="s">
        <v>82</v>
      </c>
      <c r="C42" s="14" t="s">
        <v>83</v>
      </c>
      <c r="D42" s="29" t="s">
        <v>84</v>
      </c>
      <c r="E42" s="9" t="s">
        <v>34</v>
      </c>
      <c r="F42" s="14" t="s">
        <v>68</v>
      </c>
      <c r="G42" s="9">
        <v>4.5</v>
      </c>
      <c r="H42" s="30" t="s">
        <v>100</v>
      </c>
      <c r="I42" s="30" t="s">
        <v>157</v>
      </c>
    </row>
    <row r="43" spans="2:9" ht="37.799999999999997" x14ac:dyDescent="0.5">
      <c r="B43" s="16" t="s">
        <v>129</v>
      </c>
      <c r="C43" s="14" t="s">
        <v>8</v>
      </c>
      <c r="D43" s="29" t="s">
        <v>158</v>
      </c>
      <c r="E43" s="9" t="s">
        <v>34</v>
      </c>
      <c r="F43" s="14" t="s">
        <v>91</v>
      </c>
      <c r="G43" s="9">
        <v>4</v>
      </c>
      <c r="H43" s="14" t="s">
        <v>22</v>
      </c>
      <c r="I43" s="30" t="s">
        <v>159</v>
      </c>
    </row>
    <row r="44" spans="2:9" x14ac:dyDescent="0.5">
      <c r="B44" s="16" t="s">
        <v>129</v>
      </c>
      <c r="C44" s="14" t="s">
        <v>12</v>
      </c>
      <c r="D44" s="29" t="s">
        <v>165</v>
      </c>
      <c r="E44" s="14" t="s">
        <v>21</v>
      </c>
      <c r="G44" s="9">
        <v>1.5</v>
      </c>
      <c r="H44" s="14" t="s">
        <v>21</v>
      </c>
      <c r="I44" s="30" t="s">
        <v>166</v>
      </c>
    </row>
    <row r="45" spans="2:9" ht="37.799999999999997" x14ac:dyDescent="0.5">
      <c r="B45" s="16" t="s">
        <v>129</v>
      </c>
      <c r="C45" s="14" t="s">
        <v>81</v>
      </c>
      <c r="D45" s="29" t="s">
        <v>167</v>
      </c>
      <c r="E45" s="9" t="s">
        <v>34</v>
      </c>
      <c r="F45" s="14" t="s">
        <v>68</v>
      </c>
      <c r="G45" s="9">
        <v>2.5</v>
      </c>
      <c r="H45" s="14" t="s">
        <v>17</v>
      </c>
      <c r="I45" s="30" t="s">
        <v>168</v>
      </c>
    </row>
    <row r="46" spans="2:9" ht="37.799999999999997" x14ac:dyDescent="0.5">
      <c r="B46" s="16" t="s">
        <v>129</v>
      </c>
      <c r="C46" s="31" t="s">
        <v>83</v>
      </c>
      <c r="D46" s="29" t="s">
        <v>84</v>
      </c>
      <c r="E46" s="9" t="s">
        <v>34</v>
      </c>
      <c r="F46" s="14" t="s">
        <v>111</v>
      </c>
      <c r="G46" s="9">
        <v>5.5</v>
      </c>
      <c r="H46" s="31" t="s">
        <v>110</v>
      </c>
      <c r="I46" s="30" t="s">
        <v>169</v>
      </c>
    </row>
    <row r="47" spans="2:9" x14ac:dyDescent="0.5">
      <c r="B47" s="8"/>
      <c r="C47" s="14"/>
      <c r="D47" s="9"/>
      <c r="E47" s="9"/>
      <c r="F47" s="14"/>
      <c r="G47" s="9"/>
      <c r="H47" s="14"/>
      <c r="I47" s="12"/>
    </row>
    <row r="48" spans="2:9" x14ac:dyDescent="0.5">
      <c r="B48" s="8"/>
      <c r="C48" s="14"/>
      <c r="D48" s="9"/>
      <c r="E48" s="9"/>
      <c r="F48" s="14"/>
      <c r="G48" s="9"/>
      <c r="H48" s="14"/>
      <c r="I48" s="12"/>
    </row>
    <row r="49" spans="2:9" x14ac:dyDescent="0.5">
      <c r="B49" s="8"/>
      <c r="C49" s="14"/>
      <c r="D49" s="9"/>
      <c r="E49" s="9"/>
      <c r="F49" s="14"/>
      <c r="G49" s="9"/>
      <c r="H49" s="14"/>
      <c r="I49" s="12"/>
    </row>
    <row r="50" spans="2:9" x14ac:dyDescent="0.5">
      <c r="B50" s="8"/>
      <c r="C50" s="14"/>
      <c r="D50" s="9"/>
      <c r="E50" s="9"/>
      <c r="F50" s="14"/>
      <c r="G50" s="9"/>
      <c r="H50" s="14"/>
      <c r="I50" s="12"/>
    </row>
    <row r="51" spans="2:9" x14ac:dyDescent="0.5">
      <c r="B51" s="8"/>
      <c r="C51" s="14"/>
      <c r="D51" s="9"/>
      <c r="E51" s="9"/>
      <c r="F51" s="14"/>
      <c r="G51" s="9"/>
      <c r="H51" s="14"/>
      <c r="I51" s="12"/>
    </row>
    <row r="52" spans="2:9" x14ac:dyDescent="0.5">
      <c r="B52" s="24"/>
      <c r="C52" s="25"/>
      <c r="D52" s="26"/>
      <c r="E52" s="26"/>
      <c r="F52" s="28" t="s">
        <v>61</v>
      </c>
      <c r="G52" s="39">
        <f>SUM(G3:G51)</f>
        <v>167</v>
      </c>
      <c r="H52" s="40"/>
      <c r="I52" s="41"/>
    </row>
    <row r="53" spans="2:9" ht="14.4" thickBot="1" x14ac:dyDescent="0.55000000000000004">
      <c r="B53" s="20"/>
      <c r="C53" s="21"/>
      <c r="D53" s="22"/>
      <c r="E53" s="22"/>
      <c r="F53" s="27" t="s">
        <v>62</v>
      </c>
      <c r="G53" s="36"/>
      <c r="H53" s="37"/>
      <c r="I53" s="38"/>
    </row>
    <row r="54" spans="2:9" ht="14.4" thickTop="1" x14ac:dyDescent="0.5"/>
  </sheetData>
  <mergeCells count="6">
    <mergeCell ref="G53:I53"/>
    <mergeCell ref="G52:I52"/>
    <mergeCell ref="B37:I37"/>
    <mergeCell ref="B4:I4"/>
    <mergeCell ref="B16:I16"/>
    <mergeCell ref="B27:I27"/>
  </mergeCells>
  <phoneticPr fontId="7" type="noConversion"/>
  <dataValidations count="3">
    <dataValidation type="list" allowBlank="1" showInputMessage="1" showErrorMessage="1" sqref="F5:F15 F17:F26 F38:F43 F45:F51 F28:F36" xr:uid="{364E3339-0261-4FFB-A773-453A2099E95D}">
      <formula1>INDIRECT(E5)</formula1>
    </dataValidation>
    <dataValidation type="list" allowBlank="1" showInputMessage="1" showErrorMessage="1" sqref="H5:H15 H17:H26 H38:H51 H28:H36" xr:uid="{A5FE801F-68C4-4975-A9FA-80528D200CF2}">
      <formula1>hh</formula1>
    </dataValidation>
    <dataValidation type="list" allowBlank="1" showInputMessage="1" showErrorMessage="1" sqref="E44" xr:uid="{4B5A4F7D-3483-4FAD-8851-97D918D38B98}">
      <formula1>INDIRECT(#REF!)</formula1>
    </dataValidation>
  </dataValidations>
  <pageMargins left="0.7" right="0.7" top="0.75" bottom="0.75" header="0.3" footer="0.3"/>
  <pageSetup paperSize="8" orientation="landscape"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8A3E79B9-35A9-4452-A5E3-1CABB23C6AE9}">
          <x14:formula1>
            <xm:f>数据标签!$B$11:$D$11</xm:f>
          </x14:formula1>
          <xm:sqref>E5:E15 E17:E26 E38:E53 E28:E36</xm:sqref>
        </x14:dataValidation>
        <x14:dataValidation type="list" allowBlank="1" showInputMessage="1" showErrorMessage="1" xr:uid="{B3BACC1A-8223-4DA8-AFAB-EAB491A15282}">
          <x14:formula1>
            <xm:f>数据标签!$B$2:$H$2</xm:f>
          </x14:formula1>
          <xm:sqref>C5:C15 C17:C26 C38:C53 C28:C36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7</v>
      </c>
      <c r="B2" s="3" t="s">
        <v>8</v>
      </c>
      <c r="C2" s="3" t="s">
        <v>9</v>
      </c>
      <c r="D2" s="3" t="s">
        <v>10</v>
      </c>
      <c r="E2" s="3" t="s">
        <v>11</v>
      </c>
      <c r="F2" s="3" t="s">
        <v>63</v>
      </c>
      <c r="G2" s="3" t="s">
        <v>54</v>
      </c>
      <c r="H2" s="3" t="s">
        <v>12</v>
      </c>
    </row>
    <row r="3" spans="1:8" ht="25.2" x14ac:dyDescent="0.5">
      <c r="A3" s="2" t="s">
        <v>13</v>
      </c>
      <c r="B3" s="3" t="s">
        <v>14</v>
      </c>
      <c r="C3" s="3" t="s">
        <v>14</v>
      </c>
      <c r="D3" s="3" t="s">
        <v>14</v>
      </c>
      <c r="E3" s="3" t="s">
        <v>15</v>
      </c>
      <c r="F3" s="3" t="s">
        <v>16</v>
      </c>
      <c r="G3" s="3" t="s">
        <v>17</v>
      </c>
      <c r="H3" s="3" t="s">
        <v>18</v>
      </c>
    </row>
    <row r="4" spans="1:8" ht="37.799999999999997" x14ac:dyDescent="0.5">
      <c r="B4" s="3" t="s">
        <v>19</v>
      </c>
      <c r="C4" s="3" t="s">
        <v>19</v>
      </c>
      <c r="D4" s="3" t="s">
        <v>19</v>
      </c>
      <c r="E4" s="3" t="s">
        <v>20</v>
      </c>
      <c r="F4" s="17" t="s">
        <v>56</v>
      </c>
      <c r="G4" s="3" t="s">
        <v>52</v>
      </c>
      <c r="H4" s="3" t="s">
        <v>55</v>
      </c>
    </row>
    <row r="5" spans="1:8" x14ac:dyDescent="0.5">
      <c r="B5" s="3" t="s">
        <v>22</v>
      </c>
      <c r="C5" s="3" t="s">
        <v>22</v>
      </c>
      <c r="D5" s="3" t="s">
        <v>22</v>
      </c>
      <c r="E5" s="3" t="s">
        <v>23</v>
      </c>
      <c r="F5" s="1" t="s">
        <v>21</v>
      </c>
      <c r="G5" s="3" t="s">
        <v>24</v>
      </c>
      <c r="H5" s="3" t="s">
        <v>25</v>
      </c>
    </row>
    <row r="6" spans="1:8" ht="25.2" x14ac:dyDescent="0.5">
      <c r="B6" s="3" t="s">
        <v>26</v>
      </c>
      <c r="C6" s="3" t="s">
        <v>26</v>
      </c>
      <c r="D6" s="3" t="s">
        <v>26</v>
      </c>
      <c r="E6" s="3" t="s">
        <v>27</v>
      </c>
      <c r="G6" s="3" t="s">
        <v>28</v>
      </c>
      <c r="H6" s="3" t="s">
        <v>29</v>
      </c>
    </row>
    <row r="7" spans="1:8" ht="37.799999999999997" x14ac:dyDescent="0.5">
      <c r="B7" s="3" t="s">
        <v>30</v>
      </c>
      <c r="C7" s="3" t="s">
        <v>30</v>
      </c>
      <c r="D7" s="3" t="s">
        <v>30</v>
      </c>
      <c r="E7" s="3" t="s">
        <v>31</v>
      </c>
      <c r="G7" s="1" t="s">
        <v>21</v>
      </c>
      <c r="H7" s="3" t="s">
        <v>32</v>
      </c>
    </row>
    <row r="8" spans="1:8" x14ac:dyDescent="0.5">
      <c r="B8" s="1" t="s">
        <v>21</v>
      </c>
      <c r="C8" s="1" t="s">
        <v>21</v>
      </c>
      <c r="D8" s="1" t="s">
        <v>21</v>
      </c>
      <c r="E8" s="18"/>
      <c r="F8" s="17"/>
      <c r="G8" s="18"/>
      <c r="H8" s="23" t="s">
        <v>65</v>
      </c>
    </row>
    <row r="9" spans="1:8" x14ac:dyDescent="0.5">
      <c r="C9" s="18"/>
      <c r="D9" s="18"/>
      <c r="H9" s="1" t="s">
        <v>60</v>
      </c>
    </row>
    <row r="11" spans="1:8" x14ac:dyDescent="0.5">
      <c r="A11" s="1" t="s">
        <v>33</v>
      </c>
      <c r="B11" s="1" t="s">
        <v>34</v>
      </c>
      <c r="C11" s="1" t="s">
        <v>35</v>
      </c>
      <c r="D11" s="1" t="s">
        <v>21</v>
      </c>
    </row>
    <row r="12" spans="1:8" ht="37.799999999999997" x14ac:dyDescent="0.5">
      <c r="A12" s="1" t="s">
        <v>36</v>
      </c>
      <c r="B12" s="3" t="s">
        <v>37</v>
      </c>
    </row>
    <row r="13" spans="1:8" ht="25.2" x14ac:dyDescent="0.5">
      <c r="B13" s="19" t="s">
        <v>49</v>
      </c>
      <c r="C13" s="13" t="s">
        <v>50</v>
      </c>
      <c r="D13" s="13" t="s">
        <v>50</v>
      </c>
    </row>
    <row r="14" spans="1:8" ht="25.2" x14ac:dyDescent="0.5">
      <c r="B14" s="19" t="s">
        <v>38</v>
      </c>
      <c r="C14" s="13" t="s">
        <v>50</v>
      </c>
      <c r="D14" s="13" t="s">
        <v>50</v>
      </c>
    </row>
    <row r="15" spans="1:8" ht="50.4" x14ac:dyDescent="0.5">
      <c r="B15" s="19" t="s">
        <v>39</v>
      </c>
      <c r="C15" s="13" t="s">
        <v>50</v>
      </c>
      <c r="D15" s="13" t="s">
        <v>50</v>
      </c>
    </row>
    <row r="16" spans="1:8" ht="50.4" x14ac:dyDescent="0.5">
      <c r="B16" s="19" t="s">
        <v>40</v>
      </c>
      <c r="C16" s="13" t="s">
        <v>50</v>
      </c>
      <c r="D16" s="13" t="s">
        <v>50</v>
      </c>
    </row>
    <row r="17" spans="2:4" ht="37.799999999999997" x14ac:dyDescent="0.5">
      <c r="B17" s="19" t="s">
        <v>41</v>
      </c>
      <c r="C17" s="13" t="s">
        <v>50</v>
      </c>
      <c r="D17" s="13" t="s">
        <v>50</v>
      </c>
    </row>
    <row r="18" spans="2:4" ht="50.4" x14ac:dyDescent="0.5">
      <c r="B18" s="19" t="s">
        <v>42</v>
      </c>
      <c r="C18" s="13" t="s">
        <v>50</v>
      </c>
      <c r="D18" s="13" t="s">
        <v>50</v>
      </c>
    </row>
    <row r="19" spans="2:4" ht="50.4" x14ac:dyDescent="0.5">
      <c r="B19" s="19" t="s">
        <v>43</v>
      </c>
      <c r="C19" s="13" t="s">
        <v>50</v>
      </c>
      <c r="D19" s="13" t="s">
        <v>50</v>
      </c>
    </row>
    <row r="20" spans="2:4" ht="37.799999999999997" x14ac:dyDescent="0.5">
      <c r="B20" s="19" t="s">
        <v>57</v>
      </c>
      <c r="C20" s="13" t="s">
        <v>50</v>
      </c>
      <c r="D20" s="13" t="s">
        <v>50</v>
      </c>
    </row>
    <row r="21" spans="2:4" ht="25.2" x14ac:dyDescent="0.5">
      <c r="B21" s="19" t="s">
        <v>44</v>
      </c>
      <c r="C21" s="13" t="s">
        <v>50</v>
      </c>
      <c r="D21" s="13" t="s">
        <v>50</v>
      </c>
    </row>
    <row r="22" spans="2:4" ht="37.799999999999997" x14ac:dyDescent="0.5">
      <c r="B22" s="19" t="s">
        <v>58</v>
      </c>
      <c r="C22" s="13" t="s">
        <v>50</v>
      </c>
      <c r="D22" s="13" t="s">
        <v>50</v>
      </c>
    </row>
    <row r="23" spans="2:4" ht="37.799999999999997" x14ac:dyDescent="0.5">
      <c r="B23" s="19" t="s">
        <v>59</v>
      </c>
      <c r="C23" s="13"/>
      <c r="D23" s="13"/>
    </row>
    <row r="24" spans="2:4" ht="63" x14ac:dyDescent="0.5">
      <c r="B24" s="19" t="s">
        <v>48</v>
      </c>
      <c r="C24" s="13" t="s">
        <v>50</v>
      </c>
      <c r="D24" s="13" t="s">
        <v>50</v>
      </c>
    </row>
    <row r="25" spans="2:4" ht="37.799999999999997" x14ac:dyDescent="0.5">
      <c r="B25" s="19" t="s">
        <v>45</v>
      </c>
      <c r="C25" s="13" t="s">
        <v>50</v>
      </c>
      <c r="D25" s="13" t="s">
        <v>50</v>
      </c>
    </row>
    <row r="26" spans="2:4" ht="37.799999999999997" x14ac:dyDescent="0.5">
      <c r="B26" s="19" t="s">
        <v>46</v>
      </c>
      <c r="C26" s="13" t="s">
        <v>50</v>
      </c>
      <c r="D26" s="13" t="s">
        <v>50</v>
      </c>
    </row>
    <row r="27" spans="2:4" ht="25.2" x14ac:dyDescent="0.5">
      <c r="B27" s="19" t="s">
        <v>47</v>
      </c>
      <c r="C27" s="13" t="s">
        <v>50</v>
      </c>
      <c r="D27" s="13" t="s">
        <v>50</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cp:lastPrinted>2025-03-09T10:20:18Z</cp:lastPrinted>
  <dcterms:created xsi:type="dcterms:W3CDTF">2024-12-10T02:24:00Z</dcterms:created>
  <dcterms:modified xsi:type="dcterms:W3CDTF">2025-06-03T11:43:43Z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