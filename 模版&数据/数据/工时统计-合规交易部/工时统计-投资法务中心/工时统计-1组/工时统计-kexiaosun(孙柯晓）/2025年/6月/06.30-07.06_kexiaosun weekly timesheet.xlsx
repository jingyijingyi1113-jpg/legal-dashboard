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F801335E-BA2D-4C13-A4D3-4E79ADB8127D}"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<sst xmlns="http://schemas.openxmlformats.org/spreadsheetml/2006/main" count="175" uniqueCount="89">
  <si>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</si>
  <si>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</si>
  <si>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</si>
  <si>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</si>
  <si>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</si>
  <si>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</si>
  <si>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</si>
  <si>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</si>
  <si>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</si>
  <si>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</si>
  <si>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</si>
  <si>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</si>
  <si>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</si>
  <si>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</si>
  <si>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</si>
  <si>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</si>
  <si>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</si>
  <si>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</si>
  <si>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</si>
  <si>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</si>
  <si>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</si>
  <si>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</si>
  <si>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</si>
  <si>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</si>
  <si>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</si>
  <si>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</si>
  <si>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</si>
  <si>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</si>
  <si>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</si>
  <si>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</si>
  <si>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</si>
  <si>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</si>
  <si>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</si>
  <si>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</si>
  <si>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</si>
  <si>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</si>
  <si>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</si>
  <si>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</si>
  <si>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</si>
  <si>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</si>
  <si>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</si>
  <si>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</si>
  <si>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</si>
  <si>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</si>
  <si>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</si>
  <si>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</si>
  <si>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</si>
  <si>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</si>
  <si>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</si>
  <si>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</si>
  <si>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</si>
  <si>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</si>
  <si>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</si>
  <si>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</si>
  <si>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</si>
  <si>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</si>
  <si>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</si>
  <si>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</si>
  <si>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</si>
  <si>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</si>
  <si>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</si>
  <si>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</si>
  <si>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</si>
  <si>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</si>
  <si>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</si>
  <si>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</si>
  <si>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</si>
  <si>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</si>
  <si>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</si>
  <si>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</si>
  <si>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</si>
  <si>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</si>
  <si>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</si>
  <si>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</si>
  <si>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</si>
  <si>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</si>
  <si>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</si>
  <si>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Dragon</t>
    <phoneticPr fontId="7" type="noConversion"/>
  </si>
  <si>
    <t>百川智能</t>
    <phoneticPr fontId="7" type="noConversion"/>
  </si>
  <si>
    <t>Public - Knowledge Accumulation &amp; Sharing</t>
  </si>
  <si>
    <t>AI工具分享准备</t>
    <phoneticPr fontId="7" type="noConversion"/>
  </si>
  <si>
    <t>签约</t>
    <phoneticPr fontId="7" type="noConversion"/>
  </si>
  <si>
    <t>季度律师费统计</t>
    <phoneticPr fontId="7" type="noConversion"/>
  </si>
  <si>
    <t>控股子公司红线事项排查</t>
    <phoneticPr fontId="7" type="noConversion"/>
  </si>
  <si>
    <t>利创</t>
    <phoneticPr fontId="7" type="noConversion"/>
  </si>
  <si>
    <t>回购条款及触发事项讨论</t>
    <phoneticPr fontId="7" type="noConversion"/>
  </si>
  <si>
    <t>美区重新上架事宜跟进</t>
    <phoneticPr fontId="7" type="noConversion"/>
  </si>
  <si>
    <t>老股交割；CB和SHA审阅，讨论，修改；</t>
    <phoneticPr fontId="7" type="noConversion"/>
  </si>
  <si>
    <t>控股子公司制裁条款核查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</si>
</sst>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C4" zoomScale="90" zoomScaleNormal="90" workbookViewId="0">
      <selection activeCell="H18" sqref="H18"/>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76</v>
      </c>
      <c r="E4" s="9" t="s">
        <v>38</v>
      </c>
      <c r="F4" s="14" t="s">
        <v>70</v>
      </c>
      <c r="G4" s="9">
        <v>15</v>
      </c>
      <c r="H4" s="14" t="s">
        <v>18</v>
      </c>
      <c r="I4" s="30" t="s">
        <v>87</v>
      </c>
    </row>
    <row r="5" spans="2:9" ht="25.35" x14ac:dyDescent="0.45">
      <c r="B5" s="16" t="s">
        <v>75</v>
      </c>
      <c r="C5" s="14" t="s">
        <v>12</v>
      </c>
      <c r="D5" s="29" t="s">
        <v>74</v>
      </c>
      <c r="E5" s="9" t="s">
        <v>38</v>
      </c>
      <c r="F5" s="14" t="s">
        <v>70</v>
      </c>
      <c r="G5" s="9">
        <v>1.5</v>
      </c>
      <c r="H5" s="14" t="s">
        <v>18</v>
      </c>
      <c r="I5" s="30" t="s">
        <v>81</v>
      </c>
    </row>
    <row r="6" spans="2:9" ht="25.35" x14ac:dyDescent="0.45">
      <c r="B6" s="16" t="s">
        <v>75</v>
      </c>
      <c r="C6" s="14" t="s">
        <v>12</v>
      </c>
      <c r="D6" s="29" t="s">
        <v>78</v>
      </c>
      <c r="E6" s="9" t="s">
        <v>38</v>
      </c>
      <c r="F6" s="14" t="s">
        <v>70</v>
      </c>
      <c r="G6" s="9">
        <v>3</v>
      </c>
      <c r="H6" s="14" t="s">
        <v>34</v>
      </c>
      <c r="I6" s="30" t="s">
        <v>85</v>
      </c>
    </row>
    <row r="7" spans="2:9" ht="25.35" x14ac:dyDescent="0.45">
      <c r="B7" s="16" t="s">
        <v>75</v>
      </c>
      <c r="C7" s="14" t="s">
        <v>14</v>
      </c>
      <c r="D7" s="29" t="s">
        <v>77</v>
      </c>
      <c r="E7" s="9" t="s">
        <v>38</v>
      </c>
      <c r="F7" s="14" t="s">
        <v>70</v>
      </c>
      <c r="G7" s="9">
        <v>1</v>
      </c>
      <c r="H7" s="14" t="s">
        <v>34</v>
      </c>
      <c r="I7" s="30" t="s">
        <v>86</v>
      </c>
    </row>
    <row r="8" spans="2:9" x14ac:dyDescent="0.45">
      <c r="B8" s="16" t="s">
        <v>75</v>
      </c>
      <c r="C8" s="14" t="s">
        <v>79</v>
      </c>
      <c r="D8" s="29"/>
      <c r="E8" s="9" t="s">
        <v>25</v>
      </c>
      <c r="F8" s="14"/>
      <c r="G8" s="9">
        <v>2.5</v>
      </c>
      <c r="H8" s="14" t="s">
        <v>25</v>
      </c>
      <c r="I8" s="30" t="s">
        <v>80</v>
      </c>
    </row>
    <row r="9" spans="2:9" x14ac:dyDescent="0.45">
      <c r="B9" s="16" t="s">
        <v>75</v>
      </c>
      <c r="C9" s="14" t="s">
        <v>16</v>
      </c>
      <c r="D9" s="29"/>
      <c r="E9" s="9" t="s">
        <v>25</v>
      </c>
      <c r="F9" s="14"/>
      <c r="G9" s="9">
        <v>1.5</v>
      </c>
      <c r="H9" s="14" t="s">
        <v>32</v>
      </c>
      <c r="I9" s="30"/>
    </row>
    <row r="10" spans="2:9" ht="25.35" x14ac:dyDescent="0.45">
      <c r="B10" s="16" t="s">
        <v>75</v>
      </c>
      <c r="C10" s="14" t="s">
        <v>16</v>
      </c>
      <c r="D10" s="29"/>
      <c r="E10" s="9" t="s">
        <v>25</v>
      </c>
      <c r="F10" s="14"/>
      <c r="G10" s="9">
        <v>2</v>
      </c>
      <c r="H10" s="14" t="s">
        <v>36</v>
      </c>
      <c r="I10" s="30" t="s">
        <v>82</v>
      </c>
    </row>
    <row r="11" spans="2:9" s="34" customFormat="1" ht="25.35" x14ac:dyDescent="0.45">
      <c r="B11" s="16" t="s">
        <v>75</v>
      </c>
      <c r="C11" s="31" t="s">
        <v>16</v>
      </c>
      <c r="D11" s="32"/>
      <c r="E11" s="32" t="s">
        <v>25</v>
      </c>
      <c r="F11" s="31"/>
      <c r="G11" s="32">
        <v>2</v>
      </c>
      <c r="H11" s="31" t="s">
        <v>71</v>
      </c>
      <c r="I11" s="33"/>
    </row>
    <row r="12" spans="2:9" x14ac:dyDescent="0.45">
      <c r="B12" s="16" t="s">
        <v>75</v>
      </c>
      <c r="C12" s="14" t="s">
        <v>16</v>
      </c>
      <c r="D12" s="9"/>
      <c r="E12" s="9" t="s">
        <v>25</v>
      </c>
      <c r="F12" s="14"/>
      <c r="G12" s="9">
        <v>2</v>
      </c>
      <c r="H12" s="14" t="s">
        <v>25</v>
      </c>
      <c r="I12" s="30" t="s">
        <v>83</v>
      </c>
    </row>
    <row r="13" spans="2:9" x14ac:dyDescent="0.45">
      <c r="B13" s="16" t="s">
        <v>75</v>
      </c>
      <c r="C13" s="14" t="s">
        <v>16</v>
      </c>
      <c r="D13" s="9"/>
      <c r="E13" s="9" t="s">
        <v>25</v>
      </c>
      <c r="F13" s="14"/>
      <c r="G13" s="9">
        <v>0.3</v>
      </c>
      <c r="H13" s="14" t="s">
        <v>25</v>
      </c>
      <c r="I13" s="30" t="s">
        <v>84</v>
      </c>
    </row>
    <row r="14" spans="2:9" x14ac:dyDescent="0.45">
      <c r="B14" s="16" t="s">
        <v>75</v>
      </c>
      <c r="C14" s="14" t="s">
        <v>16</v>
      </c>
      <c r="D14" s="9"/>
      <c r="E14" s="9" t="s">
        <v>25</v>
      </c>
      <c r="F14" s="14"/>
      <c r="G14" s="9">
        <v>1.5</v>
      </c>
      <c r="H14" s="14" t="s">
        <v>25</v>
      </c>
      <c r="I14" s="30" t="s">
        <v>88</v>
      </c>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24"/>
      <c r="C19" s="25"/>
      <c r="D19" s="26"/>
      <c r="E19" s="26"/>
      <c r="F19" s="28" t="s">
        <v>65</v>
      </c>
      <c r="G19" s="38">
        <f>SUM(G3:G18)</f>
        <v>32.299999999999997</v>
      </c>
      <c r="H19" s="39"/>
      <c r="I19" s="40"/>
    </row>
    <row r="20" spans="2:9" ht="14.35" thickBot="1" x14ac:dyDescent="0.5">
      <c r="B20" s="20"/>
      <c r="C20" s="21"/>
      <c r="D20" s="22"/>
      <c r="E20" s="22"/>
      <c r="F20" s="27" t="s">
        <v>66</v>
      </c>
      <c r="G20" s="35">
        <v>5</v>
      </c>
      <c r="H20" s="36"/>
      <c r="I20" s="37"/>
    </row>
    <row r="21" spans="2:9" ht="14.35" thickTop="1" x14ac:dyDescent="0.4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2025-07-07T06:35:24Z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