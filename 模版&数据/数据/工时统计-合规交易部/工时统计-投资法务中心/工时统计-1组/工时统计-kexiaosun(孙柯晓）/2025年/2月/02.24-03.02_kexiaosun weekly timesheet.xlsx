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8B591FD1-579D-482A-8724-A6BE2357A888}"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<sst xmlns="http://schemas.openxmlformats.org/spreadsheetml/2006/main" count="160" uniqueCount="89">
  <si>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</si>
  <si>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</si>
  <si>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</si>
  <si>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</si>
  <si>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</si>
  <si>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</si>
  <si>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</si>
  <si>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</si>
  <si>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</si>
  <si>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</si>
  <si>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</si>
  <si>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</si>
  <si>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</si>
  <si>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</si>
  <si>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</si>
  <si>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</si>
  <si>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</si>
  <si>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</si>
  <si>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</si>
  <si>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</si>
  <si>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</si>
  <si>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</si>
  <si>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</si>
  <si>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</si>
  <si>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</si>
  <si>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</si>
  <si>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</si>
  <si>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</si>
  <si>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</si>
  <si>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</si>
  <si>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</si>
  <si>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</si>
  <si>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</si>
  <si>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</si>
  <si>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</si>
  <si>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</si>
  <si>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</si>
  <si>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</si>
  <si>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</si>
  <si>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</si>
  <si>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</si>
  <si>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</si>
  <si>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</si>
  <si>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</si>
  <si>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</si>
  <si>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</si>
  <si>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</si>
  <si>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</si>
  <si>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</si>
  <si>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</si>
  <si>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</si>
  <si>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</si>
  <si>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</si>
  <si>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</si>
  <si>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</si>
  <si>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</si>
  <si>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</si>
  <si>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</si>
  <si>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</si>
  <si>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</si>
  <si>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</si>
  <si>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</si>
  <si>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</si>
  <si>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</si>
  <si>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</si>
  <si>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</si>
  <si>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</si>
  <si>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</si>
  <si>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</si>
  <si>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</si>
  <si>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</si>
  <si>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</si>
  <si>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</si>
  <si>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</si>
  <si>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</si>
  <si>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协鑫钙钛矿</t>
    <phoneticPr fontId="7" type="noConversion"/>
  </si>
  <si>
    <t>C2新融资</t>
    <phoneticPr fontId="7" type="noConversion"/>
  </si>
  <si>
    <t>Public - Knowledge Accumulation &amp; Sharing</t>
  </si>
  <si>
    <t>AI</t>
    <phoneticPr fontId="7" type="noConversion"/>
  </si>
  <si>
    <t>CB转股后公司治理架构；重组周报，etc.</t>
    <phoneticPr fontId="7" type="noConversion"/>
  </si>
  <si>
    <t>Hirect</t>
    <phoneticPr fontId="7" type="noConversion"/>
  </si>
  <si>
    <t>励销云</t>
    <phoneticPr fontId="7" type="noConversion"/>
  </si>
  <si>
    <t>董事更换及退出提示</t>
    <phoneticPr fontId="7" type="noConversion"/>
  </si>
  <si>
    <t>Public - Infrastructure &amp; Guidance</t>
  </si>
  <si>
    <t>二级操作手册</t>
    <phoneticPr fontId="7" type="noConversion"/>
  </si>
  <si>
    <t>库洛</t>
    <phoneticPr fontId="7" type="noConversion"/>
  </si>
  <si>
    <t>控股和重点投资公司法务风险管理 Legal risk management for controlled and key invested portfolios</t>
  </si>
  <si>
    <t>Lightspeed Fund</t>
    <phoneticPr fontId="7" type="noConversion"/>
  </si>
  <si>
    <t>Fund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</si>
</sst>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G13" sqref="G13"/>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74</v>
      </c>
    </row>
    <row r="4" spans="2:9" s="36" customFormat="1" ht="25.35" x14ac:dyDescent="0.45">
      <c r="B4" s="31"/>
      <c r="C4" s="32" t="s">
        <v>13</v>
      </c>
      <c r="D4" s="33" t="s">
        <v>73</v>
      </c>
      <c r="E4" s="34" t="s">
        <v>39</v>
      </c>
      <c r="F4" s="32" t="s">
        <v>71</v>
      </c>
      <c r="G4" s="39">
        <v>4.5</v>
      </c>
      <c r="H4" s="32" t="s">
        <v>19</v>
      </c>
      <c r="I4" s="35" t="s">
        <v>79</v>
      </c>
    </row>
    <row r="5" spans="2:9" ht="25.35" x14ac:dyDescent="0.45">
      <c r="B5" s="16"/>
      <c r="C5" s="14" t="s">
        <v>13</v>
      </c>
      <c r="D5" s="29" t="s">
        <v>80</v>
      </c>
      <c r="E5" s="9" t="s">
        <v>39</v>
      </c>
      <c r="F5" s="14" t="s">
        <v>71</v>
      </c>
      <c r="G5" s="9">
        <v>3</v>
      </c>
      <c r="H5" s="14" t="s">
        <v>35</v>
      </c>
      <c r="I5" s="30"/>
    </row>
    <row r="6" spans="2:9" ht="25.35" x14ac:dyDescent="0.45">
      <c r="B6" s="16"/>
      <c r="C6" s="14" t="s">
        <v>15</v>
      </c>
      <c r="D6" s="29" t="s">
        <v>81</v>
      </c>
      <c r="E6" s="9" t="s">
        <v>39</v>
      </c>
      <c r="F6" s="14" t="s">
        <v>71</v>
      </c>
      <c r="G6" s="9">
        <v>1.5</v>
      </c>
      <c r="H6" s="14" t="s">
        <v>19</v>
      </c>
      <c r="I6" s="30" t="s">
        <v>82</v>
      </c>
    </row>
    <row r="7" spans="2:9" ht="25.35" x14ac:dyDescent="0.45">
      <c r="B7" s="16"/>
      <c r="C7" s="14" t="s">
        <v>13</v>
      </c>
      <c r="D7" s="29" t="s">
        <v>75</v>
      </c>
      <c r="E7" s="9" t="s">
        <v>39</v>
      </c>
      <c r="F7" s="14" t="s">
        <v>71</v>
      </c>
      <c r="G7" s="9">
        <v>5</v>
      </c>
      <c r="H7" s="14" t="s">
        <v>19</v>
      </c>
      <c r="I7" s="30" t="s">
        <v>76</v>
      </c>
    </row>
    <row r="8" spans="2:9" ht="38" x14ac:dyDescent="0.45">
      <c r="B8" s="16"/>
      <c r="C8" s="14" t="s">
        <v>15</v>
      </c>
      <c r="D8" s="29" t="s">
        <v>85</v>
      </c>
      <c r="E8" s="9" t="s">
        <v>39</v>
      </c>
      <c r="F8" s="14" t="s">
        <v>86</v>
      </c>
      <c r="G8" s="9">
        <v>1.5</v>
      </c>
      <c r="H8" s="14" t="s">
        <v>26</v>
      </c>
      <c r="I8" s="30"/>
    </row>
    <row r="9" spans="2:9" ht="25.35" x14ac:dyDescent="0.45">
      <c r="B9" s="16"/>
      <c r="C9" s="14" t="s">
        <v>13</v>
      </c>
      <c r="D9" s="29" t="s">
        <v>87</v>
      </c>
      <c r="E9" s="9" t="s">
        <v>39</v>
      </c>
      <c r="F9" s="14" t="s">
        <v>71</v>
      </c>
      <c r="G9" s="9">
        <v>3</v>
      </c>
      <c r="H9" s="14" t="s">
        <v>19</v>
      </c>
      <c r="I9" s="30"/>
    </row>
    <row r="10" spans="2:9" x14ac:dyDescent="0.45">
      <c r="B10" s="16"/>
      <c r="C10" s="14" t="s">
        <v>83</v>
      </c>
      <c r="D10" s="29" t="s">
        <v>84</v>
      </c>
      <c r="E10" s="9"/>
      <c r="F10" s="14"/>
      <c r="G10" s="9">
        <v>3</v>
      </c>
      <c r="H10" s="14" t="s">
        <v>21</v>
      </c>
      <c r="I10" s="30"/>
    </row>
    <row r="11" spans="2:9" x14ac:dyDescent="0.45">
      <c r="B11" s="16"/>
      <c r="C11" s="14" t="s">
        <v>77</v>
      </c>
      <c r="D11" s="29"/>
      <c r="E11" s="9"/>
      <c r="F11" s="14"/>
      <c r="G11" s="9">
        <v>2</v>
      </c>
      <c r="H11" s="14" t="s">
        <v>33</v>
      </c>
      <c r="I11" s="30" t="s">
        <v>78</v>
      </c>
    </row>
    <row r="12" spans="2:9" x14ac:dyDescent="0.45">
      <c r="B12" s="16"/>
      <c r="C12" s="14" t="s">
        <v>77</v>
      </c>
      <c r="D12" s="29"/>
      <c r="E12" s="9"/>
      <c r="F12" s="14"/>
      <c r="G12" s="9">
        <v>5</v>
      </c>
      <c r="H12" s="14" t="s">
        <v>33</v>
      </c>
      <c r="I12" s="30" t="s">
        <v>88</v>
      </c>
    </row>
    <row r="13" spans="2:9" s="36" customFormat="1" x14ac:dyDescent="0.45">
      <c r="B13" s="37"/>
      <c r="C13" s="32" t="s">
        <v>17</v>
      </c>
      <c r="D13" s="34"/>
      <c r="E13" s="34"/>
      <c r="F13" s="32"/>
      <c r="G13" s="34">
        <v>1.7</v>
      </c>
      <c r="H13" s="32" t="s">
        <v>23</v>
      </c>
      <c r="I13" s="35"/>
    </row>
    <row r="14" spans="2:9" s="36" customFormat="1" ht="25.35" x14ac:dyDescent="0.45">
      <c r="B14" s="37"/>
      <c r="C14" s="32" t="s">
        <v>17</v>
      </c>
      <c r="D14" s="34"/>
      <c r="E14" s="34"/>
      <c r="F14" s="32"/>
      <c r="G14" s="34">
        <v>1.5</v>
      </c>
      <c r="H14" s="32" t="s">
        <v>72</v>
      </c>
      <c r="I14" s="38"/>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24"/>
      <c r="C28" s="25"/>
      <c r="D28" s="26"/>
      <c r="E28" s="26"/>
      <c r="F28" s="28" t="s">
        <v>66</v>
      </c>
      <c r="G28" s="43">
        <f>SUM(G3:G27)</f>
        <v>31.7</v>
      </c>
      <c r="H28" s="44"/>
      <c r="I28" s="45"/>
    </row>
    <row r="29" spans="2:9" ht="14.35" thickBot="1" x14ac:dyDescent="0.5">
      <c r="B29" s="20"/>
      <c r="C29" s="21"/>
      <c r="D29" s="22"/>
      <c r="E29" s="22"/>
      <c r="F29" s="27" t="s">
        <v>67</v>
      </c>
      <c r="G29" s="40">
        <v>5</v>
      </c>
      <c r="H29" s="41"/>
      <c r="I29" s="42"/>
    </row>
    <row r="30" spans="2:9" ht="14.35" thickTop="1" x14ac:dyDescent="0.4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2025-03-03T03:03:11Z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