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218765BF-FE17-48F5-97B8-EBA41EF5E90B}"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<sst xmlns="http://schemas.openxmlformats.org/spreadsheetml/2006/main" count="185" uniqueCount="92">
  <si>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</si>
  <si>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</si>
  <si>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</si>
  <si>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</si>
  <si>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</si>
  <si>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</si>
  <si>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</si>
  <si>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</si>
  <si>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</si>
  <si>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</si>
  <si>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</si>
  <si>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</si>
  <si>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</si>
  <si>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</si>
  <si>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</si>
  <si>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</si>
  <si>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</si>
  <si>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</si>
  <si>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</si>
  <si>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</si>
  <si>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</si>
  <si>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</si>
  <si>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</si>
  <si>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</si>
  <si>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</si>
  <si>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</si>
  <si>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</si>
  <si>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</si>
  <si>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</si>
  <si>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</si>
  <si>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</si>
  <si>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</si>
  <si>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</si>
  <si>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</si>
  <si>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</si>
  <si>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</si>
  <si>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</si>
  <si>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</si>
  <si>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</si>
  <si>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</si>
  <si>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</si>
  <si>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</si>
  <si>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</si>
  <si>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</si>
  <si>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</si>
  <si>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</si>
  <si>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</si>
  <si>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</si>
  <si>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</si>
  <si>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</si>
  <si>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</si>
  <si>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</si>
  <si>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</si>
  <si>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</si>
  <si>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</si>
  <si>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</si>
  <si>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</si>
  <si>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</si>
  <si>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</si>
  <si>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</si>
  <si>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</si>
  <si>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</si>
  <si>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</si>
  <si>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</si>
  <si>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</si>
  <si>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</si>
  <si>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</si>
  <si>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</si>
  <si>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</si>
  <si>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</si>
  <si>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</si>
  <si>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</si>
  <si>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</si>
  <si>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</si>
  <si>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</si>
  <si>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</si>
  <si>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</si>
  <si>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光舟半导体</t>
    <phoneticPr fontId="7" type="noConversion"/>
  </si>
  <si>
    <t>Revolut</t>
    <phoneticPr fontId="7" type="noConversion"/>
  </si>
  <si>
    <t>AWV老股收购</t>
    <phoneticPr fontId="7" type="noConversion"/>
  </si>
  <si>
    <t>成都绿道JV</t>
    <phoneticPr fontId="7" type="noConversion"/>
  </si>
  <si>
    <t>Lexology文章</t>
    <phoneticPr fontId="7" type="noConversion"/>
  </si>
  <si>
    <t>Saber NDA</t>
    <phoneticPr fontId="7" type="noConversion"/>
  </si>
  <si>
    <t>新一轮融资文件审阅/沟通</t>
    <phoneticPr fontId="7" type="noConversion"/>
  </si>
  <si>
    <t>Crossfit NDA</t>
    <phoneticPr fontId="7" type="noConversion"/>
  </si>
  <si>
    <t>Public - Knowledge Accumulation &amp; Sharing</t>
  </si>
  <si>
    <t>国际监管趋势监测、预判 Monitoring and forecasting international regulatory trends</t>
  </si>
  <si>
    <t>DSP case study</t>
    <phoneticPr fontId="7" type="noConversion"/>
  </si>
  <si>
    <t>审阅进一步修改的SHA和CB，交割文件审阅，反垄断事项讨论</t>
    <phoneticPr fontId="7" type="noConversion"/>
  </si>
  <si>
    <t>B轮新融资，与MA讨论</t>
    <phoneticPr fontId="7" type="noConversion"/>
  </si>
  <si>
    <t>Hillbot新融资询价</t>
    <phoneticPr fontId="7" type="noConversion"/>
  </si>
  <si>
    <t>审阅团队修改的律师函，最新进展讨论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</si>
</sst>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6" zoomScale="90" zoomScaleNormal="90" workbookViewId="0">
      <selection activeCell="G12" sqref="G12"/>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76</v>
      </c>
      <c r="E4" s="9" t="s">
        <v>38</v>
      </c>
      <c r="F4" s="14" t="s">
        <v>70</v>
      </c>
      <c r="G4" s="9">
        <v>7</v>
      </c>
      <c r="H4" s="14" t="s">
        <v>18</v>
      </c>
      <c r="I4" s="30" t="s">
        <v>88</v>
      </c>
    </row>
    <row r="5" spans="2:9" ht="25.35" x14ac:dyDescent="0.45">
      <c r="B5" s="16" t="s">
        <v>75</v>
      </c>
      <c r="C5" s="14" t="s">
        <v>12</v>
      </c>
      <c r="D5" s="29" t="s">
        <v>74</v>
      </c>
      <c r="E5" s="9" t="s">
        <v>38</v>
      </c>
      <c r="F5" s="14" t="s">
        <v>70</v>
      </c>
      <c r="G5" s="9">
        <v>3.2</v>
      </c>
      <c r="H5" s="14" t="s">
        <v>18</v>
      </c>
      <c r="I5" s="30" t="s">
        <v>83</v>
      </c>
    </row>
    <row r="6" spans="2:9" ht="25.35" x14ac:dyDescent="0.45">
      <c r="B6" s="16" t="s">
        <v>75</v>
      </c>
      <c r="C6" s="14" t="s">
        <v>12</v>
      </c>
      <c r="D6" s="29" t="s">
        <v>77</v>
      </c>
      <c r="E6" s="9" t="s">
        <v>38</v>
      </c>
      <c r="F6" s="14" t="s">
        <v>70</v>
      </c>
      <c r="G6" s="9">
        <v>2.2000000000000002</v>
      </c>
      <c r="H6" s="14" t="s">
        <v>18</v>
      </c>
      <c r="I6" s="30" t="s">
        <v>89</v>
      </c>
    </row>
    <row r="7" spans="2:9" ht="25.35" x14ac:dyDescent="0.45">
      <c r="B7" s="16" t="s">
        <v>75</v>
      </c>
      <c r="C7" s="14" t="s">
        <v>12</v>
      </c>
      <c r="D7" s="29" t="s">
        <v>78</v>
      </c>
      <c r="E7" s="9" t="s">
        <v>38</v>
      </c>
      <c r="F7" s="14" t="s">
        <v>70</v>
      </c>
      <c r="G7" s="9">
        <v>10</v>
      </c>
      <c r="H7" s="14" t="s">
        <v>34</v>
      </c>
      <c r="I7" s="30" t="s">
        <v>79</v>
      </c>
    </row>
    <row r="8" spans="2:9" ht="25.35" x14ac:dyDescent="0.45">
      <c r="B8" s="16" t="s">
        <v>75</v>
      </c>
      <c r="C8" s="14" t="s">
        <v>12</v>
      </c>
      <c r="D8" s="29" t="s">
        <v>80</v>
      </c>
      <c r="E8" s="9" t="s">
        <v>38</v>
      </c>
      <c r="F8" s="14" t="s">
        <v>70</v>
      </c>
      <c r="G8" s="9">
        <v>2</v>
      </c>
      <c r="H8" s="14" t="s">
        <v>34</v>
      </c>
      <c r="I8" s="30" t="s">
        <v>91</v>
      </c>
    </row>
    <row r="9" spans="2:9" ht="25.35" x14ac:dyDescent="0.45">
      <c r="B9" s="16" t="s">
        <v>75</v>
      </c>
      <c r="C9" s="14" t="s">
        <v>12</v>
      </c>
      <c r="D9" s="29" t="s">
        <v>82</v>
      </c>
      <c r="E9" s="9" t="s">
        <v>38</v>
      </c>
      <c r="F9" s="14" t="s">
        <v>70</v>
      </c>
      <c r="G9" s="9">
        <v>2.5</v>
      </c>
      <c r="H9" s="14" t="s">
        <v>18</v>
      </c>
      <c r="I9" s="30"/>
    </row>
    <row r="10" spans="2:9" ht="25.35" x14ac:dyDescent="0.45">
      <c r="B10" s="16" t="s">
        <v>75</v>
      </c>
      <c r="C10" s="14" t="s">
        <v>12</v>
      </c>
      <c r="D10" s="29" t="s">
        <v>84</v>
      </c>
      <c r="E10" s="9" t="s">
        <v>38</v>
      </c>
      <c r="F10" s="14" t="s">
        <v>70</v>
      </c>
      <c r="G10" s="9">
        <v>0.8</v>
      </c>
      <c r="H10" s="14" t="s">
        <v>18</v>
      </c>
      <c r="I10" s="30"/>
    </row>
    <row r="11" spans="2:9" ht="38" x14ac:dyDescent="0.45">
      <c r="B11" s="16" t="s">
        <v>75</v>
      </c>
      <c r="C11" s="14" t="s">
        <v>85</v>
      </c>
      <c r="D11" s="29"/>
      <c r="E11" s="9" t="s">
        <v>38</v>
      </c>
      <c r="F11" s="14" t="s">
        <v>86</v>
      </c>
      <c r="G11" s="9">
        <v>1.5</v>
      </c>
      <c r="H11" s="14" t="s">
        <v>21</v>
      </c>
      <c r="I11" s="30" t="s">
        <v>87</v>
      </c>
    </row>
    <row r="12" spans="2:9" x14ac:dyDescent="0.45">
      <c r="B12" s="16" t="s">
        <v>75</v>
      </c>
      <c r="C12" s="14" t="s">
        <v>85</v>
      </c>
      <c r="D12" s="29"/>
      <c r="E12" s="9" t="s">
        <v>25</v>
      </c>
      <c r="F12" s="14"/>
      <c r="G12" s="9">
        <v>9</v>
      </c>
      <c r="H12" s="14" t="s">
        <v>21</v>
      </c>
      <c r="I12" s="30" t="s">
        <v>81</v>
      </c>
    </row>
    <row r="13" spans="2:9" x14ac:dyDescent="0.45">
      <c r="B13" s="16" t="s">
        <v>75</v>
      </c>
      <c r="C13" s="14" t="s">
        <v>16</v>
      </c>
      <c r="D13" s="29"/>
      <c r="E13" s="9" t="s">
        <v>25</v>
      </c>
      <c r="F13" s="14"/>
      <c r="G13" s="9">
        <v>2</v>
      </c>
      <c r="H13" s="14" t="s">
        <v>22</v>
      </c>
      <c r="I13" s="30"/>
    </row>
    <row r="14" spans="2:9" ht="25.35" x14ac:dyDescent="0.45">
      <c r="B14" s="16" t="s">
        <v>75</v>
      </c>
      <c r="C14" s="14" t="s">
        <v>16</v>
      </c>
      <c r="D14" s="29"/>
      <c r="E14" s="9" t="s">
        <v>25</v>
      </c>
      <c r="F14" s="14"/>
      <c r="G14" s="9">
        <v>1</v>
      </c>
      <c r="H14" s="14" t="s">
        <v>36</v>
      </c>
      <c r="I14" s="30" t="s">
        <v>90</v>
      </c>
    </row>
    <row r="15" spans="2:9" s="34" customFormat="1" ht="25.35" x14ac:dyDescent="0.45">
      <c r="B15" s="16" t="s">
        <v>75</v>
      </c>
      <c r="C15" s="31" t="s">
        <v>16</v>
      </c>
      <c r="D15" s="32"/>
      <c r="E15" s="32" t="s">
        <v>25</v>
      </c>
      <c r="F15" s="31"/>
      <c r="G15" s="32">
        <v>1.5</v>
      </c>
      <c r="H15" s="31" t="s">
        <v>71</v>
      </c>
      <c r="I15" s="33"/>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24"/>
      <c r="C20" s="25"/>
      <c r="D20" s="26"/>
      <c r="E20" s="26"/>
      <c r="F20" s="28" t="s">
        <v>65</v>
      </c>
      <c r="G20" s="38">
        <f>SUM(G3:G19)</f>
        <v>42.7</v>
      </c>
      <c r="H20" s="39"/>
      <c r="I20" s="40"/>
    </row>
    <row r="21" spans="2:9" ht="14.35" thickBot="1" x14ac:dyDescent="0.5">
      <c r="B21" s="20"/>
      <c r="C21" s="21"/>
      <c r="D21" s="22"/>
      <c r="E21" s="22"/>
      <c r="F21" s="27" t="s">
        <v>66</v>
      </c>
      <c r="G21" s="35">
        <v>5</v>
      </c>
      <c r="H21" s="36"/>
      <c r="I21" s="37"/>
    </row>
    <row r="22" spans="2:9" ht="14.35" thickTop="1" x14ac:dyDescent="0.4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2025-08-04T06:12:36Z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