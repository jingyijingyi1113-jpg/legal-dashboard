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A7FDA5F9-14F8-4C8D-BD8E-2C8CD690BB9B}" xr6:coauthVersionLast="47" xr6:coauthVersionMax="47" xr10:uidLastSave="{00000000-0000-0000-0000-000000000000}"/>
  <bookViews>
    <workbookView xWindow="-3756" yWindow="-1305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 l="1"/>
</calcChain>
</file>

<file path=xl/sharedStrings.xml><?xml version="1.0" encoding="utf-8"?>
<sst xmlns="http://schemas.openxmlformats.org/spreadsheetml/2006/main" count="139" uniqueCount="81">
  <si>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</si>
  <si>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</si>
  <si>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</si>
  <si>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</si>
  <si>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</si>
  <si>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</si>
  <si>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</si>
  <si>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</si>
  <si>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</si>
  <si>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</si>
  <si>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</si>
  <si>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</si>
  <si>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</si>
  <si>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</si>
  <si>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</si>
  <si>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</si>
  <si>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</si>
  <si>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</si>
  <si>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</si>
  <si>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</si>
  <si>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</si>
  <si>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</si>
  <si>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</si>
  <si>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</si>
  <si>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</si>
  <si>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</si>
  <si>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</si>
  <si>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</si>
  <si>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</si>
  <si>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</si>
  <si>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</si>
  <si>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</si>
  <si>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</si>
  <si>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</si>
  <si>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</si>
  <si>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</si>
  <si>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</si>
  <si>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</si>
  <si>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</si>
  <si>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</si>
  <si>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</si>
  <si>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</si>
  <si>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</si>
  <si>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</si>
  <si>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</si>
  <si>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</si>
  <si>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</si>
  <si>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</si>
  <si>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</si>
  <si>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</si>
  <si>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</si>
  <si>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</si>
  <si>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</si>
  <si>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</si>
  <si>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</si>
  <si>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</si>
  <si>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</si>
  <si>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</si>
  <si>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</si>
  <si>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</si>
  <si>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</si>
  <si>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</si>
  <si>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</si>
  <si>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</si>
  <si>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</si>
  <si>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</si>
  <si>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</si>
  <si>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</si>
  <si>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</si>
  <si>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</si>
  <si>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</si>
  <si>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</si>
  <si>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</si>
  <si>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请相应勾选下拉菜单中的工作类别选项
Please select relevant work category in the drop-down menu</t>
    <phoneticPr fontId="7" type="noConversion"/>
  </si>
  <si>
    <t>Hillbot</t>
    <phoneticPr fontId="7" type="noConversion"/>
  </si>
  <si>
    <t>kexiaosun</t>
    <phoneticPr fontId="7" type="noConversion"/>
  </si>
  <si>
    <t>Project Pompano</t>
    <phoneticPr fontId="7" type="noConversion"/>
  </si>
  <si>
    <t>二级市场买入；MNPI确认；台湾投资限制分析、邮件总结</t>
    <phoneticPr fontId="7" type="noConversion"/>
  </si>
  <si>
    <t>库洛游戏</t>
    <phoneticPr fontId="7" type="noConversion"/>
  </si>
  <si>
    <t>研究IEGG关于</t>
    <phoneticPr fontId="7" type="noConversion"/>
  </si>
  <si>
    <t>追加投资文件；Pre-A+交割</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</si>
</sst>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9" fillId="0" borderId="0" applyFont="0" applyFill="0" applyBorder="0" applyAlignment="0" applyProtection="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43" fontId="5" fillId="0" borderId="4" xfId="1" applyFont="1" applyFill="1" applyBorder="1" applyAlignment="1">
      <alignment vertical="center" wrapText="1"/>
    </xf>
    <xf numFmtId="43" fontId="5" fillId="0" borderId="4" xfId="1" applyFont="1" applyFill="1" applyBorder="1">
      <alignment vertical="center"/>
    </xf>
    <xf numFmtId="43" fontId="5" fillId="0" borderId="8" xfId="1" applyFont="1" applyFill="1" applyBorder="1">
      <alignment vertical="center"/>
    </xf>
    <xf numFmtId="43" fontId="0" fillId="0" borderId="0" xfId="1" applyFont="1" applyFill="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1"/>
  <sheetViews>
    <sheetView tabSelected="1" topLeftCell="A3" zoomScale="90" zoomScaleNormal="90" workbookViewId="0">
      <selection activeCell="G16" sqref="G16"/>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73</v>
      </c>
      <c r="I3" s="11" t="s">
        <v>72</v>
      </c>
    </row>
    <row r="4" spans="2:9" ht="25.35" x14ac:dyDescent="0.45">
      <c r="B4" s="16" t="s">
        <v>75</v>
      </c>
      <c r="C4" s="14" t="s">
        <v>14</v>
      </c>
      <c r="D4" s="29" t="s">
        <v>78</v>
      </c>
      <c r="E4" s="9" t="s">
        <v>38</v>
      </c>
      <c r="F4" s="14" t="s">
        <v>70</v>
      </c>
      <c r="G4" s="9">
        <v>1</v>
      </c>
      <c r="H4" s="14" t="s">
        <v>34</v>
      </c>
      <c r="I4" s="30" t="s">
        <v>79</v>
      </c>
    </row>
    <row r="5" spans="2:9" ht="25.35" x14ac:dyDescent="0.45">
      <c r="B5" s="16" t="s">
        <v>75</v>
      </c>
      <c r="C5" s="14" t="s">
        <v>12</v>
      </c>
      <c r="D5" s="29" t="s">
        <v>74</v>
      </c>
      <c r="E5" s="9" t="s">
        <v>38</v>
      </c>
      <c r="F5" s="14" t="s">
        <v>70</v>
      </c>
      <c r="G5" s="9">
        <v>1</v>
      </c>
      <c r="H5" s="14" t="s">
        <v>18</v>
      </c>
      <c r="I5" s="30" t="s">
        <v>80</v>
      </c>
    </row>
    <row r="6" spans="2:9" ht="25.35" x14ac:dyDescent="0.45">
      <c r="B6" s="16" t="s">
        <v>75</v>
      </c>
      <c r="C6" s="35" t="s">
        <v>12</v>
      </c>
      <c r="D6" s="29" t="s">
        <v>76</v>
      </c>
      <c r="E6" s="29" t="s">
        <v>38</v>
      </c>
      <c r="F6" s="35" t="s">
        <v>70</v>
      </c>
      <c r="G6" s="29">
        <v>5</v>
      </c>
      <c r="H6" s="35" t="s">
        <v>23</v>
      </c>
      <c r="I6" s="30" t="s">
        <v>77</v>
      </c>
    </row>
    <row r="7" spans="2:9" s="34" customFormat="1" ht="25.35" x14ac:dyDescent="0.45">
      <c r="B7" s="16" t="s">
        <v>75</v>
      </c>
      <c r="C7" s="31" t="s">
        <v>16</v>
      </c>
      <c r="D7" s="32"/>
      <c r="E7" s="32" t="s">
        <v>25</v>
      </c>
      <c r="F7" s="31"/>
      <c r="G7" s="32">
        <v>0.5</v>
      </c>
      <c r="H7" s="31" t="s">
        <v>71</v>
      </c>
      <c r="I7" s="33"/>
    </row>
    <row r="8" spans="2:9" x14ac:dyDescent="0.45">
      <c r="B8" s="8"/>
      <c r="C8" s="14"/>
      <c r="D8" s="9"/>
      <c r="E8" s="9"/>
      <c r="F8" s="14"/>
      <c r="G8" s="9"/>
      <c r="H8" s="14"/>
      <c r="I8" s="12"/>
    </row>
    <row r="9" spans="2:9" x14ac:dyDescent="0.45">
      <c r="B9" s="24"/>
      <c r="C9" s="25"/>
      <c r="D9" s="26"/>
      <c r="E9" s="26"/>
      <c r="F9" s="28" t="s">
        <v>65</v>
      </c>
      <c r="G9" s="39">
        <f>SUM(G3:G8)</f>
        <v>7.5</v>
      </c>
      <c r="H9" s="40"/>
      <c r="I9" s="41"/>
    </row>
    <row r="10" spans="2:9" ht="14.35" thickBot="1" x14ac:dyDescent="0.5">
      <c r="B10" s="20"/>
      <c r="C10" s="21"/>
      <c r="D10" s="22"/>
      <c r="E10" s="22"/>
      <c r="F10" s="27" t="s">
        <v>66</v>
      </c>
      <c r="G10" s="36">
        <v>0</v>
      </c>
      <c r="H10" s="37"/>
      <c r="I10" s="38"/>
    </row>
    <row r="11" spans="2:9" ht="14.35" thickTop="1" x14ac:dyDescent="0.45"/>
  </sheetData>
  <mergeCells count="2">
    <mergeCell ref="G10:I10"/>
    <mergeCell ref="G9:I9"/>
  </mergeCells>
  <phoneticPr fontId="7" type="noConversion"/>
  <dataValidations count="2">
    <dataValidation type="list" allowBlank="1" showInputMessage="1" showErrorMessage="1" sqref="H4:H8" xr:uid="{00000000-0002-0000-0000-000000000000}">
      <formula1>hh</formula1>
    </dataValidation>
    <dataValidation type="list" allowBlank="1" showInputMessage="1" showErrorMessage="1" sqref="F4:F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E4:E5 E7:E10</xm:sqref>
        </x14:dataValidation>
        <x14:dataValidation type="list" allowBlank="1" showInputMessage="1" showErrorMessage="1" xr:uid="{00000000-0002-0000-0000-000002000000}">
          <x14:formula1>
            <xm:f>数据标签!$B$2:$H$2</xm:f>
          </x14:formula1>
          <xm:sqref>C4:C5 C7:C10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2025-10-09T11:39:58Z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