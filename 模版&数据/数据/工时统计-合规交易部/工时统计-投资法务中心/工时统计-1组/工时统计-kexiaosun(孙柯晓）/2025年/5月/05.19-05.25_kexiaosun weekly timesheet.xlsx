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1D6B82AB-7BDA-4ED9-81C6-A0E75256DE0E}" xr6:coauthVersionLast="47" xr6:coauthVersionMax="47" xr10:uidLastSave="{00000000-0000-0000-0000-000000000000}"/>
  <bookViews>
    <workbookView xWindow="-93" yWindow="-93" windowWidth="17253" windowHeight="91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<sst xmlns="http://schemas.openxmlformats.org/spreadsheetml/2006/main" count="166" uniqueCount="89">
  <si>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</si>
  <si>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</si>
  <si>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</si>
  <si>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</si>
  <si>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</si>
  <si>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</si>
  <si>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</si>
  <si>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</si>
  <si>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</si>
  <si>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</si>
  <si>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</si>
  <si>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</si>
  <si>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</si>
  <si>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</si>
  <si>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</si>
  <si>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</si>
  <si>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</si>
  <si>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</si>
  <si>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</si>
  <si>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</si>
  <si>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</si>
  <si>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</si>
  <si>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</si>
  <si>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</si>
  <si>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</si>
  <si>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</si>
  <si>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</si>
  <si>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</si>
  <si>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</si>
  <si>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</si>
  <si>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</si>
  <si>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</si>
  <si>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</si>
  <si>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</si>
  <si>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</si>
  <si>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</si>
  <si>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</si>
  <si>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</si>
  <si>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</si>
  <si>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</si>
  <si>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</si>
  <si>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</si>
  <si>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</si>
  <si>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</si>
  <si>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</si>
  <si>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</si>
  <si>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</si>
  <si>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</si>
  <si>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</si>
  <si>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</si>
  <si>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</si>
  <si>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</si>
  <si>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</si>
  <si>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</si>
  <si>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</si>
  <si>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</si>
  <si>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</si>
  <si>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</si>
  <si>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</si>
  <si>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</si>
  <si>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</si>
  <si>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</si>
  <si>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</si>
  <si>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</si>
  <si>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</si>
  <si>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</si>
  <si>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</si>
  <si>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</si>
  <si>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</si>
  <si>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</si>
  <si>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</si>
  <si>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</si>
  <si>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</si>
  <si>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</si>
  <si>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</si>
  <si>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</si>
  <si>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</si>
  <si>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</si>
  <si>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重要子公司表格</t>
    <phoneticPr fontId="7" type="noConversion"/>
  </si>
  <si>
    <t>成都绿道JV</t>
    <phoneticPr fontId="7" type="noConversion"/>
  </si>
  <si>
    <t>25年第三次董事会</t>
    <phoneticPr fontId="7" type="noConversion"/>
  </si>
  <si>
    <t>建议文件审阅; sanction沟通</t>
    <phoneticPr fontId="7" type="noConversion"/>
  </si>
  <si>
    <t>Providing training sessions/knowledge sharing</t>
  </si>
  <si>
    <t>bulk sensitive data培训准备</t>
    <phoneticPr fontId="7" type="noConversion"/>
  </si>
  <si>
    <t>周会</t>
    <phoneticPr fontId="7" type="noConversion"/>
  </si>
  <si>
    <t xml:space="preserve"> </t>
  </si>
  <si>
    <t>NDA工具开发</t>
    <phoneticPr fontId="7" type="noConversion"/>
  </si>
  <si>
    <t>Dragon</t>
    <phoneticPr fontId="7" type="noConversion"/>
  </si>
  <si>
    <t>美区事宜</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</si>
</sst>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11" zoomScale="90" zoomScaleNormal="90" workbookViewId="0">
      <selection activeCell="B11" sqref="B11:B12"/>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74</v>
      </c>
      <c r="I3" s="11" t="s">
        <v>72</v>
      </c>
    </row>
    <row r="4" spans="2:9" ht="25.35" x14ac:dyDescent="0.45">
      <c r="B4" s="16" t="s">
        <v>76</v>
      </c>
      <c r="C4" s="14" t="s">
        <v>12</v>
      </c>
      <c r="D4" s="29" t="s">
        <v>77</v>
      </c>
      <c r="E4" s="9" t="s">
        <v>38</v>
      </c>
      <c r="F4" s="14" t="s">
        <v>70</v>
      </c>
      <c r="G4" s="9">
        <v>11</v>
      </c>
      <c r="H4" s="14" t="s">
        <v>18</v>
      </c>
      <c r="I4" s="30"/>
    </row>
    <row r="5" spans="2:9" ht="25.35" x14ac:dyDescent="0.45">
      <c r="B5" s="16" t="s">
        <v>76</v>
      </c>
      <c r="C5" s="14" t="s">
        <v>12</v>
      </c>
      <c r="D5" s="29" t="s">
        <v>75</v>
      </c>
      <c r="E5" s="9" t="s">
        <v>38</v>
      </c>
      <c r="F5" s="14" t="s">
        <v>70</v>
      </c>
      <c r="G5" s="9">
        <v>12</v>
      </c>
      <c r="H5" s="14" t="s">
        <v>18</v>
      </c>
      <c r="I5" s="30" t="s">
        <v>81</v>
      </c>
    </row>
    <row r="6" spans="2:9" ht="25.35" x14ac:dyDescent="0.45">
      <c r="B6" s="16" t="s">
        <v>76</v>
      </c>
      <c r="C6" s="14" t="s">
        <v>14</v>
      </c>
      <c r="D6" s="29" t="s">
        <v>79</v>
      </c>
      <c r="E6" s="9" t="s">
        <v>38</v>
      </c>
      <c r="F6" s="14" t="s">
        <v>70</v>
      </c>
      <c r="G6" s="9">
        <v>1</v>
      </c>
      <c r="H6" s="14" t="s">
        <v>18</v>
      </c>
      <c r="I6" s="30" t="s">
        <v>80</v>
      </c>
    </row>
    <row r="7" spans="2:9" ht="25.35" x14ac:dyDescent="0.45">
      <c r="B7" s="16" t="s">
        <v>76</v>
      </c>
      <c r="C7" s="35" t="s">
        <v>14</v>
      </c>
      <c r="D7" s="29" t="s">
        <v>87</v>
      </c>
      <c r="E7" s="29" t="s">
        <v>38</v>
      </c>
      <c r="F7" s="35" t="s">
        <v>70</v>
      </c>
      <c r="G7" s="29">
        <v>1</v>
      </c>
      <c r="H7" s="35" t="s">
        <v>18</v>
      </c>
      <c r="I7" s="30" t="s">
        <v>88</v>
      </c>
    </row>
    <row r="8" spans="2:9" x14ac:dyDescent="0.45">
      <c r="B8" s="16" t="s">
        <v>76</v>
      </c>
      <c r="C8" s="14" t="s">
        <v>16</v>
      </c>
      <c r="D8" s="29"/>
      <c r="E8" s="9" t="s">
        <v>25</v>
      </c>
      <c r="F8" s="14" t="s">
        <v>85</v>
      </c>
      <c r="G8" s="9">
        <v>1.5</v>
      </c>
      <c r="H8" s="14" t="s">
        <v>25</v>
      </c>
      <c r="I8" s="30" t="s">
        <v>86</v>
      </c>
    </row>
    <row r="9" spans="2:9" x14ac:dyDescent="0.45">
      <c r="B9" s="16" t="s">
        <v>76</v>
      </c>
      <c r="C9" s="14" t="s">
        <v>73</v>
      </c>
      <c r="D9" s="29"/>
      <c r="E9" s="9" t="s">
        <v>25</v>
      </c>
      <c r="F9" s="14"/>
      <c r="G9" s="9">
        <v>6</v>
      </c>
      <c r="H9" s="14" t="s">
        <v>82</v>
      </c>
      <c r="I9" s="30" t="s">
        <v>83</v>
      </c>
    </row>
    <row r="10" spans="2:9" x14ac:dyDescent="0.45">
      <c r="B10" s="16" t="s">
        <v>76</v>
      </c>
      <c r="C10" s="14" t="s">
        <v>16</v>
      </c>
      <c r="D10" s="29"/>
      <c r="E10" s="9" t="s">
        <v>25</v>
      </c>
      <c r="F10" s="14"/>
      <c r="G10" s="9">
        <v>2</v>
      </c>
      <c r="H10" s="14" t="s">
        <v>22</v>
      </c>
      <c r="I10" s="30" t="s">
        <v>84</v>
      </c>
    </row>
    <row r="11" spans="2:9" s="33" customFormat="1" ht="25.35" x14ac:dyDescent="0.45">
      <c r="B11" s="16" t="s">
        <v>76</v>
      </c>
      <c r="C11" s="31" t="s">
        <v>16</v>
      </c>
      <c r="D11" s="32"/>
      <c r="E11" s="32" t="s">
        <v>25</v>
      </c>
      <c r="F11" s="31"/>
      <c r="G11" s="32">
        <v>1.5</v>
      </c>
      <c r="H11" s="31" t="s">
        <v>71</v>
      </c>
      <c r="I11" s="34"/>
    </row>
    <row r="12" spans="2:9" ht="25.35" x14ac:dyDescent="0.45">
      <c r="B12" s="16" t="s">
        <v>76</v>
      </c>
      <c r="C12" s="14" t="s">
        <v>16</v>
      </c>
      <c r="D12" s="9"/>
      <c r="E12" s="9" t="s">
        <v>25</v>
      </c>
      <c r="F12" s="14"/>
      <c r="G12" s="9">
        <v>2.5</v>
      </c>
      <c r="H12" s="14" t="s">
        <v>71</v>
      </c>
      <c r="I12" s="30" t="s">
        <v>78</v>
      </c>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24"/>
      <c r="C22" s="25"/>
      <c r="D22" s="26"/>
      <c r="E22" s="26"/>
      <c r="F22" s="28" t="s">
        <v>65</v>
      </c>
      <c r="G22" s="39">
        <f>SUM(G3:G21)</f>
        <v>38.5</v>
      </c>
      <c r="H22" s="40"/>
      <c r="I22" s="41"/>
    </row>
    <row r="23" spans="2:9" ht="14.35" thickBot="1" x14ac:dyDescent="0.5">
      <c r="B23" s="20"/>
      <c r="C23" s="21"/>
      <c r="D23" s="22"/>
      <c r="E23" s="22"/>
      <c r="F23" s="27" t="s">
        <v>66</v>
      </c>
      <c r="G23" s="36">
        <v>5</v>
      </c>
      <c r="H23" s="37"/>
      <c r="I23" s="38"/>
    </row>
    <row r="24" spans="2:9" ht="14.35" thickTop="1" x14ac:dyDescent="0.4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E8:E23</xm:sqref>
        </x14:dataValidation>
        <x14:dataValidation type="list" allowBlank="1" showInputMessage="1" showErrorMessage="1" xr:uid="{00000000-0002-0000-0000-000002000000}">
          <x14:formula1>
            <xm:f>数据标签!$B$2:$H$2</xm:f>
          </x14:formula1>
          <xm:sqref>C4:C6 C8:C23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2025-06-03T02:44:53Z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