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87CF3E71-5E06-44A6-8EF4-288DAA3B42FD}"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<sst xmlns="http://schemas.openxmlformats.org/spreadsheetml/2006/main" count="141" uniqueCount="81">
  <si>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</si>
  <si>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</si>
  <si>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</si>
  <si>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</si>
  <si>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</si>
  <si>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</si>
  <si>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</si>
  <si>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</si>
  <si>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</si>
  <si>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</si>
  <si>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</si>
  <si>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</si>
  <si>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</si>
  <si>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</si>
  <si>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</si>
  <si>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</si>
  <si>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</si>
  <si>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</si>
  <si>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</si>
  <si>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</si>
  <si>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</si>
  <si>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</si>
  <si>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</si>
  <si>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</si>
  <si>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</si>
  <si>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</si>
  <si>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</si>
  <si>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</si>
  <si>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</si>
  <si>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</si>
  <si>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</si>
  <si>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</si>
  <si>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</si>
  <si>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</si>
  <si>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</si>
  <si>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</si>
  <si>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</si>
  <si>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</si>
  <si>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</si>
  <si>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</si>
  <si>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</si>
  <si>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</si>
  <si>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</si>
  <si>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</si>
  <si>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</si>
  <si>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</si>
  <si>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</si>
  <si>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</si>
  <si>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</si>
  <si>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</si>
  <si>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</si>
  <si>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</si>
  <si>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</si>
  <si>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</si>
  <si>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</si>
  <si>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</si>
  <si>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</si>
  <si>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</si>
  <si>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</si>
  <si>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</si>
  <si>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</si>
  <si>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</si>
  <si>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</si>
  <si>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</si>
  <si>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</si>
  <si>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</si>
  <si>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</si>
  <si>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</si>
  <si>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</si>
  <si>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</si>
  <si>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</si>
  <si>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</si>
  <si>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</si>
  <si>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Hirect US</t>
    <phoneticPr fontId="7" type="noConversion"/>
  </si>
  <si>
    <t>赠股文件</t>
    <phoneticPr fontId="7" type="noConversion"/>
  </si>
  <si>
    <t>成都绿道JV</t>
    <phoneticPr fontId="7" type="noConversion"/>
  </si>
  <si>
    <t>台湾项目</t>
    <phoneticPr fontId="7" type="noConversion"/>
  </si>
  <si>
    <t>Dream</t>
    <phoneticPr fontId="7" type="noConversion"/>
  </si>
  <si>
    <t>交易方案设计，讨论，PPT</t>
    <phoneticPr fontId="7" type="noConversion"/>
  </si>
  <si>
    <t>Recording/reviewing deals updates/weekly time reports/other team summaries</t>
  </si>
  <si>
    <t>退出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</si>
</sst>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G7" sqref="G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s="36" customFormat="1" ht="25.35" x14ac:dyDescent="0.45">
      <c r="B4" s="31"/>
      <c r="C4" s="32" t="s">
        <v>14</v>
      </c>
      <c r="D4" s="33" t="s">
        <v>77</v>
      </c>
      <c r="E4" s="34" t="s">
        <v>40</v>
      </c>
      <c r="F4" s="32" t="s">
        <v>72</v>
      </c>
      <c r="G4" s="34">
        <v>10.5</v>
      </c>
      <c r="H4" s="32" t="s">
        <v>28</v>
      </c>
      <c r="I4" s="35" t="s">
        <v>78</v>
      </c>
    </row>
    <row r="5" spans="2:9" ht="25.35" x14ac:dyDescent="0.45">
      <c r="B5" s="16"/>
      <c r="C5" s="14" t="s">
        <v>14</v>
      </c>
      <c r="D5" s="29" t="s">
        <v>73</v>
      </c>
      <c r="E5" s="9" t="s">
        <v>40</v>
      </c>
      <c r="F5" s="14" t="s">
        <v>72</v>
      </c>
      <c r="G5" s="9">
        <v>0.8</v>
      </c>
      <c r="H5" s="14" t="s">
        <v>20</v>
      </c>
      <c r="I5" s="30" t="s">
        <v>74</v>
      </c>
    </row>
    <row r="6" spans="2:9" ht="25.35" x14ac:dyDescent="0.45">
      <c r="B6" s="16"/>
      <c r="C6" s="14" t="s">
        <v>14</v>
      </c>
      <c r="D6" s="29" t="s">
        <v>76</v>
      </c>
      <c r="E6" s="9" t="s">
        <v>40</v>
      </c>
      <c r="F6" s="14" t="s">
        <v>72</v>
      </c>
      <c r="G6" s="9">
        <v>1</v>
      </c>
      <c r="H6" s="14" t="s">
        <v>36</v>
      </c>
      <c r="I6" s="30"/>
    </row>
    <row r="7" spans="2:9" ht="25.35" x14ac:dyDescent="0.45">
      <c r="B7" s="16"/>
      <c r="C7" s="14" t="s">
        <v>14</v>
      </c>
      <c r="D7" s="29" t="s">
        <v>75</v>
      </c>
      <c r="E7" s="9" t="s">
        <v>40</v>
      </c>
      <c r="F7" s="14" t="s">
        <v>72</v>
      </c>
      <c r="G7" s="9">
        <v>1</v>
      </c>
      <c r="H7" s="14" t="s">
        <v>36</v>
      </c>
      <c r="I7" s="30" t="s">
        <v>80</v>
      </c>
    </row>
    <row r="8" spans="2:9" s="36" customFormat="1" x14ac:dyDescent="0.45">
      <c r="B8" s="37"/>
      <c r="C8" s="32" t="s">
        <v>18</v>
      </c>
      <c r="D8" s="34"/>
      <c r="E8" s="34"/>
      <c r="F8" s="32"/>
      <c r="G8" s="34">
        <v>1</v>
      </c>
      <c r="H8" s="32" t="s">
        <v>24</v>
      </c>
      <c r="I8" s="38"/>
    </row>
    <row r="9" spans="2:9" s="36" customFormat="1" ht="25.35" x14ac:dyDescent="0.45">
      <c r="B9" s="37"/>
      <c r="C9" s="32" t="s">
        <v>18</v>
      </c>
      <c r="D9" s="34"/>
      <c r="E9" s="34"/>
      <c r="F9" s="32"/>
      <c r="G9" s="34">
        <v>1</v>
      </c>
      <c r="H9" s="32" t="s">
        <v>79</v>
      </c>
      <c r="I9" s="38"/>
    </row>
    <row r="10" spans="2:9" x14ac:dyDescent="0.45">
      <c r="B10" s="8"/>
      <c r="C10" s="14"/>
      <c r="D10" s="9"/>
      <c r="E10" s="9"/>
      <c r="F10" s="14"/>
      <c r="G10" s="9"/>
      <c r="H10" s="14"/>
      <c r="I10" s="12"/>
    </row>
    <row r="11" spans="2:9" x14ac:dyDescent="0.45">
      <c r="B11" s="8"/>
      <c r="C11" s="14"/>
      <c r="D11" s="9"/>
      <c r="E11" s="9"/>
      <c r="F11" s="14"/>
      <c r="G11" s="9"/>
      <c r="H11" s="14"/>
      <c r="I11" s="12"/>
    </row>
    <row r="12" spans="2:9" x14ac:dyDescent="0.45">
      <c r="B12" s="8"/>
      <c r="C12" s="14"/>
      <c r="D12" s="9"/>
      <c r="E12" s="9"/>
      <c r="F12" s="14"/>
      <c r="G12" s="9"/>
      <c r="H12" s="14"/>
      <c r="I12" s="12"/>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24"/>
      <c r="C28" s="25"/>
      <c r="D28" s="26"/>
      <c r="E28" s="26"/>
      <c r="F28" s="28" t="s">
        <v>67</v>
      </c>
      <c r="G28" s="42">
        <f>SUM(G3:G27)</f>
        <v>15.3</v>
      </c>
      <c r="H28" s="43"/>
      <c r="I28" s="44"/>
    </row>
    <row r="29" spans="2:9" ht="14.35" thickBot="1" x14ac:dyDescent="0.5">
      <c r="B29" s="20"/>
      <c r="C29" s="21"/>
      <c r="D29" s="22"/>
      <c r="E29" s="22"/>
      <c r="F29" s="27" t="s">
        <v>68</v>
      </c>
      <c r="G29" s="39">
        <v>2</v>
      </c>
      <c r="H29" s="40"/>
      <c r="I29" s="41"/>
    </row>
    <row r="30" spans="2:9" ht="14.35" thickTop="1" x14ac:dyDescent="0.4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2025-01-07T09:00:16Z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