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819F2662-C489-4048-98CD-C9B0006639DF}"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<sst xmlns="http://schemas.openxmlformats.org/spreadsheetml/2006/main" count="182" uniqueCount="99">
  <si>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</si>
  <si>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</si>
  <si>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</si>
  <si>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</si>
  <si>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</si>
  <si>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</si>
  <si>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</si>
  <si>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</si>
  <si>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</si>
  <si>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</si>
  <si>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</si>
  <si>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</si>
  <si>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</si>
  <si>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</si>
  <si>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</si>
  <si>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</si>
  <si>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</si>
  <si>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</si>
  <si>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</si>
  <si>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</si>
  <si>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</si>
  <si>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</si>
  <si>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</si>
  <si>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</si>
  <si>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</si>
  <si>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</si>
  <si>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</si>
  <si>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</si>
  <si>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</si>
  <si>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</si>
  <si>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</si>
  <si>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</si>
  <si>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</si>
  <si>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</si>
  <si>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</si>
  <si>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</si>
  <si>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</si>
  <si>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</si>
  <si>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</si>
  <si>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</si>
  <si>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</si>
  <si>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</si>
  <si>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</si>
  <si>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</si>
  <si>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</si>
  <si>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</si>
  <si>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</si>
  <si>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</si>
  <si>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</si>
  <si>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</si>
  <si>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</si>
  <si>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</si>
  <si>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</si>
  <si>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</si>
  <si>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</si>
  <si>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</si>
  <si>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</si>
  <si>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</si>
  <si>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</si>
  <si>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</si>
  <si>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</si>
  <si>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</si>
  <si>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</si>
  <si>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</si>
  <si>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</si>
  <si>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</si>
  <si>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</si>
  <si>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</si>
  <si>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</si>
  <si>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</si>
  <si>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</si>
  <si>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</si>
  <si>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</si>
  <si>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</si>
  <si>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</si>
  <si>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</si>
  <si>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Miao</t>
    <phoneticPr fontId="7" type="noConversion"/>
  </si>
  <si>
    <t>Lingokids</t>
    <phoneticPr fontId="7" type="noConversion"/>
  </si>
  <si>
    <t>Public - Knowledge Accumulation &amp; Sharing</t>
  </si>
  <si>
    <t>Hotdesk</t>
    <phoneticPr fontId="7" type="noConversion"/>
  </si>
  <si>
    <t>Providing training sessions/knowledge sharing</t>
  </si>
  <si>
    <t>Techland</t>
    <phoneticPr fontId="7" type="noConversion"/>
  </si>
  <si>
    <t>Tradingview</t>
    <phoneticPr fontId="7" type="noConversion"/>
  </si>
  <si>
    <t>Lexology</t>
    <phoneticPr fontId="7" type="noConversion"/>
  </si>
  <si>
    <t xml:space="preserve"> </t>
  </si>
  <si>
    <t>Revolut</t>
    <phoneticPr fontId="7" type="noConversion"/>
  </si>
  <si>
    <t>Attend to B2 financing</t>
    <phoneticPr fontId="7" type="noConversion"/>
  </si>
  <si>
    <t>Tabby</t>
    <phoneticPr fontId="7" type="noConversion"/>
  </si>
  <si>
    <t>Act5</t>
    <phoneticPr fontId="7" type="noConversion"/>
  </si>
  <si>
    <t>timesheet</t>
    <phoneticPr fontId="7" type="noConversion"/>
  </si>
  <si>
    <t>Transaction documents, DD, regulatory various correspondence</t>
    <phoneticPr fontId="7" type="noConversion"/>
  </si>
  <si>
    <t>Attend to new ESOP issue</t>
    <phoneticPr fontId="7" type="noConversion"/>
  </si>
  <si>
    <t>prepare internal workflow, discuss with Ian, discuss with broader team</t>
    <phoneticPr fontId="7" type="noConversion"/>
  </si>
  <si>
    <t>Attend to signing</t>
    <phoneticPr fontId="7" type="noConversion"/>
  </si>
  <si>
    <t>Attend to liquidation issue re lease</t>
    <phoneticPr fontId="7" type="noConversion"/>
  </si>
  <si>
    <t>Preparing knowhow/memo/client alert</t>
    <phoneticPr fontId="7" type="noConversion"/>
  </si>
  <si>
    <t>Finalize draft</t>
    <phoneticPr fontId="7" type="noConversion"/>
  </si>
  <si>
    <t>Attend to structuring issues</t>
    <phoneticPr fontId="7" type="noConversion"/>
  </si>
  <si>
    <t>Attend to documentation and structuring; daily calls and discussions; ICM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</si>
</sst>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C1" zoomScale="80" zoomScaleNormal="80" workbookViewId="0">
      <selection activeCell="H27" sqref="H27"/>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89</v>
      </c>
    </row>
    <row r="5" spans="2:9" ht="33" x14ac:dyDescent="0.25">
      <c r="B5" s="23" t="s">
        <v>73</v>
      </c>
      <c r="C5" s="11" t="s">
        <v>78</v>
      </c>
      <c r="D5" s="27" t="s">
        <v>79</v>
      </c>
      <c r="E5" s="8" t="s">
        <v>40</v>
      </c>
      <c r="F5" s="11" t="s">
        <v>75</v>
      </c>
      <c r="G5" s="28">
        <v>4</v>
      </c>
      <c r="H5" s="11" t="s">
        <v>80</v>
      </c>
      <c r="I5" s="26" t="s">
        <v>92</v>
      </c>
    </row>
    <row r="6" spans="2:9" ht="57.75" customHeight="1" x14ac:dyDescent="0.25">
      <c r="B6" s="23" t="s">
        <v>73</v>
      </c>
      <c r="C6" s="11" t="s">
        <v>14</v>
      </c>
      <c r="D6" s="27" t="s">
        <v>85</v>
      </c>
      <c r="E6" s="8" t="s">
        <v>40</v>
      </c>
      <c r="F6" s="11" t="s">
        <v>72</v>
      </c>
      <c r="G6" s="28">
        <v>33</v>
      </c>
      <c r="H6" s="11" t="s">
        <v>20</v>
      </c>
      <c r="I6" s="26" t="s">
        <v>98</v>
      </c>
    </row>
    <row r="7" spans="2:9" ht="28.5" x14ac:dyDescent="0.25">
      <c r="B7" s="23" t="s">
        <v>73</v>
      </c>
      <c r="C7" s="11" t="s">
        <v>16</v>
      </c>
      <c r="D7" s="27" t="s">
        <v>76</v>
      </c>
      <c r="E7" s="8" t="s">
        <v>40</v>
      </c>
      <c r="F7" s="11" t="s">
        <v>72</v>
      </c>
      <c r="G7" s="8">
        <v>1</v>
      </c>
      <c r="H7" s="11" t="s">
        <v>20</v>
      </c>
      <c r="I7" s="26" t="s">
        <v>86</v>
      </c>
    </row>
    <row r="8" spans="2:9" ht="28.5" x14ac:dyDescent="0.25">
      <c r="B8" s="23" t="s">
        <v>73</v>
      </c>
      <c r="C8" s="11" t="s">
        <v>14</v>
      </c>
      <c r="D8" s="27" t="s">
        <v>77</v>
      </c>
      <c r="E8" s="8" t="s">
        <v>40</v>
      </c>
      <c r="F8" s="11" t="s">
        <v>72</v>
      </c>
      <c r="G8" s="8">
        <v>1</v>
      </c>
      <c r="H8" s="11" t="s">
        <v>20</v>
      </c>
      <c r="I8" s="26" t="s">
        <v>93</v>
      </c>
    </row>
    <row r="9" spans="2:9" ht="28.5" x14ac:dyDescent="0.25">
      <c r="B9" s="23" t="s">
        <v>73</v>
      </c>
      <c r="C9" s="11" t="s">
        <v>16</v>
      </c>
      <c r="D9" s="27" t="s">
        <v>81</v>
      </c>
      <c r="E9" s="8" t="s">
        <v>40</v>
      </c>
      <c r="F9" s="11" t="s">
        <v>72</v>
      </c>
      <c r="G9" s="8">
        <v>1</v>
      </c>
      <c r="H9" s="11" t="s">
        <v>20</v>
      </c>
      <c r="I9" s="26" t="s">
        <v>91</v>
      </c>
    </row>
    <row r="10" spans="2:9" ht="28.5" x14ac:dyDescent="0.25">
      <c r="B10" s="23" t="s">
        <v>73</v>
      </c>
      <c r="C10" s="11" t="s">
        <v>14</v>
      </c>
      <c r="D10" s="27" t="s">
        <v>88</v>
      </c>
      <c r="E10" s="8" t="s">
        <v>40</v>
      </c>
      <c r="F10" s="11" t="s">
        <v>72</v>
      </c>
      <c r="G10" s="8">
        <v>1.5</v>
      </c>
      <c r="H10" s="11" t="s">
        <v>20</v>
      </c>
      <c r="I10" s="26" t="s">
        <v>94</v>
      </c>
    </row>
    <row r="11" spans="2:9" ht="33" x14ac:dyDescent="0.25">
      <c r="B11" s="23" t="s">
        <v>73</v>
      </c>
      <c r="C11" s="11" t="s">
        <v>14</v>
      </c>
      <c r="D11" s="27" t="s">
        <v>87</v>
      </c>
      <c r="E11" s="8" t="s">
        <v>40</v>
      </c>
      <c r="F11" s="11" t="s">
        <v>72</v>
      </c>
      <c r="G11" s="8">
        <v>19</v>
      </c>
      <c r="H11" s="11" t="s">
        <v>20</v>
      </c>
      <c r="I11" s="26" t="s">
        <v>90</v>
      </c>
    </row>
    <row r="12" spans="2:9" ht="55.5" customHeight="1" x14ac:dyDescent="0.25">
      <c r="B12" s="23" t="s">
        <v>73</v>
      </c>
      <c r="C12" s="11" t="s">
        <v>14</v>
      </c>
      <c r="D12" s="27" t="s">
        <v>82</v>
      </c>
      <c r="E12" s="8" t="s">
        <v>40</v>
      </c>
      <c r="F12" s="11" t="s">
        <v>72</v>
      </c>
      <c r="G12" s="8">
        <v>3</v>
      </c>
      <c r="H12" s="11" t="s">
        <v>27</v>
      </c>
      <c r="I12" s="26" t="s">
        <v>97</v>
      </c>
    </row>
    <row r="13" spans="2:9" ht="43.5" customHeight="1" x14ac:dyDescent="0.25">
      <c r="B13" s="23" t="s">
        <v>73</v>
      </c>
      <c r="C13" s="11" t="s">
        <v>78</v>
      </c>
      <c r="D13" s="27" t="s">
        <v>83</v>
      </c>
      <c r="E13" s="8" t="s">
        <v>27</v>
      </c>
      <c r="F13" s="11" t="s">
        <v>84</v>
      </c>
      <c r="G13" s="8">
        <v>3</v>
      </c>
      <c r="H13" s="35" t="s">
        <v>95</v>
      </c>
      <c r="I13" s="26" t="s">
        <v>96</v>
      </c>
    </row>
    <row r="14" spans="2:9" x14ac:dyDescent="0.25">
      <c r="B14" s="18"/>
      <c r="C14" s="19"/>
      <c r="D14" s="19"/>
      <c r="E14" s="20"/>
      <c r="F14" s="22" t="s">
        <v>67</v>
      </c>
      <c r="G14" s="32">
        <f>SUM(G3:G13)</f>
        <v>67.5</v>
      </c>
      <c r="H14" s="33"/>
      <c r="I14" s="34"/>
    </row>
    <row r="15" spans="2:9" ht="16.5" thickBot="1" x14ac:dyDescent="0.3">
      <c r="B15" s="15"/>
      <c r="C15" s="16"/>
      <c r="D15" s="16"/>
      <c r="E15" s="17"/>
      <c r="F15" s="21" t="s">
        <v>68</v>
      </c>
      <c r="G15" s="29">
        <v>5</v>
      </c>
      <c r="H15" s="30"/>
      <c r="I15" s="31"/>
    </row>
    <row r="16" spans="2:9" ht="16.5" thickTop="1" x14ac:dyDescent="0.2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2025-09-01T04:03:58Z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