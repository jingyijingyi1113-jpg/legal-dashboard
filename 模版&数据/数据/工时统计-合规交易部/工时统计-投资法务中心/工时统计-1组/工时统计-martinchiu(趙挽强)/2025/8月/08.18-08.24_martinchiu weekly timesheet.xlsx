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166F651C-5E8B-4600-8E02-99EC22899634}"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<sst xmlns="http://schemas.openxmlformats.org/spreadsheetml/2006/main" count="158" uniqueCount="91">
  <si>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</si>
  <si>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</si>
  <si>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</si>
  <si>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</si>
  <si>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</si>
  <si>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</si>
  <si>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</si>
  <si>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</si>
  <si>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</si>
  <si>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</si>
  <si>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</si>
  <si>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</si>
  <si>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</si>
  <si>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</si>
  <si>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</si>
  <si>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</si>
  <si>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</si>
  <si>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</si>
  <si>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</si>
  <si>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</si>
  <si>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</si>
  <si>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</si>
  <si>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</si>
  <si>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</si>
  <si>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</si>
  <si>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</si>
  <si>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</si>
  <si>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</si>
  <si>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</si>
  <si>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</si>
  <si>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</si>
  <si>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</si>
  <si>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</si>
  <si>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</si>
  <si>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</si>
  <si>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</si>
  <si>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</si>
  <si>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</si>
  <si>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</si>
  <si>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</si>
  <si>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</si>
  <si>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</si>
  <si>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</si>
  <si>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</si>
  <si>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</si>
  <si>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</si>
  <si>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</si>
  <si>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</si>
  <si>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</si>
  <si>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</si>
  <si>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</si>
  <si>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</si>
  <si>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</si>
  <si>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</si>
  <si>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</si>
  <si>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</si>
  <si>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</si>
  <si>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</si>
  <si>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</si>
  <si>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</si>
  <si>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</si>
  <si>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</si>
  <si>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</si>
  <si>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</si>
  <si>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</si>
  <si>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</si>
  <si>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</si>
  <si>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</si>
  <si>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</si>
  <si>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</si>
  <si>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</si>
  <si>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</si>
  <si>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</si>
  <si>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</si>
  <si>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</si>
  <si>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海外投资合规管理 Overseas investment compliance management</t>
  </si>
  <si>
    <t>Public - Knowledge Accumulation &amp; Sharing</t>
  </si>
  <si>
    <t>Hotdesk</t>
    <phoneticPr fontId="7" type="noConversion"/>
  </si>
  <si>
    <t>Providing training sessions/knowledge sharing</t>
  </si>
  <si>
    <t>Tradingview</t>
    <phoneticPr fontId="7" type="noConversion"/>
  </si>
  <si>
    <t>Revolut</t>
    <phoneticPr fontId="7" type="noConversion"/>
  </si>
  <si>
    <t>Tabby</t>
    <phoneticPr fontId="7" type="noConversion"/>
  </si>
  <si>
    <t>timesheet</t>
    <phoneticPr fontId="7" type="noConversion"/>
  </si>
  <si>
    <t>Boss</t>
    <phoneticPr fontId="7" type="noConversion"/>
  </si>
  <si>
    <t>境内外金融业务资质申请 Application for domestic and overseas financial business licenses</t>
  </si>
  <si>
    <t>Transaction documents, DD, regulatory various correspondence; signing</t>
    <phoneticPr fontId="7" type="noConversion"/>
  </si>
  <si>
    <t>ICM meeting with Richard and Yan; attend to SPA and DD</t>
    <phoneticPr fontId="7" type="noConversion"/>
  </si>
  <si>
    <t>Attend to DI; various discussion with comsec</t>
    <phoneticPr fontId="7" type="noConversion"/>
  </si>
  <si>
    <t>Attend to documentation; new structure; daily calls and discussions; ICM</t>
    <phoneticPr fontId="7" type="noConversion"/>
  </si>
  <si>
    <t>Team meeting re 重点子公司</t>
    <phoneticPr fontId="7" type="noConversion"/>
  </si>
  <si>
    <t>Hotdesk regular monthly catch up meeting; discussed DSP and India PN3</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</si>
</sst>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C1" zoomScale="80" zoomScaleNormal="80" workbookViewId="0">
      <selection activeCell="G33" sqref="G33"/>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82</v>
      </c>
    </row>
    <row r="5" spans="2:9" ht="36.75" customHeight="1" x14ac:dyDescent="0.25">
      <c r="B5" s="23" t="s">
        <v>73</v>
      </c>
      <c r="C5" s="29" t="s">
        <v>18</v>
      </c>
      <c r="D5" s="29"/>
      <c r="E5" s="30" t="s">
        <v>27</v>
      </c>
      <c r="F5" s="29"/>
      <c r="G5" s="30">
        <v>1</v>
      </c>
      <c r="H5" s="29" t="s">
        <v>24</v>
      </c>
      <c r="I5" s="26" t="s">
        <v>89</v>
      </c>
    </row>
    <row r="6" spans="2:9" ht="33" x14ac:dyDescent="0.25">
      <c r="B6" s="23" t="s">
        <v>73</v>
      </c>
      <c r="C6" s="11" t="s">
        <v>76</v>
      </c>
      <c r="D6" s="27" t="s">
        <v>77</v>
      </c>
      <c r="E6" s="8" t="s">
        <v>40</v>
      </c>
      <c r="F6" s="11" t="s">
        <v>75</v>
      </c>
      <c r="G6" s="28">
        <v>1</v>
      </c>
      <c r="H6" s="11" t="s">
        <v>78</v>
      </c>
      <c r="I6" s="26" t="s">
        <v>90</v>
      </c>
    </row>
    <row r="7" spans="2:9" ht="57.75" customHeight="1" x14ac:dyDescent="0.25">
      <c r="B7" s="23" t="s">
        <v>73</v>
      </c>
      <c r="C7" s="11" t="s">
        <v>14</v>
      </c>
      <c r="D7" s="27" t="s">
        <v>80</v>
      </c>
      <c r="E7" s="8" t="s">
        <v>40</v>
      </c>
      <c r="F7" s="11" t="s">
        <v>72</v>
      </c>
      <c r="G7" s="28">
        <v>39</v>
      </c>
      <c r="H7" s="11" t="s">
        <v>20</v>
      </c>
      <c r="I7" s="26" t="s">
        <v>88</v>
      </c>
    </row>
    <row r="8" spans="2:9" ht="33" x14ac:dyDescent="0.25">
      <c r="B8" s="23" t="s">
        <v>73</v>
      </c>
      <c r="C8" s="11" t="s">
        <v>14</v>
      </c>
      <c r="D8" s="27" t="s">
        <v>81</v>
      </c>
      <c r="E8" s="8" t="s">
        <v>40</v>
      </c>
      <c r="F8" s="11" t="s">
        <v>72</v>
      </c>
      <c r="G8" s="8">
        <v>17</v>
      </c>
      <c r="H8" s="11" t="s">
        <v>20</v>
      </c>
      <c r="I8" s="26" t="s">
        <v>85</v>
      </c>
    </row>
    <row r="9" spans="2:9" ht="42.75" x14ac:dyDescent="0.25">
      <c r="B9" s="23"/>
      <c r="C9" s="11" t="s">
        <v>16</v>
      </c>
      <c r="D9" s="27" t="s">
        <v>83</v>
      </c>
      <c r="E9" s="8" t="s">
        <v>40</v>
      </c>
      <c r="F9" s="11" t="s">
        <v>84</v>
      </c>
      <c r="G9" s="8">
        <v>5.5</v>
      </c>
      <c r="H9" s="11" t="s">
        <v>20</v>
      </c>
      <c r="I9" s="26" t="s">
        <v>87</v>
      </c>
    </row>
    <row r="10" spans="2:9" ht="55.5" customHeight="1" x14ac:dyDescent="0.25">
      <c r="B10" s="23" t="s">
        <v>73</v>
      </c>
      <c r="C10" s="11" t="s">
        <v>14</v>
      </c>
      <c r="D10" s="27" t="s">
        <v>79</v>
      </c>
      <c r="E10" s="8" t="s">
        <v>40</v>
      </c>
      <c r="F10" s="11" t="s">
        <v>72</v>
      </c>
      <c r="G10" s="8">
        <v>14</v>
      </c>
      <c r="H10" s="11" t="s">
        <v>27</v>
      </c>
      <c r="I10" s="26" t="s">
        <v>86</v>
      </c>
    </row>
    <row r="11" spans="2:9" x14ac:dyDescent="0.25">
      <c r="B11" s="18"/>
      <c r="C11" s="19"/>
      <c r="D11" s="19"/>
      <c r="E11" s="20"/>
      <c r="F11" s="22" t="s">
        <v>67</v>
      </c>
      <c r="G11" s="34">
        <f>SUM(G3:G10)</f>
        <v>78.5</v>
      </c>
      <c r="H11" s="35"/>
      <c r="I11" s="36"/>
    </row>
    <row r="12" spans="2:9" ht="16.5" thickBot="1" x14ac:dyDescent="0.3">
      <c r="B12" s="15"/>
      <c r="C12" s="16"/>
      <c r="D12" s="16"/>
      <c r="E12" s="17"/>
      <c r="F12" s="21" t="s">
        <v>68</v>
      </c>
      <c r="G12" s="31">
        <v>5</v>
      </c>
      <c r="H12" s="32"/>
      <c r="I12" s="33"/>
    </row>
    <row r="13" spans="2:9" ht="16.5" thickTop="1" x14ac:dyDescent="0.2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E6:E12</xm:sqref>
        </x14:dataValidation>
        <x14:dataValidation type="list" allowBlank="1" showInputMessage="1" showErrorMessage="1" xr:uid="{00000000-0002-0000-0000-000002000000}">
          <x14:formula1>
            <xm:f>数据标签!$B$2:$H$2</xm:f>
          </x14:formula1>
          <xm:sqref>C4 C6:C12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2025-09-01T04:23:53Z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