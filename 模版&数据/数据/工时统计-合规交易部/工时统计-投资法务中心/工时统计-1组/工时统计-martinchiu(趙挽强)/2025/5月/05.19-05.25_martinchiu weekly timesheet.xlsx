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58D1E06C-F502-45A7-BE5A-5EB6CC9D1A4A}"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<sst xmlns="http://schemas.openxmlformats.org/spreadsheetml/2006/main" count="246" uniqueCount="113">
  <si>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</si>
  <si>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</si>
  <si>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</si>
  <si>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</si>
  <si>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</si>
  <si>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</si>
  <si>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</si>
  <si>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</si>
  <si>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</si>
  <si>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</si>
  <si>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</si>
  <si>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</si>
  <si>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</si>
  <si>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</si>
  <si>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</si>
  <si>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</si>
  <si>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</si>
  <si>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</si>
  <si>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</si>
  <si>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</si>
  <si>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</si>
  <si>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</si>
  <si>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</si>
  <si>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</si>
  <si>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</si>
  <si>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</si>
  <si>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</si>
  <si>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</si>
  <si>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</si>
  <si>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</si>
  <si>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</si>
  <si>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</si>
  <si>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</si>
  <si>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</si>
  <si>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</si>
  <si>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</si>
  <si>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</si>
  <si>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</si>
  <si>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</si>
  <si>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</si>
  <si>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</si>
  <si>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</si>
  <si>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</si>
  <si>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</si>
  <si>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</si>
  <si>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</si>
  <si>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</si>
  <si>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</si>
  <si>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</si>
  <si>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</si>
  <si>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</si>
  <si>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</si>
  <si>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</si>
  <si>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</si>
  <si>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</si>
  <si>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</si>
  <si>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</si>
  <si>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</si>
  <si>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</si>
  <si>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</si>
  <si>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</si>
  <si>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</si>
  <si>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</si>
  <si>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</si>
  <si>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</si>
  <si>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</si>
  <si>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</si>
  <si>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</si>
  <si>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</si>
  <si>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</si>
  <si>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</si>
  <si>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</si>
  <si>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</si>
  <si>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</si>
  <si>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</si>
  <si>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</si>
  <si>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Public - Knowledge Accumulation &amp; Sharing</t>
  </si>
  <si>
    <t>敏感投资领域投资指引 Guidance for sensitive investment fields</t>
  </si>
  <si>
    <t>国际业务(投资)监管应对Interaction with regulators for international investments</t>
  </si>
  <si>
    <t>Ubitus</t>
    <phoneticPr fontId="7" type="noConversion"/>
  </si>
  <si>
    <t>Public - Infrastructure &amp; Guidance</t>
  </si>
  <si>
    <t>泽灵游戏</t>
    <phoneticPr fontId="7" type="noConversion"/>
  </si>
  <si>
    <t>大指引</t>
    <phoneticPr fontId="7" type="noConversion"/>
  </si>
  <si>
    <t>Prepare CFIUS/bulk sensitive data/reverse CFIUS questionnaire for healthcare, fintech and AI</t>
    <phoneticPr fontId="7" type="noConversion"/>
  </si>
  <si>
    <t>Review Type A investor definition, various calls with MoFo; conduct HK law analysis with CC, conduct PRC law analysis with Hankun; review memo prepared by both teams; various discussions with Ian; prepare checklist</t>
    <phoneticPr fontId="7" type="noConversion"/>
  </si>
  <si>
    <t>prepare FEFTA filing for director change</t>
    <phoneticPr fontId="7" type="noConversion"/>
  </si>
  <si>
    <t>Prepare legal update for UK FDI, EU FDI and CFIUS</t>
    <phoneticPr fontId="7" type="noConversion"/>
  </si>
  <si>
    <t>海外投资合规管理 Overseas investment compliance management</t>
  </si>
  <si>
    <t>Riot</t>
    <phoneticPr fontId="7" type="noConversion"/>
  </si>
  <si>
    <t>Attend to CFIUS compliance issue re new tencent authentication process</t>
    <phoneticPr fontId="7" type="noConversion"/>
  </si>
  <si>
    <t>Prepare DD questionnaire, attend to DD issues</t>
    <phoneticPr fontId="7" type="noConversion"/>
  </si>
  <si>
    <t>comment finance sanctions presentations; call with Germin Ji</t>
    <phoneticPr fontId="7" type="noConversion"/>
  </si>
  <si>
    <t>Keen</t>
    <phoneticPr fontId="7" type="noConversion"/>
  </si>
  <si>
    <t>Review resolutions; discuss with IEG re dividend issue</t>
    <phoneticPr fontId="7" type="noConversion"/>
  </si>
  <si>
    <t>满帮</t>
    <phoneticPr fontId="7" type="noConversion"/>
  </si>
  <si>
    <t>attend to Form NM2 issue; re execute; call with DPW</t>
    <phoneticPr fontId="7" type="noConversion"/>
  </si>
  <si>
    <t xml:space="preserve">Supercell </t>
    <phoneticPr fontId="7" type="noConversion"/>
  </si>
  <si>
    <t>Attend to CFIUS compliance issue re sharing of best practices</t>
    <phoneticPr fontId="7" type="noConversion"/>
  </si>
  <si>
    <t>Prepare 大指引 section on CFIUS, meeting with Mia and Erin; various internal discussion with Janet</t>
    <phoneticPr fontId="7" type="noConversion"/>
  </si>
  <si>
    <t>Miao</t>
    <phoneticPr fontId="7" type="noConversion"/>
  </si>
  <si>
    <t xml:space="preserve">Attend to Founder share transfer; review documentation </t>
    <phoneticPr fontId="7" type="noConversion"/>
  </si>
  <si>
    <t>Kadokawa</t>
    <phoneticPr fontId="7" type="noConversion"/>
  </si>
  <si>
    <t>Call and varius discussion with Dom Leung regarding potential FEFTA issue re further capital increase</t>
    <phoneticPr fontId="7" type="noConversion"/>
  </si>
  <si>
    <t>Tequila Works</t>
    <phoneticPr fontId="7" type="noConversion"/>
  </si>
  <si>
    <t>Attend to FDI conditions revocation process</t>
    <phoneticPr fontId="7" type="noConversion"/>
  </si>
  <si>
    <t>Toylogic</t>
    <phoneticPr fontId="7" type="noConversion"/>
  </si>
  <si>
    <t>Attend to GREE investment; review and comment on TS; call with IEG to discuss; call with MOFO; review transaction documents</t>
    <phoneticPr fontId="7" type="noConversion"/>
  </si>
  <si>
    <t>Discuss with Andrea Moriggi re Supercell data issue</t>
    <phoneticPr fontId="7" type="noConversion"/>
  </si>
  <si>
    <t>Attend bi weekly meeting</t>
    <phoneticPr fontId="7" type="noConversion"/>
  </si>
  <si>
    <t>Alma</t>
    <phoneticPr fontId="7" type="noConversion"/>
  </si>
  <si>
    <t>review resolutions; attend to ESOP matters</t>
    <phoneticPr fontId="7" type="noConversion"/>
  </si>
  <si>
    <t>盛合晶微</t>
    <phoneticPr fontId="7" type="noConversion"/>
  </si>
  <si>
    <t>research and internal discussion with export control team re risks in investing in the target given its entity list status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</si>
</sst>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3" zoomScale="85" zoomScaleNormal="85" workbookViewId="0">
      <selection activeCell="N16" sqref="N16"/>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33" x14ac:dyDescent="0.25">
      <c r="B4" s="23" t="s">
        <v>73</v>
      </c>
      <c r="C4" s="11" t="s">
        <v>16</v>
      </c>
      <c r="D4" s="27" t="s">
        <v>88</v>
      </c>
      <c r="E4" s="8" t="s">
        <v>40</v>
      </c>
      <c r="F4" s="11" t="s">
        <v>87</v>
      </c>
      <c r="G4" s="8">
        <v>4.5</v>
      </c>
      <c r="H4" s="11" t="s">
        <v>74</v>
      </c>
      <c r="I4" s="26" t="s">
        <v>89</v>
      </c>
    </row>
    <row r="5" spans="2:9" ht="33" x14ac:dyDescent="0.25">
      <c r="B5" s="23" t="s">
        <v>73</v>
      </c>
      <c r="C5" s="11" t="s">
        <v>16</v>
      </c>
      <c r="D5" s="27" t="s">
        <v>96</v>
      </c>
      <c r="E5" s="8" t="s">
        <v>40</v>
      </c>
      <c r="F5" s="11" t="s">
        <v>87</v>
      </c>
      <c r="G5" s="8">
        <v>3</v>
      </c>
      <c r="H5" s="11" t="s">
        <v>74</v>
      </c>
      <c r="I5" s="26" t="s">
        <v>97</v>
      </c>
    </row>
    <row r="6" spans="2:9" ht="33" x14ac:dyDescent="0.25">
      <c r="B6" s="23" t="s">
        <v>73</v>
      </c>
      <c r="C6" s="11" t="s">
        <v>16</v>
      </c>
      <c r="D6" s="27" t="s">
        <v>96</v>
      </c>
      <c r="E6" s="8" t="s">
        <v>40</v>
      </c>
      <c r="F6" s="11" t="s">
        <v>87</v>
      </c>
      <c r="G6" s="8">
        <v>1</v>
      </c>
      <c r="H6" s="11" t="s">
        <v>74</v>
      </c>
      <c r="I6" s="26" t="s">
        <v>107</v>
      </c>
    </row>
    <row r="7" spans="2:9" ht="49.5" x14ac:dyDescent="0.25">
      <c r="B7" s="23" t="s">
        <v>73</v>
      </c>
      <c r="C7" s="11" t="s">
        <v>80</v>
      </c>
      <c r="D7" s="27" t="s">
        <v>82</v>
      </c>
      <c r="E7" s="8" t="s">
        <v>40</v>
      </c>
      <c r="F7" s="11" t="s">
        <v>77</v>
      </c>
      <c r="G7" s="8">
        <v>4</v>
      </c>
      <c r="H7" s="11" t="s">
        <v>22</v>
      </c>
      <c r="I7" s="26" t="s">
        <v>98</v>
      </c>
    </row>
    <row r="8" spans="2:9" ht="49.5" x14ac:dyDescent="0.25">
      <c r="B8" s="23" t="s">
        <v>73</v>
      </c>
      <c r="C8" s="11" t="s">
        <v>14</v>
      </c>
      <c r="D8" s="27" t="s">
        <v>111</v>
      </c>
      <c r="E8" s="8" t="s">
        <v>40</v>
      </c>
      <c r="F8" s="11" t="s">
        <v>77</v>
      </c>
      <c r="G8" s="8">
        <v>1.5</v>
      </c>
      <c r="H8" s="11" t="s">
        <v>28</v>
      </c>
      <c r="I8" s="26" t="s">
        <v>112</v>
      </c>
    </row>
    <row r="9" spans="2:9" ht="28.5" x14ac:dyDescent="0.25">
      <c r="B9" s="23" t="s">
        <v>73</v>
      </c>
      <c r="C9" s="11" t="s">
        <v>18</v>
      </c>
      <c r="D9" s="11"/>
      <c r="E9" s="8" t="s">
        <v>27</v>
      </c>
      <c r="F9" s="11"/>
      <c r="G9" s="8">
        <v>1</v>
      </c>
      <c r="H9" s="11" t="s">
        <v>74</v>
      </c>
      <c r="I9" s="25" t="s">
        <v>75</v>
      </c>
    </row>
    <row r="10" spans="2:9" ht="16.5" x14ac:dyDescent="0.25">
      <c r="B10" s="23" t="s">
        <v>73</v>
      </c>
      <c r="C10" s="11" t="s">
        <v>18</v>
      </c>
      <c r="D10" s="11"/>
      <c r="E10" s="8" t="s">
        <v>27</v>
      </c>
      <c r="F10" s="11"/>
      <c r="G10" s="8">
        <v>2</v>
      </c>
      <c r="H10" s="11" t="s">
        <v>24</v>
      </c>
      <c r="I10" s="26" t="s">
        <v>108</v>
      </c>
    </row>
    <row r="11" spans="2:9" ht="33" x14ac:dyDescent="0.25">
      <c r="B11" s="23" t="s">
        <v>73</v>
      </c>
      <c r="C11" s="11" t="s">
        <v>76</v>
      </c>
      <c r="D11" s="11"/>
      <c r="E11" s="8" t="s">
        <v>40</v>
      </c>
      <c r="F11" s="11" t="s">
        <v>77</v>
      </c>
      <c r="G11" s="8">
        <v>0.5</v>
      </c>
      <c r="H11" s="11" t="s">
        <v>23</v>
      </c>
      <c r="I11" s="26" t="s">
        <v>86</v>
      </c>
    </row>
    <row r="12" spans="2:9" ht="49.5" x14ac:dyDescent="0.25">
      <c r="B12" s="23" t="s">
        <v>73</v>
      </c>
      <c r="C12" s="11" t="s">
        <v>80</v>
      </c>
      <c r="D12" s="11"/>
      <c r="E12" s="8" t="s">
        <v>40</v>
      </c>
      <c r="F12" s="11" t="s">
        <v>77</v>
      </c>
      <c r="G12" s="8">
        <v>1</v>
      </c>
      <c r="H12" s="11" t="s">
        <v>22</v>
      </c>
      <c r="I12" s="26" t="s">
        <v>83</v>
      </c>
    </row>
    <row r="13" spans="2:9" ht="99" x14ac:dyDescent="0.25">
      <c r="B13" s="23" t="s">
        <v>73</v>
      </c>
      <c r="C13" s="11" t="s">
        <v>76</v>
      </c>
      <c r="D13" s="11"/>
      <c r="E13" s="8" t="s">
        <v>40</v>
      </c>
      <c r="F13" s="11" t="s">
        <v>78</v>
      </c>
      <c r="G13" s="8">
        <v>6</v>
      </c>
      <c r="H13" s="11" t="s">
        <v>23</v>
      </c>
      <c r="I13" s="26" t="s">
        <v>84</v>
      </c>
    </row>
    <row r="14" spans="2:9" ht="28.5" x14ac:dyDescent="0.25">
      <c r="B14" s="23" t="s">
        <v>73</v>
      </c>
      <c r="C14" s="11" t="s">
        <v>16</v>
      </c>
      <c r="D14" s="27" t="s">
        <v>109</v>
      </c>
      <c r="E14" s="8" t="s">
        <v>40</v>
      </c>
      <c r="F14" s="11" t="s">
        <v>72</v>
      </c>
      <c r="G14" s="8">
        <v>1.5</v>
      </c>
      <c r="H14" s="11" t="s">
        <v>20</v>
      </c>
      <c r="I14" s="26" t="s">
        <v>110</v>
      </c>
    </row>
    <row r="15" spans="2:9" ht="28.5" x14ac:dyDescent="0.25">
      <c r="B15" s="23" t="s">
        <v>73</v>
      </c>
      <c r="C15" s="11" t="s">
        <v>16</v>
      </c>
      <c r="D15" s="27" t="s">
        <v>103</v>
      </c>
      <c r="E15" s="8" t="s">
        <v>40</v>
      </c>
      <c r="F15" s="11" t="s">
        <v>72</v>
      </c>
      <c r="G15" s="8">
        <v>1</v>
      </c>
      <c r="H15" s="11" t="s">
        <v>32</v>
      </c>
      <c r="I15" s="26" t="s">
        <v>104</v>
      </c>
    </row>
    <row r="16" spans="2:9" ht="49.5" x14ac:dyDescent="0.25">
      <c r="B16" s="23" t="s">
        <v>73</v>
      </c>
      <c r="C16" s="11" t="s">
        <v>14</v>
      </c>
      <c r="D16" s="27" t="s">
        <v>101</v>
      </c>
      <c r="E16" s="8" t="s">
        <v>40</v>
      </c>
      <c r="F16" s="11" t="s">
        <v>72</v>
      </c>
      <c r="G16" s="8">
        <v>2</v>
      </c>
      <c r="H16" s="11" t="s">
        <v>36</v>
      </c>
      <c r="I16" s="26" t="s">
        <v>102</v>
      </c>
    </row>
    <row r="17" spans="2:9" ht="49.5" x14ac:dyDescent="0.25">
      <c r="B17" s="23" t="s">
        <v>73</v>
      </c>
      <c r="C17" s="11" t="s">
        <v>14</v>
      </c>
      <c r="D17" s="27" t="s">
        <v>105</v>
      </c>
      <c r="E17" s="8" t="s">
        <v>40</v>
      </c>
      <c r="F17" s="11" t="s">
        <v>72</v>
      </c>
      <c r="G17" s="8">
        <v>7.5</v>
      </c>
      <c r="H17" s="11" t="s">
        <v>20</v>
      </c>
      <c r="I17" s="26" t="s">
        <v>106</v>
      </c>
    </row>
    <row r="18" spans="2:9" ht="33" x14ac:dyDescent="0.25">
      <c r="B18" s="23" t="s">
        <v>73</v>
      </c>
      <c r="C18" s="11" t="s">
        <v>16</v>
      </c>
      <c r="D18" s="27" t="s">
        <v>99</v>
      </c>
      <c r="E18" s="8" t="s">
        <v>40</v>
      </c>
      <c r="F18" s="11" t="s">
        <v>72</v>
      </c>
      <c r="G18" s="8">
        <v>2</v>
      </c>
      <c r="H18" s="11" t="s">
        <v>20</v>
      </c>
      <c r="I18" s="26" t="s">
        <v>100</v>
      </c>
    </row>
    <row r="19" spans="2:9" ht="33" x14ac:dyDescent="0.25">
      <c r="B19" s="23" t="s">
        <v>73</v>
      </c>
      <c r="C19" s="11" t="s">
        <v>16</v>
      </c>
      <c r="D19" s="27" t="s">
        <v>92</v>
      </c>
      <c r="E19" s="8" t="s">
        <v>40</v>
      </c>
      <c r="F19" s="11" t="s">
        <v>72</v>
      </c>
      <c r="G19" s="8">
        <v>1</v>
      </c>
      <c r="H19" s="11" t="s">
        <v>20</v>
      </c>
      <c r="I19" s="26" t="s">
        <v>93</v>
      </c>
    </row>
    <row r="20" spans="2:9" ht="33" x14ac:dyDescent="0.25">
      <c r="B20" s="23" t="s">
        <v>73</v>
      </c>
      <c r="C20" s="11" t="s">
        <v>14</v>
      </c>
      <c r="D20" s="27" t="s">
        <v>94</v>
      </c>
      <c r="E20" s="8" t="s">
        <v>40</v>
      </c>
      <c r="F20" s="11" t="s">
        <v>72</v>
      </c>
      <c r="G20" s="8">
        <v>1.5</v>
      </c>
      <c r="H20" s="11" t="s">
        <v>20</v>
      </c>
      <c r="I20" s="26" t="s">
        <v>95</v>
      </c>
    </row>
    <row r="21" spans="2:9" ht="28.5" x14ac:dyDescent="0.25">
      <c r="B21" s="23" t="s">
        <v>73</v>
      </c>
      <c r="C21" s="11" t="s">
        <v>16</v>
      </c>
      <c r="D21" s="27" t="s">
        <v>79</v>
      </c>
      <c r="E21" s="8" t="s">
        <v>40</v>
      </c>
      <c r="F21" s="11" t="s">
        <v>72</v>
      </c>
      <c r="G21" s="8">
        <v>1</v>
      </c>
      <c r="H21" s="11" t="s">
        <v>28</v>
      </c>
      <c r="I21" s="26" t="s">
        <v>85</v>
      </c>
    </row>
    <row r="22" spans="2:9" ht="33" x14ac:dyDescent="0.25">
      <c r="B22" s="23" t="s">
        <v>73</v>
      </c>
      <c r="C22" s="11" t="s">
        <v>76</v>
      </c>
      <c r="D22" s="27"/>
      <c r="E22" s="8" t="s">
        <v>40</v>
      </c>
      <c r="F22" s="11" t="s">
        <v>77</v>
      </c>
      <c r="G22" s="8">
        <v>3.5</v>
      </c>
      <c r="H22" s="11" t="s">
        <v>28</v>
      </c>
      <c r="I22" s="26" t="s">
        <v>91</v>
      </c>
    </row>
    <row r="23" spans="2:9" ht="33" x14ac:dyDescent="0.25">
      <c r="B23" s="23" t="s">
        <v>73</v>
      </c>
      <c r="C23" s="11" t="s">
        <v>14</v>
      </c>
      <c r="D23" s="27" t="s">
        <v>81</v>
      </c>
      <c r="E23" s="8" t="s">
        <v>40</v>
      </c>
      <c r="F23" s="11" t="s">
        <v>72</v>
      </c>
      <c r="G23" s="8">
        <v>3.5</v>
      </c>
      <c r="H23" s="11" t="s">
        <v>20</v>
      </c>
      <c r="I23" s="26" t="s">
        <v>90</v>
      </c>
    </row>
    <row r="24" spans="2:9" x14ac:dyDescent="0.25">
      <c r="B24" s="18"/>
      <c r="C24" s="19"/>
      <c r="D24" s="19"/>
      <c r="E24" s="20"/>
      <c r="F24" s="22" t="s">
        <v>67</v>
      </c>
      <c r="G24" s="31">
        <f>SUM(G3:G23)</f>
        <v>49</v>
      </c>
      <c r="H24" s="32"/>
      <c r="I24" s="33"/>
    </row>
    <row r="25" spans="2:9" ht="16.5" thickBot="1" x14ac:dyDescent="0.3">
      <c r="B25" s="15"/>
      <c r="C25" s="16"/>
      <c r="D25" s="16"/>
      <c r="E25" s="17"/>
      <c r="F25" s="21" t="s">
        <v>68</v>
      </c>
      <c r="G25" s="28">
        <v>5</v>
      </c>
      <c r="H25" s="29"/>
      <c r="I25" s="30"/>
    </row>
    <row r="26" spans="2:9" ht="16.5" thickTop="1" x14ac:dyDescent="0.2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2025-06-02T10:58:05Z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