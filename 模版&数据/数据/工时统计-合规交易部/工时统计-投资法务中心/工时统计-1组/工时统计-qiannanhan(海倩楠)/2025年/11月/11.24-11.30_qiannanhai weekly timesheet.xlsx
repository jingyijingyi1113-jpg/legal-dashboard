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timesheet\2025.10\"/>
    </mc:Choice>
  </mc:AlternateContent>
  <xr:revisionPtr revIDLastSave="0" documentId="13_ncr:1_{44398D08-A61F-4844-A716-F54B046BE69F}" xr6:coauthVersionLast="47" xr6:coauthVersionMax="47" xr10:uidLastSave="{00000000-0000-0000-0000-000000000000}"/>
  <bookViews>
    <workbookView xWindow="25490" yWindow="-110" windowWidth="25820" windowHeight="140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<sst xmlns="http://schemas.openxmlformats.org/spreadsheetml/2006/main" count="295" uniqueCount="122">
  <si>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</si>
  <si>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</si>
  <si>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</si>
  <si>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</si>
  <si>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</si>
  <si>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</si>
  <si>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</si>
  <si>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</si>
  <si>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</si>
  <si>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</si>
  <si>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</si>
  <si>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</si>
  <si>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</si>
  <si>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</si>
  <si>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</si>
  <si>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</si>
  <si>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</si>
  <si>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</si>
  <si>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</si>
  <si>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</si>
  <si>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</si>
  <si>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</si>
  <si>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</si>
  <si>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</si>
  <si>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</si>
  <si>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</si>
  <si>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</si>
  <si>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</si>
  <si>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</si>
  <si>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</si>
  <si>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</si>
  <si>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</si>
  <si>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</si>
  <si>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</si>
  <si>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</si>
  <si>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</si>
  <si>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</si>
  <si>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</si>
  <si>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</si>
  <si>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</si>
  <si>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</si>
  <si>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</si>
  <si>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</si>
  <si>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</si>
  <si>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</si>
  <si>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</si>
  <si>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</si>
  <si>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</si>
  <si>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</si>
  <si>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</si>
  <si>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</si>
  <si>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</si>
  <si>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</si>
  <si>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</si>
  <si>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</si>
  <si>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</si>
  <si>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</si>
  <si>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</si>
  <si>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</si>
  <si>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</si>
  <si>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</si>
  <si>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</si>
  <si>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</si>
  <si>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</si>
  <si>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</si>
  <si>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</si>
  <si>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</si>
  <si>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</si>
  <si>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</si>
  <si>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</si>
  <si>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</si>
  <si>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</si>
  <si>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</si>
  <si>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</si>
  <si>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</si>
  <si>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精细化管理工具搭建 Adoption of refined management tools</t>
  </si>
  <si>
    <t>世纪华通</t>
    <phoneticPr fontId="7" type="noConversion"/>
  </si>
  <si>
    <t>Recording/reviewing deals updates/weekly time reports/other team summaries</t>
  </si>
  <si>
    <t>qiannanhai</t>
    <phoneticPr fontId="7" type="noConversion"/>
  </si>
  <si>
    <t>胖布丁</t>
    <phoneticPr fontId="7" type="noConversion"/>
  </si>
  <si>
    <t>极兔中东南美</t>
    <phoneticPr fontId="7" type="noConversion"/>
  </si>
  <si>
    <t>Bitpanda</t>
    <phoneticPr fontId="7" type="noConversion"/>
  </si>
  <si>
    <t>卡布姆</t>
    <phoneticPr fontId="7" type="noConversion"/>
  </si>
  <si>
    <t>游戏科学</t>
    <phoneticPr fontId="7" type="noConversion"/>
  </si>
  <si>
    <t>小药药</t>
    <phoneticPr fontId="7" type="noConversion"/>
  </si>
  <si>
    <t>光启元</t>
    <phoneticPr fontId="7" type="noConversion"/>
  </si>
  <si>
    <t>极兔</t>
    <phoneticPr fontId="7" type="noConversion"/>
  </si>
  <si>
    <t>海云</t>
    <phoneticPr fontId="7" type="noConversion"/>
  </si>
  <si>
    <t>审阅律师更新的LF，和deal team讨论条款修改并反馈给公司</t>
    <phoneticPr fontId="7" type="noConversion"/>
  </si>
  <si>
    <t>Wakedata</t>
    <phoneticPr fontId="7" type="noConversion"/>
  </si>
  <si>
    <t>审阅公司决议及更新后的章程</t>
    <phoneticPr fontId="7" type="noConversion"/>
  </si>
  <si>
    <t>美术宝</t>
    <phoneticPr fontId="7" type="noConversion"/>
  </si>
  <si>
    <t>灵游坊</t>
    <phoneticPr fontId="7" type="noConversion"/>
  </si>
  <si>
    <t>TGIF上海游牛</t>
    <phoneticPr fontId="7" type="noConversion"/>
  </si>
  <si>
    <t>电话沟通公司潜在控股offer及我们的权利</t>
    <phoneticPr fontId="7" type="noConversion"/>
  </si>
  <si>
    <t>TT语音</t>
    <phoneticPr fontId="7" type="noConversion"/>
  </si>
  <si>
    <t>审阅VIE增资决议及反馈，与公司电话沟通增资背景及顾虑</t>
    <phoneticPr fontId="7" type="noConversion"/>
  </si>
  <si>
    <t>小结关于回购的veto情况，和MA沟通第三方可以阻止回购的情况</t>
    <phoneticPr fontId="7" type="noConversion"/>
  </si>
  <si>
    <t>审阅第二阶段方案</t>
    <phoneticPr fontId="7" type="noConversion"/>
  </si>
  <si>
    <t>Little Freddie</t>
    <phoneticPr fontId="7" type="noConversion"/>
  </si>
  <si>
    <t>审阅SPA amendment</t>
    <phoneticPr fontId="7" type="noConversion"/>
  </si>
  <si>
    <t>沟通SJHT、Bitpanda账单及审批；沟通中伦EL续期</t>
    <phoneticPr fontId="7" type="noConversion"/>
  </si>
  <si>
    <t>沟通公司签字页情况及变更进度</t>
    <phoneticPr fontId="7" type="noConversion"/>
  </si>
  <si>
    <t>审阅内部债权转让协议及对外转让通知，讨论质权灭失风险</t>
    <phoneticPr fontId="7" type="noConversion"/>
  </si>
  <si>
    <t>沟通公司KYC/AML诉求</t>
    <phoneticPr fontId="7" type="noConversion"/>
  </si>
  <si>
    <t>Voxelcloud</t>
    <phoneticPr fontId="7" type="noConversion"/>
  </si>
  <si>
    <t>讨论回购触发事项及目前和公司沟通退出进度</t>
    <phoneticPr fontId="7" type="noConversion"/>
  </si>
  <si>
    <t>审阅公司更新的SPA和SHA并反馈</t>
    <phoneticPr fontId="7" type="noConversion"/>
  </si>
  <si>
    <t>LingoAce领格卓越</t>
    <phoneticPr fontId="7" type="noConversion"/>
  </si>
  <si>
    <t>墨奇科技</t>
    <phoneticPr fontId="7" type="noConversion"/>
  </si>
  <si>
    <t>讨论公司清算进展及内部审批情况</t>
    <phoneticPr fontId="7" type="noConversion"/>
  </si>
  <si>
    <t>审阅拟回复公司的主体问卷，和财务沟通股比问题并反馈</t>
    <phoneticPr fontId="7" type="noConversion"/>
  </si>
  <si>
    <t>和deal team讨论腾讯否决权及子公司拆分对股东权利的影响</t>
    <phoneticPr fontId="7" type="noConversion"/>
  </si>
  <si>
    <t>AI平台学习及LPA审阅调试</t>
    <phoneticPr fontId="7" type="noConversion"/>
  </si>
  <si>
    <t>Public - Knowledge Accumulation &amp; Sharing</t>
  </si>
  <si>
    <t>参与培训Pillar2专题宣导</t>
    <phoneticPr fontId="7" type="noConversion"/>
  </si>
  <si>
    <t>沟通后续注销安排及历史交接情况；审阅社保公积金追溯分析；回复邮件发送相关问题</t>
    <phoneticPr fontId="7" type="noConversion"/>
  </si>
  <si>
    <t>回复关于注销文件签署及账单支付问题</t>
    <phoneticPr fontId="7" type="noConversion"/>
  </si>
  <si>
    <t>审阅ICP申请相关决议及章程；审阅经济实质法案问卷相关决议；释放签字页及安排原件寄出</t>
    <phoneticPr fontId="7" type="noConversion"/>
  </si>
  <si>
    <t>Timesheet；全面反馈</t>
    <phoneticPr fontId="7" type="noConversion"/>
  </si>
  <si>
    <t>Providing training sessions/knowledge sharing</t>
  </si>
  <si>
    <t>审阅公司更新的分拆决议及SHA补充协议；回复MA关于分拆的问题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</si>
</sst>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00_);_(* \(#,##0.00\);_(* &quot;-&quot;??_);_(@_)"/>
    <numFmt numFmtId="177" formatCode="_(* #,##0.0_);_(* \(#,##0.0\);_(* &quot;-&quot;??_);_(@_)"/>
  </numFmts>
  <fonts count="17"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1"/>
      <color theme="1"/>
      <name val="等线"/>
      <family val="4"/>
      <charset val="134"/>
      <scheme val="minor"/>
    </font>
    <font>
      <b/>
      <sz val="10"/>
      <color theme="1"/>
      <name val="等线"/>
      <family val="4"/>
      <charset val="134"/>
      <scheme val="minor"/>
    </font>
    <font>
      <b/>
      <sz val="10"/>
      <color theme="4" tint="-0.499984740745262"/>
      <name val="等线"/>
      <family val="4"/>
      <charset val="134"/>
      <scheme val="minor"/>
    </font>
    <font>
      <b/>
      <sz val="8"/>
      <color theme="4" tint="-0.499984740745262"/>
      <name val="等线"/>
      <family val="4"/>
      <charset val="134"/>
      <scheme val="minor"/>
    </font>
    <font>
      <b/>
      <sz val="11"/>
      <color theme="1"/>
      <name val="等线"/>
      <family val="4"/>
      <charset val="134"/>
      <scheme val="minor"/>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176" fontId="10" fillId="0" borderId="0" applyFont="0" applyFill="0" applyBorder="0" applyAlignment="0" applyProtection="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9" fillId="0" borderId="0" xfId="0" applyFont="1">
      <alignment vertical="center"/>
    </xf>
    <xf numFmtId="0" fontId="1" fillId="0" borderId="16" xfId="0" applyFont="1" applyBorder="1">
      <alignment vertical="center"/>
    </xf>
    <xf numFmtId="0" fontId="1" fillId="0" borderId="11" xfId="0" applyFont="1" applyBorder="1">
      <alignment vertical="center"/>
    </xf>
    <xf numFmtId="0" fontId="11" fillId="0" borderId="15" xfId="0" applyFont="1" applyBorder="1" applyAlignment="1">
      <alignment horizontal="right" vertical="center" wrapText="1"/>
    </xf>
    <xf numFmtId="0" fontId="11" fillId="0" borderId="12" xfId="0" applyFont="1" applyBorder="1" applyAlignment="1">
      <alignment horizontal="right" vertical="center" wrapText="1"/>
    </xf>
    <xf numFmtId="0" fontId="11" fillId="0" borderId="13" xfId="0" applyFont="1" applyBorder="1">
      <alignment vertical="center"/>
    </xf>
    <xf numFmtId="0" fontId="11" fillId="0" borderId="14" xfId="0" applyFont="1" applyBorder="1">
      <alignment vertical="center"/>
    </xf>
    <xf numFmtId="177" fontId="11" fillId="0" borderId="4" xfId="1" applyNumberFormat="1" applyFont="1" applyBorder="1" applyAlignment="1">
      <alignment vertical="center"/>
    </xf>
    <xf numFmtId="0" fontId="1" fillId="0" borderId="4" xfId="0" applyFont="1" applyBorder="1" applyAlignment="1">
      <alignment vertical="center" wrapText="1"/>
    </xf>
    <xf numFmtId="0" fontId="9" fillId="0" borderId="0" xfId="0" applyFont="1" applyAlignment="1">
      <alignment vertical="center" wrapText="1"/>
    </xf>
    <xf numFmtId="0" fontId="12" fillId="0" borderId="2" xfId="0" applyFont="1" applyBorder="1" applyAlignment="1">
      <alignment horizontal="center" vertical="center" wrapText="1"/>
    </xf>
    <xf numFmtId="0" fontId="13" fillId="2" borderId="4" xfId="0" applyFont="1" applyFill="1" applyBorder="1" applyAlignment="1">
      <alignment vertical="center" wrapText="1"/>
    </xf>
    <xf numFmtId="0" fontId="14" fillId="0" borderId="0" xfId="0" applyFont="1">
      <alignment vertical="center"/>
    </xf>
    <xf numFmtId="0" fontId="15" fillId="0" borderId="4" xfId="0" applyFont="1" applyBorder="1">
      <alignment vertical="center"/>
    </xf>
    <xf numFmtId="0" fontId="16" fillId="0" borderId="0" xfId="0" applyFont="1">
      <alignment vertical="center"/>
    </xf>
    <xf numFmtId="177" fontId="15" fillId="0" borderId="4" xfId="1" applyNumberFormat="1" applyFont="1" applyBorder="1">
      <alignmen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zoomScale="90" zoomScaleNormal="90" workbookViewId="0">
      <selection activeCell="H17" sqref="H17"/>
    </sheetView>
  </sheetViews>
  <sheetFormatPr defaultColWidth="9" defaultRowHeight="13.9" x14ac:dyDescent="0.4"/>
  <cols>
    <col min="1" max="1" width="5" customWidth="1"/>
    <col min="3" max="3" width="29.46484375" style="13" customWidth="1"/>
    <col min="4" max="4" width="11" customWidth="1"/>
    <col min="5" max="5" width="5.6640625" customWidth="1"/>
    <col min="6" max="6" width="29.796875" style="13" customWidth="1"/>
    <col min="7" max="7" width="7.1328125" style="37" customWidth="1"/>
    <col min="8" max="8" width="31.1328125" style="13" customWidth="1"/>
    <col min="9" max="9" width="31.1328125" customWidth="1"/>
  </cols>
  <sheetData>
    <row r="1" spans="2:9" ht="14.25" thickBot="1" x14ac:dyDescent="0.45"/>
    <row r="2" spans="2:9" ht="25.9" thickTop="1" x14ac:dyDescent="0.4">
      <c r="B2" s="4" t="s">
        <v>0</v>
      </c>
      <c r="C2" s="5" t="s">
        <v>64</v>
      </c>
      <c r="D2" s="5" t="s">
        <v>1</v>
      </c>
      <c r="E2" s="5" t="s">
        <v>72</v>
      </c>
      <c r="F2" s="5" t="s">
        <v>73</v>
      </c>
      <c r="G2" s="35" t="s">
        <v>2</v>
      </c>
      <c r="H2" s="5" t="s">
        <v>3</v>
      </c>
      <c r="I2" s="9" t="s">
        <v>4</v>
      </c>
    </row>
    <row r="3" spans="2:9" ht="208.05" customHeight="1" x14ac:dyDescent="0.4">
      <c r="B3" s="6" t="s">
        <v>5</v>
      </c>
      <c r="C3" s="7" t="s">
        <v>6</v>
      </c>
      <c r="D3" s="7" t="s">
        <v>7</v>
      </c>
      <c r="E3" s="7" t="s">
        <v>71</v>
      </c>
      <c r="F3" s="7" t="s">
        <v>74</v>
      </c>
      <c r="G3" s="36" t="s">
        <v>8</v>
      </c>
      <c r="H3" s="7" t="s">
        <v>9</v>
      </c>
      <c r="I3" s="10" t="s">
        <v>10</v>
      </c>
    </row>
    <row r="4" spans="2:9" ht="25.5" x14ac:dyDescent="0.4">
      <c r="B4" s="14" t="s">
        <v>78</v>
      </c>
      <c r="C4" s="12" t="s">
        <v>12</v>
      </c>
      <c r="D4" s="38" t="s">
        <v>76</v>
      </c>
      <c r="E4" s="8" t="s">
        <v>37</v>
      </c>
      <c r="F4" s="12" t="s">
        <v>70</v>
      </c>
      <c r="G4" s="40">
        <v>2.6</v>
      </c>
      <c r="H4" s="33" t="s">
        <v>66</v>
      </c>
      <c r="I4" s="24" t="s">
        <v>103</v>
      </c>
    </row>
    <row r="5" spans="2:9" ht="25.5" x14ac:dyDescent="0.4">
      <c r="B5" s="14" t="s">
        <v>78</v>
      </c>
      <c r="C5" s="12" t="s">
        <v>12</v>
      </c>
      <c r="D5" s="38" t="s">
        <v>79</v>
      </c>
      <c r="E5" s="8" t="s">
        <v>37</v>
      </c>
      <c r="F5" s="12" t="s">
        <v>70</v>
      </c>
      <c r="G5" s="40">
        <v>0.8</v>
      </c>
      <c r="H5" s="12" t="s">
        <v>33</v>
      </c>
      <c r="I5" s="24" t="s">
        <v>112</v>
      </c>
    </row>
    <row r="6" spans="2:9" ht="25.5" x14ac:dyDescent="0.4">
      <c r="B6" s="14" t="s">
        <v>78</v>
      </c>
      <c r="C6" s="12" t="s">
        <v>12</v>
      </c>
      <c r="D6" s="38" t="s">
        <v>80</v>
      </c>
      <c r="E6" s="8" t="s">
        <v>37</v>
      </c>
      <c r="F6" s="12" t="s">
        <v>70</v>
      </c>
      <c r="G6" s="40">
        <v>2.2000000000000002</v>
      </c>
      <c r="H6" s="12" t="s">
        <v>68</v>
      </c>
      <c r="I6" s="24" t="s">
        <v>107</v>
      </c>
    </row>
    <row r="7" spans="2:9" ht="25.5" x14ac:dyDescent="0.4">
      <c r="B7" s="14" t="s">
        <v>78</v>
      </c>
      <c r="C7" s="12" t="s">
        <v>12</v>
      </c>
      <c r="D7" s="38" t="s">
        <v>86</v>
      </c>
      <c r="E7" s="8" t="s">
        <v>37</v>
      </c>
      <c r="F7" s="12" t="s">
        <v>70</v>
      </c>
      <c r="G7" s="40">
        <v>0.6</v>
      </c>
      <c r="H7" s="12" t="s">
        <v>68</v>
      </c>
      <c r="I7" s="24" t="s">
        <v>117</v>
      </c>
    </row>
    <row r="8" spans="2:9" ht="25.5" x14ac:dyDescent="0.4">
      <c r="B8" s="14" t="s">
        <v>78</v>
      </c>
      <c r="C8" s="12" t="s">
        <v>12</v>
      </c>
      <c r="D8" s="38" t="s">
        <v>81</v>
      </c>
      <c r="E8" s="8" t="s">
        <v>37</v>
      </c>
      <c r="F8" s="12" t="s">
        <v>70</v>
      </c>
      <c r="G8" s="40">
        <v>0.9</v>
      </c>
      <c r="H8" s="12" t="s">
        <v>33</v>
      </c>
      <c r="I8" s="24" t="s">
        <v>104</v>
      </c>
    </row>
    <row r="9" spans="2:9" ht="25.5" x14ac:dyDescent="0.4">
      <c r="B9" s="14" t="s">
        <v>78</v>
      </c>
      <c r="C9" s="12" t="s">
        <v>12</v>
      </c>
      <c r="D9" s="38" t="s">
        <v>82</v>
      </c>
      <c r="E9" s="8" t="s">
        <v>37</v>
      </c>
      <c r="F9" s="12" t="s">
        <v>70</v>
      </c>
      <c r="G9" s="40">
        <v>1.7</v>
      </c>
      <c r="H9" s="12" t="s">
        <v>68</v>
      </c>
      <c r="I9" s="24" t="s">
        <v>88</v>
      </c>
    </row>
    <row r="10" spans="2:9" ht="25.5" x14ac:dyDescent="0.4">
      <c r="B10" s="14" t="s">
        <v>78</v>
      </c>
      <c r="C10" s="12" t="s">
        <v>12</v>
      </c>
      <c r="D10" s="38" t="s">
        <v>83</v>
      </c>
      <c r="E10" s="8" t="s">
        <v>37</v>
      </c>
      <c r="F10" s="12" t="s">
        <v>70</v>
      </c>
      <c r="G10" s="40">
        <v>0.5</v>
      </c>
      <c r="H10" s="12" t="s">
        <v>66</v>
      </c>
      <c r="I10" s="24" t="s">
        <v>102</v>
      </c>
    </row>
    <row r="11" spans="2:9" ht="25.5" x14ac:dyDescent="0.4">
      <c r="B11" s="14" t="s">
        <v>78</v>
      </c>
      <c r="C11" s="12" t="s">
        <v>12</v>
      </c>
      <c r="D11" s="38" t="s">
        <v>84</v>
      </c>
      <c r="E11" s="8" t="s">
        <v>37</v>
      </c>
      <c r="F11" s="12" t="s">
        <v>70</v>
      </c>
      <c r="G11" s="40">
        <v>0.8</v>
      </c>
      <c r="H11" s="12" t="s">
        <v>66</v>
      </c>
      <c r="I11" s="24" t="s">
        <v>98</v>
      </c>
    </row>
    <row r="12" spans="2:9" ht="38.25" x14ac:dyDescent="0.4">
      <c r="B12" s="14" t="s">
        <v>78</v>
      </c>
      <c r="C12" s="12" t="s">
        <v>12</v>
      </c>
      <c r="D12" s="38" t="s">
        <v>85</v>
      </c>
      <c r="E12" s="8" t="s">
        <v>37</v>
      </c>
      <c r="F12" s="12" t="s">
        <v>70</v>
      </c>
      <c r="G12" s="40">
        <v>1.6</v>
      </c>
      <c r="H12" s="12" t="s">
        <v>33</v>
      </c>
      <c r="I12" s="24" t="s">
        <v>116</v>
      </c>
    </row>
    <row r="13" spans="2:9" ht="25.5" x14ac:dyDescent="0.4">
      <c r="B13" s="14" t="s">
        <v>78</v>
      </c>
      <c r="C13" s="12" t="s">
        <v>12</v>
      </c>
      <c r="D13" s="38" t="s">
        <v>87</v>
      </c>
      <c r="E13" s="8" t="s">
        <v>37</v>
      </c>
      <c r="F13" s="12" t="s">
        <v>70</v>
      </c>
      <c r="G13" s="40">
        <v>2.2999999999999998</v>
      </c>
      <c r="H13" s="12" t="s">
        <v>66</v>
      </c>
      <c r="I13" s="24" t="s">
        <v>121</v>
      </c>
    </row>
    <row r="14" spans="2:9" ht="25.5" x14ac:dyDescent="0.4">
      <c r="B14" s="14" t="s">
        <v>78</v>
      </c>
      <c r="C14" s="33" t="s">
        <v>12</v>
      </c>
      <c r="D14" s="38" t="s">
        <v>91</v>
      </c>
      <c r="E14" s="33" t="s">
        <v>37</v>
      </c>
      <c r="F14" s="33" t="s">
        <v>70</v>
      </c>
      <c r="G14" s="40">
        <v>1</v>
      </c>
      <c r="H14" s="33" t="s">
        <v>33</v>
      </c>
      <c r="I14" s="24" t="s">
        <v>97</v>
      </c>
    </row>
    <row r="15" spans="2:9" ht="25.5" x14ac:dyDescent="0.4">
      <c r="B15" s="14" t="s">
        <v>78</v>
      </c>
      <c r="C15" s="33" t="s">
        <v>12</v>
      </c>
      <c r="D15" s="38" t="s">
        <v>93</v>
      </c>
      <c r="E15" s="33" t="s">
        <v>37</v>
      </c>
      <c r="F15" s="33" t="s">
        <v>70</v>
      </c>
      <c r="G15" s="40">
        <v>0.6</v>
      </c>
      <c r="H15" s="33" t="s">
        <v>33</v>
      </c>
      <c r="I15" s="24" t="s">
        <v>94</v>
      </c>
    </row>
    <row r="16" spans="2:9" ht="25.5" x14ac:dyDescent="0.4">
      <c r="B16" s="14" t="s">
        <v>78</v>
      </c>
      <c r="C16" s="33" t="s">
        <v>12</v>
      </c>
      <c r="D16" s="38" t="s">
        <v>99</v>
      </c>
      <c r="E16" s="33" t="s">
        <v>37</v>
      </c>
      <c r="F16" s="33" t="s">
        <v>70</v>
      </c>
      <c r="G16" s="40">
        <v>0.7</v>
      </c>
      <c r="H16" s="33" t="s">
        <v>66</v>
      </c>
      <c r="I16" s="24" t="s">
        <v>100</v>
      </c>
    </row>
    <row r="17" spans="1:9" ht="25.5" x14ac:dyDescent="0.4">
      <c r="B17" s="14" t="s">
        <v>78</v>
      </c>
      <c r="C17" s="33" t="s">
        <v>12</v>
      </c>
      <c r="D17" s="38" t="s">
        <v>105</v>
      </c>
      <c r="E17" s="33" t="s">
        <v>37</v>
      </c>
      <c r="F17" s="33" t="s">
        <v>70</v>
      </c>
      <c r="G17" s="40">
        <v>0.8</v>
      </c>
      <c r="H17" s="33" t="s">
        <v>33</v>
      </c>
      <c r="I17" s="24" t="s">
        <v>106</v>
      </c>
    </row>
    <row r="18" spans="1:9" ht="25.5" x14ac:dyDescent="0.4">
      <c r="B18" s="14" t="s">
        <v>78</v>
      </c>
      <c r="C18" s="33" t="s">
        <v>12</v>
      </c>
      <c r="D18" s="38" t="s">
        <v>109</v>
      </c>
      <c r="E18" s="33" t="s">
        <v>37</v>
      </c>
      <c r="F18" s="33" t="s">
        <v>70</v>
      </c>
      <c r="G18" s="40">
        <v>0.5</v>
      </c>
      <c r="H18" s="33" t="s">
        <v>33</v>
      </c>
      <c r="I18" s="24" t="s">
        <v>110</v>
      </c>
    </row>
    <row r="19" spans="1:9" ht="25.5" x14ac:dyDescent="0.4">
      <c r="B19" s="14" t="s">
        <v>78</v>
      </c>
      <c r="C19" s="12" t="s">
        <v>14</v>
      </c>
      <c r="D19" s="38" t="s">
        <v>89</v>
      </c>
      <c r="E19" s="33" t="s">
        <v>37</v>
      </c>
      <c r="F19" s="33" t="s">
        <v>70</v>
      </c>
      <c r="G19" s="40">
        <v>1.1000000000000001</v>
      </c>
      <c r="H19" s="33" t="s">
        <v>66</v>
      </c>
      <c r="I19" s="24" t="s">
        <v>90</v>
      </c>
    </row>
    <row r="20" spans="1:9" ht="38.25" x14ac:dyDescent="0.4">
      <c r="A20" s="39"/>
      <c r="B20" s="14" t="s">
        <v>78</v>
      </c>
      <c r="C20" s="12" t="s">
        <v>14</v>
      </c>
      <c r="D20" s="38" t="s">
        <v>92</v>
      </c>
      <c r="E20" s="8" t="s">
        <v>37</v>
      </c>
      <c r="F20" s="12" t="s">
        <v>70</v>
      </c>
      <c r="G20" s="40">
        <v>1.7</v>
      </c>
      <c r="H20" s="12" t="s">
        <v>66</v>
      </c>
      <c r="I20" s="24" t="s">
        <v>118</v>
      </c>
    </row>
    <row r="21" spans="1:9" ht="25.5" x14ac:dyDescent="0.4">
      <c r="A21" s="39"/>
      <c r="B21" s="14" t="s">
        <v>78</v>
      </c>
      <c r="C21" s="12" t="s">
        <v>14</v>
      </c>
      <c r="D21" s="38" t="s">
        <v>95</v>
      </c>
      <c r="E21" s="8" t="s">
        <v>37</v>
      </c>
      <c r="F21" s="12" t="s">
        <v>70</v>
      </c>
      <c r="G21" s="40">
        <v>1.8</v>
      </c>
      <c r="H21" s="12" t="s">
        <v>66</v>
      </c>
      <c r="I21" s="24" t="s">
        <v>96</v>
      </c>
    </row>
    <row r="22" spans="1:9" ht="25.5" x14ac:dyDescent="0.4">
      <c r="A22" s="39"/>
      <c r="B22" s="14" t="s">
        <v>78</v>
      </c>
      <c r="C22" s="12" t="s">
        <v>14</v>
      </c>
      <c r="D22" s="38" t="s">
        <v>108</v>
      </c>
      <c r="E22" s="8" t="s">
        <v>37</v>
      </c>
      <c r="F22" s="12" t="s">
        <v>70</v>
      </c>
      <c r="G22" s="40">
        <v>0.7</v>
      </c>
      <c r="H22" s="12" t="s">
        <v>66</v>
      </c>
      <c r="I22" s="24" t="s">
        <v>111</v>
      </c>
    </row>
    <row r="23" spans="1:9" ht="25.5" x14ac:dyDescent="0.4">
      <c r="B23" s="14" t="s">
        <v>78</v>
      </c>
      <c r="C23" s="12" t="s">
        <v>114</v>
      </c>
      <c r="D23" s="23"/>
      <c r="E23" s="8" t="s">
        <v>24</v>
      </c>
      <c r="F23" s="12"/>
      <c r="G23" s="40">
        <v>1</v>
      </c>
      <c r="H23" s="12" t="s">
        <v>120</v>
      </c>
      <c r="I23" s="24" t="s">
        <v>115</v>
      </c>
    </row>
    <row r="24" spans="1:9" ht="25.5" x14ac:dyDescent="0.4">
      <c r="B24" s="14" t="s">
        <v>78</v>
      </c>
      <c r="C24" s="12" t="s">
        <v>16</v>
      </c>
      <c r="D24" s="23"/>
      <c r="E24" s="8" t="s">
        <v>37</v>
      </c>
      <c r="F24" s="12" t="s">
        <v>75</v>
      </c>
      <c r="G24" s="40">
        <v>7.2</v>
      </c>
      <c r="H24" s="12" t="s">
        <v>24</v>
      </c>
      <c r="I24" s="24" t="s">
        <v>113</v>
      </c>
    </row>
    <row r="25" spans="1:9" ht="38.25" x14ac:dyDescent="0.4">
      <c r="B25" s="14" t="s">
        <v>78</v>
      </c>
      <c r="C25" s="12" t="s">
        <v>16</v>
      </c>
      <c r="D25" s="23"/>
      <c r="E25" s="8" t="s">
        <v>37</v>
      </c>
      <c r="F25" s="12" t="s">
        <v>75</v>
      </c>
      <c r="G25" s="40">
        <v>1.7</v>
      </c>
      <c r="H25" s="12" t="s">
        <v>35</v>
      </c>
      <c r="I25" s="24" t="s">
        <v>101</v>
      </c>
    </row>
    <row r="26" spans="1:9" ht="38.25" x14ac:dyDescent="0.4">
      <c r="B26" s="14" t="s">
        <v>78</v>
      </c>
      <c r="C26" s="12" t="s">
        <v>16</v>
      </c>
      <c r="D26" s="23"/>
      <c r="E26" s="8" t="s">
        <v>37</v>
      </c>
      <c r="F26" s="12" t="s">
        <v>75</v>
      </c>
      <c r="G26" s="40">
        <v>3.8</v>
      </c>
      <c r="H26" s="12" t="s">
        <v>77</v>
      </c>
      <c r="I26" s="24" t="s">
        <v>119</v>
      </c>
    </row>
    <row r="27" spans="1:9" x14ac:dyDescent="0.4">
      <c r="B27" s="20"/>
      <c r="C27" s="21"/>
      <c r="D27" s="22"/>
      <c r="E27" s="22"/>
      <c r="F27" s="28" t="s">
        <v>61</v>
      </c>
      <c r="G27" s="32">
        <f>SUM(G4:G26)</f>
        <v>36.6</v>
      </c>
      <c r="H27" s="26"/>
      <c r="I27" s="27"/>
    </row>
    <row r="28" spans="1:9" ht="14.25" thickBot="1" x14ac:dyDescent="0.45">
      <c r="B28" s="17"/>
      <c r="C28" s="18"/>
      <c r="D28" s="19"/>
      <c r="E28" s="19"/>
      <c r="F28" s="29" t="s">
        <v>62</v>
      </c>
      <c r="G28" s="29">
        <v>5</v>
      </c>
      <c r="H28" s="30"/>
      <c r="I28" s="31"/>
    </row>
    <row r="29" spans="1:9" ht="14.25" thickTop="1" x14ac:dyDescent="0.4"/>
    <row r="31" spans="1:9" x14ac:dyDescent="0.4">
      <c r="D31" s="34"/>
      <c r="E31" s="25"/>
    </row>
    <row r="32" spans="1:9" x14ac:dyDescent="0.4">
      <c r="E32" s="25"/>
    </row>
    <row r="33" spans="5:5" x14ac:dyDescent="0.4">
      <c r="E33" s="25"/>
    </row>
    <row r="34" spans="5:5" x14ac:dyDescent="0.4">
      <c r="E34" s="13"/>
    </row>
  </sheetData>
  <phoneticPr fontId="7" type="noConversion"/>
  <dataValidations count="4">
    <dataValidation type="list" allowBlank="1" showInputMessage="1" showErrorMessage="1" sqref="F4:F6 F9:F26" xr:uid="{084C9E0D-179D-4579-8B77-6D132B6E93BC}">
      <formula1>INDIRECT(E4)</formula1>
    </dataValidation>
    <dataValidation type="list" allowBlank="1" showInputMessage="1" showErrorMessage="1" sqref="E14:E19" xr:uid="{0DADBE1B-3C73-4BE2-9980-9C8D4C3296A2}">
      <formula1>INDIRECT(#REF!)</formula1>
    </dataValidation>
    <dataValidation type="list" allowBlank="1" showInputMessage="1" showErrorMessage="1" sqref="F7:F8" xr:uid="{0090BFC5-347F-463F-9D13-104D53201A48}">
      <formula1>INDIRECT(E8)</formula1>
    </dataValidation>
    <dataValidation type="list" allowBlank="1" showInputMessage="1" showErrorMessage="1" sqref="H4:H26" xr:uid="{66AC14FF-DF29-49B4-8276-A3C9D8CE6707}">
      <formula1>hh</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EB2D8DF-E76C-4B3C-9D13-33D0E673223D}">
          <x14:formula1>
            <xm:f>数据标签!$B$2:$H$2</xm:f>
          </x14:formula1>
          <xm:sqref>C4:C13 C19:C28</xm:sqref>
        </x14:dataValidation>
        <x14:dataValidation type="list" allowBlank="1" showInputMessage="1" showErrorMessage="1" xr:uid="{313F8250-23A9-4AF9-9D2A-748975E70C14}">
          <x14:formula1>
            <xm:f>数据标签!$B$12:$C$12</xm:f>
          </x14:formula1>
          <xm:sqref>E4:E13 E20:E28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75" x14ac:dyDescent="0.4"/>
  <cols>
    <col min="1" max="1" width="8.796875" style="1"/>
    <col min="2" max="2" width="26.796875" style="1" customWidth="1"/>
    <col min="3" max="3" width="21.6640625" style="1" customWidth="1"/>
    <col min="4" max="7" width="28.6640625" style="1" customWidth="1"/>
    <col min="8" max="8" width="27.33203125" style="1" customWidth="1"/>
    <col min="9" max="16384" width="8.796875" style="1"/>
  </cols>
  <sheetData>
    <row r="2" spans="1:8" ht="25.5" x14ac:dyDescent="0.4">
      <c r="A2" s="2" t="s">
        <v>11</v>
      </c>
      <c r="B2" s="3" t="s">
        <v>12</v>
      </c>
      <c r="C2" s="3" t="s">
        <v>13</v>
      </c>
      <c r="D2" s="3" t="s">
        <v>14</v>
      </c>
      <c r="E2" s="3" t="s">
        <v>15</v>
      </c>
      <c r="F2" s="3" t="s">
        <v>63</v>
      </c>
      <c r="G2" s="3" t="s">
        <v>54</v>
      </c>
      <c r="H2" s="3" t="s">
        <v>16</v>
      </c>
    </row>
    <row r="3" spans="1:8" ht="38.25" x14ac:dyDescent="0.4">
      <c r="A3" s="2" t="s">
        <v>17</v>
      </c>
      <c r="B3" s="3" t="s">
        <v>67</v>
      </c>
      <c r="C3" s="3" t="s">
        <v>67</v>
      </c>
      <c r="D3" s="3" t="s">
        <v>67</v>
      </c>
      <c r="E3" s="3" t="s">
        <v>18</v>
      </c>
      <c r="F3" s="3" t="s">
        <v>19</v>
      </c>
      <c r="G3" s="3" t="s">
        <v>20</v>
      </c>
      <c r="H3" s="3" t="s">
        <v>21</v>
      </c>
    </row>
    <row r="4" spans="1:8" ht="38.25" x14ac:dyDescent="0.4">
      <c r="A4" s="2"/>
      <c r="B4" s="16" t="s">
        <v>69</v>
      </c>
      <c r="C4" s="16" t="s">
        <v>69</v>
      </c>
      <c r="D4" s="16" t="s">
        <v>69</v>
      </c>
      <c r="E4" s="3" t="s">
        <v>23</v>
      </c>
      <c r="F4" s="15" t="s">
        <v>56</v>
      </c>
      <c r="G4" s="3" t="s">
        <v>53</v>
      </c>
      <c r="H4" s="3" t="s">
        <v>55</v>
      </c>
    </row>
    <row r="5" spans="1:8" ht="25.5" x14ac:dyDescent="0.4">
      <c r="B5" s="3" t="s">
        <v>22</v>
      </c>
      <c r="C5" s="3" t="s">
        <v>22</v>
      </c>
      <c r="D5" s="3" t="s">
        <v>22</v>
      </c>
      <c r="E5" s="16" t="s">
        <v>26</v>
      </c>
      <c r="F5" s="15" t="s">
        <v>24</v>
      </c>
      <c r="G5" s="16" t="s">
        <v>27</v>
      </c>
      <c r="H5" s="16" t="s">
        <v>28</v>
      </c>
    </row>
    <row r="6" spans="1:8" ht="25.5" x14ac:dyDescent="0.4">
      <c r="B6" s="3" t="s">
        <v>25</v>
      </c>
      <c r="C6" s="3" t="s">
        <v>25</v>
      </c>
      <c r="D6" s="3" t="s">
        <v>25</v>
      </c>
      <c r="E6" s="16" t="s">
        <v>30</v>
      </c>
      <c r="F6" s="15"/>
      <c r="G6" s="16" t="s">
        <v>31</v>
      </c>
      <c r="H6" s="16" t="s">
        <v>32</v>
      </c>
    </row>
    <row r="7" spans="1:8" ht="38.25" x14ac:dyDescent="0.4">
      <c r="B7" s="3" t="s">
        <v>29</v>
      </c>
      <c r="C7" s="3" t="s">
        <v>29</v>
      </c>
      <c r="D7" s="3" t="s">
        <v>29</v>
      </c>
      <c r="E7" s="16" t="s">
        <v>34</v>
      </c>
      <c r="G7" s="16" t="s">
        <v>24</v>
      </c>
      <c r="H7" s="16" t="s">
        <v>35</v>
      </c>
    </row>
    <row r="8" spans="1:8" x14ac:dyDescent="0.4">
      <c r="B8" s="3" t="s">
        <v>33</v>
      </c>
      <c r="C8" s="3" t="s">
        <v>33</v>
      </c>
      <c r="D8" s="3" t="s">
        <v>33</v>
      </c>
      <c r="E8" s="16"/>
      <c r="G8" s="16"/>
      <c r="H8" s="16" t="s">
        <v>65</v>
      </c>
    </row>
    <row r="9" spans="1:8" x14ac:dyDescent="0.4">
      <c r="B9" s="1" t="s">
        <v>24</v>
      </c>
      <c r="C9" s="1" t="s">
        <v>24</v>
      </c>
      <c r="D9" s="1" t="s">
        <v>24</v>
      </c>
      <c r="E9" s="16"/>
      <c r="F9" s="15"/>
      <c r="G9" s="16"/>
      <c r="H9" s="16" t="s">
        <v>60</v>
      </c>
    </row>
    <row r="10" spans="1:8" x14ac:dyDescent="0.4">
      <c r="C10" s="16"/>
      <c r="D10" s="16"/>
      <c r="H10" s="16"/>
    </row>
    <row r="12" spans="1:8" x14ac:dyDescent="0.4">
      <c r="A12" s="1" t="s">
        <v>36</v>
      </c>
      <c r="B12" s="1" t="s">
        <v>37</v>
      </c>
      <c r="C12" s="1" t="s">
        <v>24</v>
      </c>
    </row>
    <row r="13" spans="1:8" ht="51" x14ac:dyDescent="0.4">
      <c r="A13" s="1" t="s">
        <v>38</v>
      </c>
      <c r="B13" s="3" t="s">
        <v>39</v>
      </c>
    </row>
    <row r="14" spans="1:8" ht="38.25" x14ac:dyDescent="0.4">
      <c r="B14" s="3" t="s">
        <v>51</v>
      </c>
      <c r="C14" s="11" t="s">
        <v>52</v>
      </c>
      <c r="D14" s="11" t="s">
        <v>52</v>
      </c>
    </row>
    <row r="15" spans="1:8" ht="25.5" x14ac:dyDescent="0.4">
      <c r="B15" s="3" t="s">
        <v>40</v>
      </c>
      <c r="C15" s="11" t="s">
        <v>52</v>
      </c>
      <c r="D15" s="11" t="s">
        <v>52</v>
      </c>
    </row>
    <row r="16" spans="1:8" ht="51" x14ac:dyDescent="0.4">
      <c r="B16" s="3" t="s">
        <v>41</v>
      </c>
      <c r="C16" s="11" t="s">
        <v>52</v>
      </c>
      <c r="D16" s="11" t="s">
        <v>52</v>
      </c>
    </row>
    <row r="17" spans="2:4" ht="51" x14ac:dyDescent="0.4">
      <c r="B17" s="3" t="s">
        <v>42</v>
      </c>
      <c r="C17" s="11" t="s">
        <v>52</v>
      </c>
      <c r="D17" s="11" t="s">
        <v>52</v>
      </c>
    </row>
    <row r="18" spans="2:4" ht="51" x14ac:dyDescent="0.4">
      <c r="B18" s="3" t="s">
        <v>43</v>
      </c>
      <c r="C18" s="11" t="s">
        <v>52</v>
      </c>
      <c r="D18" s="11" t="s">
        <v>52</v>
      </c>
    </row>
    <row r="19" spans="2:4" ht="51" x14ac:dyDescent="0.4">
      <c r="B19" s="3" t="s">
        <v>44</v>
      </c>
      <c r="C19" s="11" t="s">
        <v>52</v>
      </c>
      <c r="D19" s="11" t="s">
        <v>52</v>
      </c>
    </row>
    <row r="20" spans="2:4" ht="51" x14ac:dyDescent="0.4">
      <c r="B20" s="3" t="s">
        <v>45</v>
      </c>
      <c r="C20" s="11" t="s">
        <v>52</v>
      </c>
      <c r="D20" s="11" t="s">
        <v>52</v>
      </c>
    </row>
    <row r="21" spans="2:4" ht="38.25" x14ac:dyDescent="0.4">
      <c r="B21" s="3" t="s">
        <v>57</v>
      </c>
      <c r="C21" s="11" t="s">
        <v>52</v>
      </c>
      <c r="D21" s="11" t="s">
        <v>52</v>
      </c>
    </row>
    <row r="22" spans="2:4" ht="38.25" x14ac:dyDescent="0.4">
      <c r="B22" s="3" t="s">
        <v>46</v>
      </c>
      <c r="C22" s="11" t="s">
        <v>52</v>
      </c>
      <c r="D22" s="11" t="s">
        <v>52</v>
      </c>
    </row>
    <row r="23" spans="2:4" ht="38.25" x14ac:dyDescent="0.4">
      <c r="B23" s="3" t="s">
        <v>58</v>
      </c>
      <c r="C23" s="11" t="s">
        <v>52</v>
      </c>
      <c r="D23" s="11" t="s">
        <v>52</v>
      </c>
    </row>
    <row r="24" spans="2:4" ht="38.25" x14ac:dyDescent="0.4">
      <c r="B24" s="3" t="s">
        <v>59</v>
      </c>
      <c r="C24" s="11"/>
      <c r="D24" s="11"/>
    </row>
    <row r="25" spans="2:4" ht="76.5" x14ac:dyDescent="0.4">
      <c r="B25" s="3" t="s">
        <v>50</v>
      </c>
      <c r="C25" s="11" t="s">
        <v>52</v>
      </c>
      <c r="D25" s="11" t="s">
        <v>52</v>
      </c>
    </row>
    <row r="26" spans="2:4" ht="38.25" x14ac:dyDescent="0.4">
      <c r="B26" s="3" t="s">
        <v>47</v>
      </c>
      <c r="C26" s="11" t="s">
        <v>52</v>
      </c>
      <c r="D26" s="11" t="s">
        <v>52</v>
      </c>
    </row>
    <row r="27" spans="2:4" ht="38.25" x14ac:dyDescent="0.4">
      <c r="B27" s="3" t="s">
        <v>48</v>
      </c>
      <c r="C27" s="11" t="s">
        <v>52</v>
      </c>
      <c r="D27" s="11" t="s">
        <v>52</v>
      </c>
    </row>
    <row r="28" spans="2:4" ht="25.5" x14ac:dyDescent="0.4">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2025-12-02T07:42:52Z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