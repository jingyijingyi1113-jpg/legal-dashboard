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D:\项目\timesheet\2025.10\"/>
    </mc:Choice>
  </mc:AlternateContent>
  <xr:revisionPtr revIDLastSave="0" documentId="13_ncr:1_{86BB78BA-5049-43AD-8BC5-7E03B7FAE382}" xr6:coauthVersionLast="47" xr6:coauthVersionMax="47" xr10:uidLastSave="{00000000-0000-0000-0000-000000000000}"/>
  <bookViews>
    <workbookView xWindow="25490" yWindow="-110" windowWidth="25820" windowHeight="14020" xr2:uid="{00000000-000D-0000-FFFF-FFFF00000000}"/>
  </bookViews>
  <sheets>
    <sheet name="个人工时记录表" sheetId="1" r:id="rId1"/>
    <sheet name="数据标签" sheetId="2" r:id="rId2"/>
  </sheets>
  <definedNames>
    <definedName name="BSC">数据标签!$B$13:$B$28</definedName>
    <definedName name="E列">数据标签!$A$13:$A$28</definedName>
    <definedName name="hh">OFFSET(表2[[#Headers],[Investment Related - M&amp;A Deal]],1,MATCH(个人工时记录表!$C1,表2[#Headers],0)-1,COUNTA(OFFSET(表2[[#Headers],[Investment Related - M&amp;A Deal]],1,MATCH(个人工时记录表!$C1,表2[#Headers],0)-1,7,1)),1)</definedName>
    <definedName name="OKR">数据标签!$C$13:$C$28</definedName>
    <definedName name="Others">数据标签!$D$13:$D$28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6" i="1" l="1"/>
</calcChain>
</file>

<file path=xl/sharedStrings.xml><?xml version="1.0" encoding="utf-8"?>
<sst xmlns="http://schemas.openxmlformats.org/spreadsheetml/2006/main" count="197" uniqueCount="99">
  <si>
    <t>Name</t>
  </si>
  <si>
    <t>Deal/Matter Name</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</si>
  <si>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</si>
  <si>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</si>
  <si>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</si>
  <si>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</si>
  <si>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</si>
  <si>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</si>
  <si>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</si>
  <si>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</si>
  <si>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</si>
  <si>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</si>
  <si>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</si>
  <si>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</si>
  <si>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</si>
  <si>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</si>
  <si>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</si>
  <si>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</si>
  <si>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</si>
  <si>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</si>
  <si>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</si>
  <si>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</si>
  <si>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</si>
  <si>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</si>
  <si>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</si>
  <si>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</si>
  <si>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</si>
  <si>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</si>
  <si>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</si>
  <si>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</si>
  <si>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</si>
  <si>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</si>
  <si>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</si>
  <si>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</si>
  <si>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</si>
  <si>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</si>
  <si>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</si>
  <si>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</si>
  <si>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</si>
  <si>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</si>
  <si>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</si>
  <si>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</si>
  <si>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</si>
  <si>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</si>
  <si>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</si>
  <si>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</si>
  <si>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</si>
  <si>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</si>
  <si>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</si>
  <si>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</si>
  <si>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</si>
  <si>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</si>
  <si>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</si>
  <si>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Providing training sessions/knowledge sharing</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</si>
  <si>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</si>
  <si>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</si>
  <si>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</si>
  <si>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</si>
  <si>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</si>
  <si>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</si>
  <si>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</si>
  <si>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</si>
  <si>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</si>
  <si>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</si>
  <si>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</si>
  <si>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</si>
  <si>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Drafting/reviewing/revising legal documents</t>
  </si>
  <si>
    <t>Drafting/reviewing/revising legal documents</t>
    <phoneticPr fontId="7" type="noConversion"/>
  </si>
  <si>
    <t>Internal/external discussion on/negotiation of legal documents</t>
  </si>
  <si>
    <t>Internal/external discussion on/negotiation of legal documents</t>
    <phoneticPr fontId="7" type="noConversion"/>
  </si>
  <si>
    <t>投资项目全流程法务支持 Full-process legal support for investments</t>
  </si>
  <si>
    <t>请确认该项事务是否为CTD-投资法务中心的BSC事项
Confirm whether it's a CTD-ILC BSC iteam</t>
    <phoneticPr fontId="7" type="noConversion"/>
  </si>
  <si>
    <t>BSC Tag</t>
    <phoneticPr fontId="7" type="noConversion"/>
  </si>
  <si>
    <t>BSC Item</t>
    <phoneticPr fontId="7" type="noConversion"/>
  </si>
  <si>
    <t xml:space="preserve">如为CTD-投资法务中心BSC事项，请相应勾选下拉菜单中的BSC事项选项
In the case of a CTD-ILC BSC item, please select the detailed item in the drop-down menu </t>
    <phoneticPr fontId="7" type="noConversion"/>
  </si>
  <si>
    <t>精细化管理工具搭建 Adoption of refined management tools</t>
  </si>
  <si>
    <t>Recording/reviewing deals updates/weekly time reports/other team summaries</t>
  </si>
  <si>
    <t>qiannanhai</t>
    <phoneticPr fontId="7" type="noConversion"/>
  </si>
  <si>
    <t>极兔中东南美</t>
    <phoneticPr fontId="7" type="noConversion"/>
  </si>
  <si>
    <t>Bitpanda</t>
    <phoneticPr fontId="7" type="noConversion"/>
  </si>
  <si>
    <t>卡布姆</t>
    <phoneticPr fontId="7" type="noConversion"/>
  </si>
  <si>
    <t>重庆东金</t>
    <phoneticPr fontId="7" type="noConversion"/>
  </si>
  <si>
    <t>光启元</t>
    <phoneticPr fontId="7" type="noConversion"/>
  </si>
  <si>
    <t>Project Light</t>
    <phoneticPr fontId="7" type="noConversion"/>
  </si>
  <si>
    <t>海云</t>
    <phoneticPr fontId="7" type="noConversion"/>
  </si>
  <si>
    <t>Elpiscience</t>
    <phoneticPr fontId="7" type="noConversion"/>
  </si>
  <si>
    <t>沟通KYC诉求及share registry</t>
    <phoneticPr fontId="7" type="noConversion"/>
  </si>
  <si>
    <t>沟通及确认招股书更新表述</t>
    <phoneticPr fontId="7" type="noConversion"/>
  </si>
  <si>
    <t>和创始人讨论分拆子公司涉及的相关问题</t>
    <phoneticPr fontId="7" type="noConversion"/>
  </si>
  <si>
    <t>Shenzhen/Shunde meeting</t>
    <phoneticPr fontId="7" type="noConversion"/>
  </si>
  <si>
    <t>沟通Bitpanda、Frontier律师费账单</t>
    <phoneticPr fontId="7" type="noConversion"/>
  </si>
  <si>
    <t>准备给创始团队的说明邮件，并分析注销完成后社保/公积金追缴的风险，和律师及deal team讨论</t>
    <phoneticPr fontId="7" type="noConversion"/>
  </si>
  <si>
    <t>审阅公司反馈的LF，和deal team讨论条款修改并反馈</t>
    <phoneticPr fontId="7" type="noConversion"/>
  </si>
  <si>
    <t>Little Freddie</t>
    <phoneticPr fontId="7" type="noConversion"/>
  </si>
  <si>
    <t>跟进回购方案谈判进度，小结VMG付款安排并回复给MA</t>
    <phoneticPr fontId="7" type="noConversion"/>
  </si>
  <si>
    <t>审阅确认股东调查问卷</t>
    <phoneticPr fontId="7" type="noConversion"/>
  </si>
  <si>
    <t>Timesheet；共感项目退出条款小结；境外法域统计表</t>
    <phoneticPr fontId="7" type="noConversion"/>
  </si>
  <si>
    <t>和deal team讨论SPA、SHA中的问题并反馈给公司，和公司沟通讨论pending issues</t>
    <phoneticPr fontId="7" type="noConversion"/>
  </si>
  <si>
    <t>沟通监管最新反馈意见</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</si>
</sst>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_(* #,##0.00_);_(* \(#,##0.00\);_(* &quot;-&quot;??_);_(@_)"/>
    <numFmt numFmtId="177" formatCode="_(* #,##0.0_);_(* \(#,##0.0\);_(* &quot;-&quot;??_);_(@_)"/>
  </numFmts>
  <fonts count="16"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1"/>
      <color theme="1"/>
      <name val="等线"/>
      <family val="4"/>
      <charset val="134"/>
      <scheme val="minor"/>
    </font>
    <font>
      <sz val="11"/>
      <color theme="1"/>
      <name val="等线"/>
      <family val="4"/>
      <charset val="134"/>
      <scheme val="minor"/>
    </font>
    <font>
      <b/>
      <sz val="10"/>
      <color theme="1"/>
      <name val="等线"/>
      <family val="4"/>
      <charset val="134"/>
      <scheme val="minor"/>
    </font>
    <font>
      <b/>
      <sz val="10"/>
      <color theme="4" tint="-0.499984740745262"/>
      <name val="等线"/>
      <family val="4"/>
      <charset val="134"/>
      <scheme val="minor"/>
    </font>
    <font>
      <b/>
      <sz val="8"/>
      <color theme="4" tint="-0.499984740745262"/>
      <name val="等线"/>
      <family val="4"/>
      <charset val="134"/>
      <scheme val="minor"/>
    </font>
    <font>
      <b/>
      <sz val="11"/>
      <color theme="1"/>
      <name val="等线"/>
      <family val="4"/>
      <charset val="134"/>
      <scheme val="minor"/>
    </font>
    <font>
      <sz val="10"/>
      <color theme="1"/>
      <name val="等线"/>
      <family val="3"/>
      <charset val="134"/>
      <scheme val="minor"/>
    </font>
  </fonts>
  <fills count="3">
    <fill>
      <patternFill patternType="none"/>
    </fill>
    <fill>
      <patternFill patternType="gray125"/>
    </fill>
    <fill>
      <patternFill patternType="solid">
        <fgColor theme="8" tint="0.79995117038483843"/>
        <bgColor indexed="64"/>
      </patternFill>
    </fill>
  </fills>
  <borders count="17">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right/>
      <top style="thin">
        <color auto="1"/>
      </top>
      <bottom style="thin">
        <color auto="1"/>
      </bottom>
      <diagonal/>
    </border>
  </borders>
  <cellStyleXfs count="2">
    <xf numFmtId="0" fontId="0" fillId="0" borderId="0">
      <alignment vertical="center"/>
    </xf>
    <xf numFmtId="176" fontId="10" fillId="0" borderId="0" applyFont="0" applyFill="0" applyBorder="0" applyAlignment="0" applyProtection="0">
      <alignment vertical="center"/>
    </xf>
  </cellStyleXfs>
  <cellXfs count="39">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4" xfId="0" applyFont="1" applyBorder="1">
      <alignment vertical="center"/>
    </xf>
    <xf numFmtId="0" fontId="1" fillId="0" borderId="8" xfId="0" applyFont="1" applyBorder="1" applyAlignment="1">
      <alignment vertical="center" wrapText="1"/>
    </xf>
    <xf numFmtId="0" fontId="9" fillId="0" borderId="0" xfId="0" applyFont="1">
      <alignment vertical="center"/>
    </xf>
    <xf numFmtId="0" fontId="1" fillId="0" borderId="16" xfId="0" applyFont="1" applyBorder="1">
      <alignment vertical="center"/>
    </xf>
    <xf numFmtId="0" fontId="1" fillId="0" borderId="11" xfId="0" applyFont="1" applyBorder="1">
      <alignment vertical="center"/>
    </xf>
    <xf numFmtId="0" fontId="11" fillId="0" borderId="15" xfId="0" applyFont="1" applyBorder="1" applyAlignment="1">
      <alignment horizontal="right" vertical="center" wrapText="1"/>
    </xf>
    <xf numFmtId="0" fontId="11" fillId="0" borderId="12" xfId="0" applyFont="1" applyBorder="1" applyAlignment="1">
      <alignment horizontal="right" vertical="center" wrapText="1"/>
    </xf>
    <xf numFmtId="0" fontId="11" fillId="0" borderId="13" xfId="0" applyFont="1" applyBorder="1">
      <alignment vertical="center"/>
    </xf>
    <xf numFmtId="0" fontId="11" fillId="0" borderId="14" xfId="0" applyFont="1" applyBorder="1">
      <alignment vertical="center"/>
    </xf>
    <xf numFmtId="177" fontId="11" fillId="0" borderId="4" xfId="1" applyNumberFormat="1" applyFont="1" applyBorder="1" applyAlignment="1">
      <alignment vertical="center"/>
    </xf>
    <xf numFmtId="0" fontId="9" fillId="0" borderId="0" xfId="0" applyFont="1" applyAlignment="1">
      <alignment vertical="center" wrapText="1"/>
    </xf>
    <xf numFmtId="0" fontId="12" fillId="0" borderId="2" xfId="0" applyFont="1" applyBorder="1" applyAlignment="1">
      <alignment horizontal="center" vertical="center" wrapText="1"/>
    </xf>
    <xf numFmtId="0" fontId="13" fillId="2" borderId="4" xfId="0" applyFont="1" applyFill="1" applyBorder="1" applyAlignment="1">
      <alignment vertical="center" wrapText="1"/>
    </xf>
    <xf numFmtId="0" fontId="14" fillId="0" borderId="0" xfId="0" applyFont="1">
      <alignment vertical="center"/>
    </xf>
    <xf numFmtId="0" fontId="15" fillId="0" borderId="4" xfId="0" applyFont="1" applyBorder="1">
      <alignment vertical="center"/>
    </xf>
    <xf numFmtId="177" fontId="15" fillId="0" borderId="4" xfId="1" applyNumberFormat="1" applyFont="1" applyBorder="1">
      <alignment vertical="center"/>
    </xf>
  </cellXfs>
  <cellStyles count="2">
    <cellStyle name="常规" xfId="0" builtinId="0"/>
    <cellStyle name="千位分隔" xfId="1" builtinId="3"/>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10"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I23"/>
  <sheetViews>
    <sheetView tabSelected="1" topLeftCell="A2" zoomScale="90" zoomScaleNormal="90" workbookViewId="0">
      <selection activeCell="H21" sqref="H21"/>
    </sheetView>
  </sheetViews>
  <sheetFormatPr defaultColWidth="9" defaultRowHeight="13.9" x14ac:dyDescent="0.4"/>
  <cols>
    <col min="1" max="1" width="5" customWidth="1"/>
    <col min="3" max="3" width="29.46484375" style="13" customWidth="1"/>
    <col min="4" max="4" width="11" customWidth="1"/>
    <col min="5" max="5" width="5.6640625" customWidth="1"/>
    <col min="6" max="6" width="29.796875" style="13" customWidth="1"/>
    <col min="7" max="7" width="7.1328125" style="36" customWidth="1"/>
    <col min="8" max="8" width="31.1328125" style="13" customWidth="1"/>
    <col min="9" max="9" width="31.1328125" customWidth="1"/>
  </cols>
  <sheetData>
    <row r="1" spans="2:9" ht="14.25" thickBot="1" x14ac:dyDescent="0.45"/>
    <row r="2" spans="2:9" ht="25.9" thickTop="1" x14ac:dyDescent="0.4">
      <c r="B2" s="4" t="s">
        <v>0</v>
      </c>
      <c r="C2" s="5" t="s">
        <v>64</v>
      </c>
      <c r="D2" s="5" t="s">
        <v>1</v>
      </c>
      <c r="E2" s="5" t="s">
        <v>72</v>
      </c>
      <c r="F2" s="5" t="s">
        <v>73</v>
      </c>
      <c r="G2" s="34" t="s">
        <v>2</v>
      </c>
      <c r="H2" s="5" t="s">
        <v>3</v>
      </c>
      <c r="I2" s="9" t="s">
        <v>4</v>
      </c>
    </row>
    <row r="3" spans="2:9" ht="208.05" customHeight="1" x14ac:dyDescent="0.4">
      <c r="B3" s="6" t="s">
        <v>5</v>
      </c>
      <c r="C3" s="7" t="s">
        <v>6</v>
      </c>
      <c r="D3" s="7" t="s">
        <v>7</v>
      </c>
      <c r="E3" s="7" t="s">
        <v>71</v>
      </c>
      <c r="F3" s="7" t="s">
        <v>74</v>
      </c>
      <c r="G3" s="35" t="s">
        <v>8</v>
      </c>
      <c r="H3" s="7" t="s">
        <v>9</v>
      </c>
      <c r="I3" s="10" t="s">
        <v>10</v>
      </c>
    </row>
    <row r="4" spans="2:9" ht="38.25" x14ac:dyDescent="0.4">
      <c r="B4" s="14" t="s">
        <v>77</v>
      </c>
      <c r="C4" s="12" t="s">
        <v>12</v>
      </c>
      <c r="D4" s="37" t="s">
        <v>78</v>
      </c>
      <c r="E4" s="8" t="s">
        <v>37</v>
      </c>
      <c r="F4" s="12" t="s">
        <v>70</v>
      </c>
      <c r="G4" s="38">
        <v>2.4</v>
      </c>
      <c r="H4" s="12" t="s">
        <v>68</v>
      </c>
      <c r="I4" s="24" t="s">
        <v>97</v>
      </c>
    </row>
    <row r="5" spans="2:9" ht="25.5" x14ac:dyDescent="0.4">
      <c r="B5" s="14" t="s">
        <v>77</v>
      </c>
      <c r="C5" s="12" t="s">
        <v>12</v>
      </c>
      <c r="D5" s="37" t="s">
        <v>79</v>
      </c>
      <c r="E5" s="8" t="s">
        <v>37</v>
      </c>
      <c r="F5" s="12" t="s">
        <v>70</v>
      </c>
      <c r="G5" s="38">
        <v>0.5</v>
      </c>
      <c r="H5" s="12" t="s">
        <v>66</v>
      </c>
      <c r="I5" s="24" t="s">
        <v>86</v>
      </c>
    </row>
    <row r="6" spans="2:9" ht="25.5" x14ac:dyDescent="0.4">
      <c r="B6" s="14" t="s">
        <v>77</v>
      </c>
      <c r="C6" s="12" t="s">
        <v>12</v>
      </c>
      <c r="D6" s="37" t="s">
        <v>80</v>
      </c>
      <c r="E6" s="8" t="s">
        <v>37</v>
      </c>
      <c r="F6" s="12" t="s">
        <v>70</v>
      </c>
      <c r="G6" s="38">
        <v>2.6</v>
      </c>
      <c r="H6" s="12" t="s">
        <v>68</v>
      </c>
      <c r="I6" s="24" t="s">
        <v>92</v>
      </c>
    </row>
    <row r="7" spans="2:9" ht="25.5" x14ac:dyDescent="0.4">
      <c r="B7" s="14" t="s">
        <v>77</v>
      </c>
      <c r="C7" s="12" t="s">
        <v>12</v>
      </c>
      <c r="D7" s="37" t="s">
        <v>81</v>
      </c>
      <c r="E7" s="8" t="s">
        <v>37</v>
      </c>
      <c r="F7" s="12" t="s">
        <v>70</v>
      </c>
      <c r="G7" s="38">
        <v>0.8</v>
      </c>
      <c r="H7" s="12" t="s">
        <v>66</v>
      </c>
      <c r="I7" s="24" t="s">
        <v>98</v>
      </c>
    </row>
    <row r="8" spans="2:9" ht="38.25" x14ac:dyDescent="0.4">
      <c r="B8" s="14" t="s">
        <v>77</v>
      </c>
      <c r="C8" s="12" t="s">
        <v>12</v>
      </c>
      <c r="D8" s="37" t="s">
        <v>82</v>
      </c>
      <c r="E8" s="8" t="s">
        <v>37</v>
      </c>
      <c r="F8" s="12" t="s">
        <v>70</v>
      </c>
      <c r="G8" s="38">
        <v>2.5</v>
      </c>
      <c r="H8" s="12" t="s">
        <v>66</v>
      </c>
      <c r="I8" s="24" t="s">
        <v>91</v>
      </c>
    </row>
    <row r="9" spans="2:9" ht="25.5" x14ac:dyDescent="0.4">
      <c r="B9" s="14" t="s">
        <v>77</v>
      </c>
      <c r="C9" s="12" t="s">
        <v>12</v>
      </c>
      <c r="D9" s="37" t="s">
        <v>84</v>
      </c>
      <c r="E9" s="8" t="s">
        <v>37</v>
      </c>
      <c r="F9" s="12" t="s">
        <v>70</v>
      </c>
      <c r="G9" s="38">
        <v>2.8</v>
      </c>
      <c r="H9" s="12" t="s">
        <v>68</v>
      </c>
      <c r="I9" s="24" t="s">
        <v>88</v>
      </c>
    </row>
    <row r="10" spans="2:9" ht="25.5" x14ac:dyDescent="0.4">
      <c r="B10" s="14" t="s">
        <v>77</v>
      </c>
      <c r="C10" s="12" t="s">
        <v>12</v>
      </c>
      <c r="D10" s="37" t="s">
        <v>93</v>
      </c>
      <c r="E10" s="12" t="s">
        <v>37</v>
      </c>
      <c r="F10" s="12" t="s">
        <v>70</v>
      </c>
      <c r="G10" s="38">
        <v>1</v>
      </c>
      <c r="H10" s="12" t="s">
        <v>33</v>
      </c>
      <c r="I10" s="24" t="s">
        <v>94</v>
      </c>
    </row>
    <row r="11" spans="2:9" ht="25.5" x14ac:dyDescent="0.4">
      <c r="B11" s="14" t="s">
        <v>77</v>
      </c>
      <c r="C11" s="12" t="s">
        <v>13</v>
      </c>
      <c r="D11" s="23" t="s">
        <v>83</v>
      </c>
      <c r="E11" s="8" t="s">
        <v>37</v>
      </c>
      <c r="F11" s="12" t="s">
        <v>70</v>
      </c>
      <c r="G11" s="38">
        <v>1.6</v>
      </c>
      <c r="H11" s="12" t="s">
        <v>68</v>
      </c>
      <c r="I11" s="24" t="s">
        <v>87</v>
      </c>
    </row>
    <row r="12" spans="2:9" ht="25.5" x14ac:dyDescent="0.4">
      <c r="B12" s="14" t="s">
        <v>77</v>
      </c>
      <c r="C12" s="12" t="s">
        <v>13</v>
      </c>
      <c r="D12" s="23" t="s">
        <v>85</v>
      </c>
      <c r="E12" s="8" t="s">
        <v>37</v>
      </c>
      <c r="F12" s="12" t="s">
        <v>70</v>
      </c>
      <c r="G12" s="38">
        <v>0.5</v>
      </c>
      <c r="H12" s="12" t="s">
        <v>66</v>
      </c>
      <c r="I12" s="24" t="s">
        <v>95</v>
      </c>
    </row>
    <row r="13" spans="2:9" ht="25.5" x14ac:dyDescent="0.4">
      <c r="B13" s="14" t="s">
        <v>77</v>
      </c>
      <c r="C13" s="12" t="s">
        <v>16</v>
      </c>
      <c r="D13" s="23"/>
      <c r="E13" s="8" t="s">
        <v>37</v>
      </c>
      <c r="F13" s="12" t="s">
        <v>75</v>
      </c>
      <c r="G13" s="38">
        <v>5</v>
      </c>
      <c r="H13" s="12" t="s">
        <v>21</v>
      </c>
      <c r="I13" s="24" t="s">
        <v>89</v>
      </c>
    </row>
    <row r="14" spans="2:9" ht="38.25" x14ac:dyDescent="0.4">
      <c r="B14" s="14" t="s">
        <v>77</v>
      </c>
      <c r="C14" s="12" t="s">
        <v>16</v>
      </c>
      <c r="D14" s="23"/>
      <c r="E14" s="8" t="s">
        <v>37</v>
      </c>
      <c r="F14" s="12" t="s">
        <v>75</v>
      </c>
      <c r="G14" s="38">
        <v>0.9</v>
      </c>
      <c r="H14" s="12" t="s">
        <v>35</v>
      </c>
      <c r="I14" s="24" t="s">
        <v>90</v>
      </c>
    </row>
    <row r="15" spans="2:9" ht="38.25" x14ac:dyDescent="0.4">
      <c r="B15" s="14" t="s">
        <v>77</v>
      </c>
      <c r="C15" s="12" t="s">
        <v>16</v>
      </c>
      <c r="D15" s="23"/>
      <c r="E15" s="8" t="s">
        <v>37</v>
      </c>
      <c r="F15" s="12" t="s">
        <v>75</v>
      </c>
      <c r="G15" s="38">
        <v>2</v>
      </c>
      <c r="H15" s="12" t="s">
        <v>76</v>
      </c>
      <c r="I15" s="24" t="s">
        <v>96</v>
      </c>
    </row>
    <row r="16" spans="2:9" x14ac:dyDescent="0.4">
      <c r="B16" s="20"/>
      <c r="C16" s="21"/>
      <c r="D16" s="22"/>
      <c r="E16" s="22"/>
      <c r="F16" s="28" t="s">
        <v>61</v>
      </c>
      <c r="G16" s="32">
        <f>SUM(G4:G15)</f>
        <v>22.6</v>
      </c>
      <c r="H16" s="26"/>
      <c r="I16" s="27"/>
    </row>
    <row r="17" spans="2:9" ht="14.25" thickBot="1" x14ac:dyDescent="0.45">
      <c r="B17" s="17"/>
      <c r="C17" s="18"/>
      <c r="D17" s="19"/>
      <c r="E17" s="19"/>
      <c r="F17" s="29" t="s">
        <v>62</v>
      </c>
      <c r="G17" s="29">
        <v>5</v>
      </c>
      <c r="H17" s="30"/>
      <c r="I17" s="31"/>
    </row>
    <row r="18" spans="2:9" ht="14.25" thickTop="1" x14ac:dyDescent="0.4"/>
    <row r="20" spans="2:9" x14ac:dyDescent="0.4">
      <c r="D20" s="33"/>
      <c r="E20" s="25"/>
    </row>
    <row r="21" spans="2:9" x14ac:dyDescent="0.4">
      <c r="E21" s="25"/>
    </row>
    <row r="22" spans="2:9" x14ac:dyDescent="0.4">
      <c r="E22" s="25"/>
    </row>
    <row r="23" spans="2:9" x14ac:dyDescent="0.4">
      <c r="E23" s="13"/>
    </row>
  </sheetData>
  <phoneticPr fontId="7" type="noConversion"/>
  <dataValidations count="4">
    <dataValidation type="list" allowBlank="1" showInputMessage="1" showErrorMessage="1" sqref="F4 F6:F15" xr:uid="{8A5B3FAB-287D-45EE-9209-FAE03C3D23D8}">
      <formula1>INDIRECT(E4)</formula1>
    </dataValidation>
    <dataValidation type="list" allowBlank="1" showInputMessage="1" showErrorMessage="1" sqref="F5" xr:uid="{B2C0BA5B-FBBB-48A1-BE6D-8A60E737A4B8}">
      <formula1>INDIRECT(#REF!)</formula1>
    </dataValidation>
    <dataValidation type="list" allowBlank="1" showInputMessage="1" showErrorMessage="1" sqref="E10" xr:uid="{779DF848-774E-4747-BAAE-A9AE032453D3}">
      <formula1>INDIRECT(#REF!)</formula1>
    </dataValidation>
    <dataValidation type="list" allowBlank="1" showInputMessage="1" showErrorMessage="1" sqref="H4:H15" xr:uid="{0F479D4E-668D-48EB-A650-6181D3F33205}">
      <formula1>hh</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13214060-E92F-426E-9EBE-7D2B755E760C}">
          <x14:formula1>
            <xm:f>数据标签!$B$2:$H$2</xm:f>
          </x14:formula1>
          <xm:sqref>C4:C17</xm:sqref>
        </x14:dataValidation>
        <x14:dataValidation type="list" allowBlank="1" showInputMessage="1" showErrorMessage="1" xr:uid="{C1AA87B8-8E70-44E6-B412-11B72AED9CB4}">
          <x14:formula1>
            <xm:f>数据标签!$B$12:$C$12</xm:f>
          </x14:formula1>
          <xm:sqref>E4:E17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8"/>
  <sheetViews>
    <sheetView workbookViewId="0">
      <selection activeCell="F14" sqref="F14"/>
    </sheetView>
  </sheetViews>
  <sheetFormatPr defaultColWidth="8.796875" defaultRowHeight="12.75" x14ac:dyDescent="0.4"/>
  <cols>
    <col min="1" max="1" width="8.796875" style="1"/>
    <col min="2" max="2" width="26.796875" style="1" customWidth="1"/>
    <col min="3" max="3" width="21.6640625" style="1" customWidth="1"/>
    <col min="4" max="7" width="28.6640625" style="1" customWidth="1"/>
    <col min="8" max="8" width="27.33203125" style="1" customWidth="1"/>
    <col min="9" max="16384" width="8.796875" style="1"/>
  </cols>
  <sheetData>
    <row r="2" spans="1:8" ht="25.5" x14ac:dyDescent="0.4">
      <c r="A2" s="2" t="s">
        <v>11</v>
      </c>
      <c r="B2" s="3" t="s">
        <v>12</v>
      </c>
      <c r="C2" s="3" t="s">
        <v>13</v>
      </c>
      <c r="D2" s="3" t="s">
        <v>14</v>
      </c>
      <c r="E2" s="3" t="s">
        <v>15</v>
      </c>
      <c r="F2" s="3" t="s">
        <v>63</v>
      </c>
      <c r="G2" s="3" t="s">
        <v>54</v>
      </c>
      <c r="H2" s="3" t="s">
        <v>16</v>
      </c>
    </row>
    <row r="3" spans="1:8" ht="38.25" x14ac:dyDescent="0.4">
      <c r="A3" s="2" t="s">
        <v>17</v>
      </c>
      <c r="B3" s="3" t="s">
        <v>67</v>
      </c>
      <c r="C3" s="3" t="s">
        <v>67</v>
      </c>
      <c r="D3" s="3" t="s">
        <v>67</v>
      </c>
      <c r="E3" s="3" t="s">
        <v>18</v>
      </c>
      <c r="F3" s="3" t="s">
        <v>19</v>
      </c>
      <c r="G3" s="3" t="s">
        <v>20</v>
      </c>
      <c r="H3" s="3" t="s">
        <v>21</v>
      </c>
    </row>
    <row r="4" spans="1:8" ht="38.25" x14ac:dyDescent="0.4">
      <c r="A4" s="2"/>
      <c r="B4" s="16" t="s">
        <v>69</v>
      </c>
      <c r="C4" s="16" t="s">
        <v>69</v>
      </c>
      <c r="D4" s="16" t="s">
        <v>69</v>
      </c>
      <c r="E4" s="3" t="s">
        <v>23</v>
      </c>
      <c r="F4" s="15" t="s">
        <v>56</v>
      </c>
      <c r="G4" s="3" t="s">
        <v>53</v>
      </c>
      <c r="H4" s="3" t="s">
        <v>55</v>
      </c>
    </row>
    <row r="5" spans="1:8" ht="25.5" x14ac:dyDescent="0.4">
      <c r="B5" s="3" t="s">
        <v>22</v>
      </c>
      <c r="C5" s="3" t="s">
        <v>22</v>
      </c>
      <c r="D5" s="3" t="s">
        <v>22</v>
      </c>
      <c r="E5" s="16" t="s">
        <v>26</v>
      </c>
      <c r="F5" s="15" t="s">
        <v>24</v>
      </c>
      <c r="G5" s="16" t="s">
        <v>27</v>
      </c>
      <c r="H5" s="16" t="s">
        <v>28</v>
      </c>
    </row>
    <row r="6" spans="1:8" ht="25.5" x14ac:dyDescent="0.4">
      <c r="B6" s="3" t="s">
        <v>25</v>
      </c>
      <c r="C6" s="3" t="s">
        <v>25</v>
      </c>
      <c r="D6" s="3" t="s">
        <v>25</v>
      </c>
      <c r="E6" s="16" t="s">
        <v>30</v>
      </c>
      <c r="F6" s="15"/>
      <c r="G6" s="16" t="s">
        <v>31</v>
      </c>
      <c r="H6" s="16" t="s">
        <v>32</v>
      </c>
    </row>
    <row r="7" spans="1:8" ht="38.25" x14ac:dyDescent="0.4">
      <c r="B7" s="3" t="s">
        <v>29</v>
      </c>
      <c r="C7" s="3" t="s">
        <v>29</v>
      </c>
      <c r="D7" s="3" t="s">
        <v>29</v>
      </c>
      <c r="E7" s="16" t="s">
        <v>34</v>
      </c>
      <c r="G7" s="16" t="s">
        <v>24</v>
      </c>
      <c r="H7" s="16" t="s">
        <v>35</v>
      </c>
    </row>
    <row r="8" spans="1:8" x14ac:dyDescent="0.4">
      <c r="B8" s="3" t="s">
        <v>33</v>
      </c>
      <c r="C8" s="3" t="s">
        <v>33</v>
      </c>
      <c r="D8" s="3" t="s">
        <v>33</v>
      </c>
      <c r="E8" s="16"/>
      <c r="G8" s="16"/>
      <c r="H8" s="16" t="s">
        <v>65</v>
      </c>
    </row>
    <row r="9" spans="1:8" x14ac:dyDescent="0.4">
      <c r="B9" s="1" t="s">
        <v>24</v>
      </c>
      <c r="C9" s="1" t="s">
        <v>24</v>
      </c>
      <c r="D9" s="1" t="s">
        <v>24</v>
      </c>
      <c r="E9" s="16"/>
      <c r="F9" s="15"/>
      <c r="G9" s="16"/>
      <c r="H9" s="16" t="s">
        <v>60</v>
      </c>
    </row>
    <row r="10" spans="1:8" x14ac:dyDescent="0.4">
      <c r="C10" s="16"/>
      <c r="D10" s="16"/>
      <c r="H10" s="16"/>
    </row>
    <row r="12" spans="1:8" x14ac:dyDescent="0.4">
      <c r="A12" s="1" t="s">
        <v>36</v>
      </c>
      <c r="B12" s="1" t="s">
        <v>37</v>
      </c>
      <c r="C12" s="1" t="s">
        <v>24</v>
      </c>
    </row>
    <row r="13" spans="1:8" ht="51" x14ac:dyDescent="0.4">
      <c r="A13" s="1" t="s">
        <v>38</v>
      </c>
      <c r="B13" s="3" t="s">
        <v>39</v>
      </c>
    </row>
    <row r="14" spans="1:8" ht="38.25" x14ac:dyDescent="0.4">
      <c r="B14" s="3" t="s">
        <v>51</v>
      </c>
      <c r="C14" s="11" t="s">
        <v>52</v>
      </c>
      <c r="D14" s="11" t="s">
        <v>52</v>
      </c>
    </row>
    <row r="15" spans="1:8" ht="25.5" x14ac:dyDescent="0.4">
      <c r="B15" s="3" t="s">
        <v>40</v>
      </c>
      <c r="C15" s="11" t="s">
        <v>52</v>
      </c>
      <c r="D15" s="11" t="s">
        <v>52</v>
      </c>
    </row>
    <row r="16" spans="1:8" ht="51" x14ac:dyDescent="0.4">
      <c r="B16" s="3" t="s">
        <v>41</v>
      </c>
      <c r="C16" s="11" t="s">
        <v>52</v>
      </c>
      <c r="D16" s="11" t="s">
        <v>52</v>
      </c>
    </row>
    <row r="17" spans="2:4" ht="51" x14ac:dyDescent="0.4">
      <c r="B17" s="3" t="s">
        <v>42</v>
      </c>
      <c r="C17" s="11" t="s">
        <v>52</v>
      </c>
      <c r="D17" s="11" t="s">
        <v>52</v>
      </c>
    </row>
    <row r="18" spans="2:4" ht="51" x14ac:dyDescent="0.4">
      <c r="B18" s="3" t="s">
        <v>43</v>
      </c>
      <c r="C18" s="11" t="s">
        <v>52</v>
      </c>
      <c r="D18" s="11" t="s">
        <v>52</v>
      </c>
    </row>
    <row r="19" spans="2:4" ht="51" x14ac:dyDescent="0.4">
      <c r="B19" s="3" t="s">
        <v>44</v>
      </c>
      <c r="C19" s="11" t="s">
        <v>52</v>
      </c>
      <c r="D19" s="11" t="s">
        <v>52</v>
      </c>
    </row>
    <row r="20" spans="2:4" ht="51" x14ac:dyDescent="0.4">
      <c r="B20" s="3" t="s">
        <v>45</v>
      </c>
      <c r="C20" s="11" t="s">
        <v>52</v>
      </c>
      <c r="D20" s="11" t="s">
        <v>52</v>
      </c>
    </row>
    <row r="21" spans="2:4" ht="38.25" x14ac:dyDescent="0.4">
      <c r="B21" s="3" t="s">
        <v>57</v>
      </c>
      <c r="C21" s="11" t="s">
        <v>52</v>
      </c>
      <c r="D21" s="11" t="s">
        <v>52</v>
      </c>
    </row>
    <row r="22" spans="2:4" ht="38.25" x14ac:dyDescent="0.4">
      <c r="B22" s="3" t="s">
        <v>46</v>
      </c>
      <c r="C22" s="11" t="s">
        <v>52</v>
      </c>
      <c r="D22" s="11" t="s">
        <v>52</v>
      </c>
    </row>
    <row r="23" spans="2:4" ht="38.25" x14ac:dyDescent="0.4">
      <c r="B23" s="3" t="s">
        <v>58</v>
      </c>
      <c r="C23" s="11" t="s">
        <v>52</v>
      </c>
      <c r="D23" s="11" t="s">
        <v>52</v>
      </c>
    </row>
    <row r="24" spans="2:4" ht="38.25" x14ac:dyDescent="0.4">
      <c r="B24" s="3" t="s">
        <v>59</v>
      </c>
      <c r="C24" s="11"/>
      <c r="D24" s="11"/>
    </row>
    <row r="25" spans="2:4" ht="76.5" x14ac:dyDescent="0.4">
      <c r="B25" s="3" t="s">
        <v>50</v>
      </c>
      <c r="C25" s="11" t="s">
        <v>52</v>
      </c>
      <c r="D25" s="11" t="s">
        <v>52</v>
      </c>
    </row>
    <row r="26" spans="2:4" ht="38.25" x14ac:dyDescent="0.4">
      <c r="B26" s="3" t="s">
        <v>47</v>
      </c>
      <c r="C26" s="11" t="s">
        <v>52</v>
      </c>
      <c r="D26" s="11" t="s">
        <v>52</v>
      </c>
    </row>
    <row r="27" spans="2:4" ht="38.25" x14ac:dyDescent="0.4">
      <c r="B27" s="3" t="s">
        <v>48</v>
      </c>
      <c r="C27" s="11" t="s">
        <v>52</v>
      </c>
      <c r="D27" s="11" t="s">
        <v>52</v>
      </c>
    </row>
    <row r="28" spans="2:4" ht="25.5" x14ac:dyDescent="0.4">
      <c r="B28" s="3" t="s">
        <v>49</v>
      </c>
      <c r="C28" s="11" t="s">
        <v>52</v>
      </c>
      <c r="D28" s="11" t="s">
        <v>52</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qiannanhai(海倩楠)</cp:lastModifiedBy>
  <dcterms:created xsi:type="dcterms:W3CDTF">2024-12-10T02:24:00Z</dcterms:created>
  <dcterms:modified xsi:type="dcterms:W3CDTF">2025-12-02T09:19:49Z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