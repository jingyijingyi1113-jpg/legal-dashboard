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5.10\"/>
    </mc:Choice>
  </mc:AlternateContent>
  <xr:revisionPtr revIDLastSave="0" documentId="13_ncr:1_{1DA86BFC-AD70-4EC0-A8A5-080A08DB12D7}"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<sst xmlns="http://schemas.openxmlformats.org/spreadsheetml/2006/main" count="209" uniqueCount="102">
  <si>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</si>
  <si>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</si>
  <si>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</si>
  <si>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</si>
  <si>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</si>
  <si>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</si>
  <si>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</si>
  <si>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</si>
  <si>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</si>
  <si>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</si>
  <si>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</si>
  <si>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</si>
  <si>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</si>
  <si>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</si>
  <si>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</si>
  <si>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</si>
  <si>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</si>
  <si>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</si>
  <si>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</si>
  <si>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</si>
  <si>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</si>
  <si>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</si>
  <si>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</si>
  <si>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</si>
  <si>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</si>
  <si>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</si>
  <si>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</si>
  <si>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</si>
  <si>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</si>
  <si>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</si>
  <si>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</si>
  <si>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</si>
  <si>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</si>
  <si>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</si>
  <si>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</si>
  <si>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</si>
  <si>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</si>
  <si>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</si>
  <si>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</si>
  <si>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</si>
  <si>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</si>
  <si>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</si>
  <si>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</si>
  <si>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</si>
  <si>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</si>
  <si>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</si>
  <si>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</si>
  <si>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</si>
  <si>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</si>
  <si>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</si>
  <si>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</si>
  <si>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</si>
  <si>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</si>
  <si>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</si>
  <si>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</si>
  <si>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</si>
  <si>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</si>
  <si>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</si>
  <si>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</si>
  <si>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</si>
  <si>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</si>
  <si>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</si>
  <si>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</si>
  <si>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</si>
  <si>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</si>
  <si>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</si>
  <si>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</si>
  <si>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</si>
  <si>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</si>
  <si>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</si>
  <si>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</si>
  <si>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</si>
  <si>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</si>
  <si>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</si>
  <si>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</si>
  <si>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</si>
  <si>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极兔中东南美</t>
    <phoneticPr fontId="7" type="noConversion"/>
  </si>
  <si>
    <t>Bitpanda</t>
    <phoneticPr fontId="7" type="noConversion"/>
  </si>
  <si>
    <t>qiannanhai</t>
    <phoneticPr fontId="7" type="noConversion"/>
  </si>
  <si>
    <t>宝可拉</t>
    <phoneticPr fontId="7" type="noConversion"/>
  </si>
  <si>
    <t>重庆东金</t>
    <phoneticPr fontId="7" type="noConversion"/>
  </si>
  <si>
    <t>小药药</t>
    <phoneticPr fontId="7" type="noConversion"/>
  </si>
  <si>
    <t>光启元</t>
    <phoneticPr fontId="7" type="noConversion"/>
  </si>
  <si>
    <t>和业务、律师沟通公司注销后腾讯的潜在责任，目前协议的违约情况以及后续付款处理方式</t>
    <phoneticPr fontId="7" type="noConversion"/>
  </si>
  <si>
    <t>云畅</t>
    <phoneticPr fontId="7" type="noConversion"/>
  </si>
  <si>
    <t>沟通回购条件是否触发以及商业退出诉求</t>
    <phoneticPr fontId="7" type="noConversion"/>
  </si>
  <si>
    <t>Recording/reviewing deals updates/weekly time reports/other team summaries</t>
  </si>
  <si>
    <t>和律师沟通调查背景及商业诉求，参与调查进展会</t>
    <phoneticPr fontId="7" type="noConversion"/>
  </si>
  <si>
    <t>水果堂</t>
    <phoneticPr fontId="7" type="noConversion"/>
  </si>
  <si>
    <t>BSC</t>
    <phoneticPr fontId="7" type="noConversion"/>
  </si>
  <si>
    <t>审阅及反馈减资协议和借款协议</t>
    <phoneticPr fontId="7" type="noConversion"/>
  </si>
  <si>
    <t>修改及沟通还款协议，回复财务关于减持的问题</t>
    <phoneticPr fontId="7" type="noConversion"/>
  </si>
  <si>
    <t>和PA沟通对监管问题的回复，和律师讨论资本市场穿透规则及历史披露实控人情况；和MA沟通项目进展</t>
    <phoneticPr fontId="7" type="noConversion"/>
  </si>
  <si>
    <t>和公司电话沟通上翻新方案，进一步反馈待公司补充信息</t>
    <phoneticPr fontId="7" type="noConversion"/>
  </si>
  <si>
    <t>deals update+weekly time reports+UBO需求汇总</t>
    <phoneticPr fontId="7" type="noConversion"/>
  </si>
  <si>
    <t>审阅公司反馈的TS，和MA/IEG沟通pending issues并准备给scopely的反馈稿</t>
    <phoneticPr fontId="7" type="noConversion"/>
  </si>
  <si>
    <t>东鹏</t>
    <phoneticPr fontId="7" type="noConversion"/>
  </si>
  <si>
    <t>审阅TPP对CIA的反馈意见</t>
    <phoneticPr fontId="7" type="noConversion"/>
  </si>
  <si>
    <t>审阅及反馈董事会决议，和财务、IEG沟通相关议案，审阅公司更新的版本，安排签字及释放签字页</t>
    <phoneticPr fontId="7" type="noConversion"/>
  </si>
  <si>
    <t>海云</t>
    <phoneticPr fontId="7" type="noConversion"/>
  </si>
  <si>
    <t>和deal team电话讨论公司分拆新方案及注意事项，和律师讨论对公司后续IPO的影响</t>
    <phoneticPr fontId="7" type="noConversion"/>
  </si>
  <si>
    <t>协调各方完成交割</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</si>
</sst>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9" fillId="0" borderId="16" xfId="0" applyFont="1" applyBorder="1" applyAlignment="1">
      <alignment vertical="center" wrapText="1"/>
    </xf>
    <xf numFmtId="0" fontId="9" fillId="0" borderId="16" xfId="0" applyFont="1" applyBorder="1">
      <alignment vertical="center"/>
    </xf>
    <xf numFmtId="0" fontId="9" fillId="0" borderId="11" xfId="0" applyFont="1" applyBorder="1" applyAlignment="1">
      <alignment vertical="center" wrapText="1"/>
    </xf>
    <xf numFmtId="0" fontId="1" fillId="0" borderId="4" xfId="0" applyFont="1" applyBorder="1" applyAlignment="1">
      <alignment vertical="center" wrapText="1"/>
    </xf>
    <xf numFmtId="0" fontId="5" fillId="0" borderId="16"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B3" zoomScale="90" zoomScaleNormal="90" workbookViewId="0">
      <selection activeCell="C22" sqref="C22"/>
    </sheetView>
  </sheetViews>
  <sheetFormatPr defaultColWidth="9" defaultRowHeight="13.9" x14ac:dyDescent="0.4"/>
  <cols>
    <col min="3" max="3" width="34.33203125" style="15" customWidth="1"/>
    <col min="4" max="4" width="15.1328125" customWidth="1"/>
    <col min="5" max="5" width="10.6640625" customWidth="1"/>
    <col min="6" max="6" width="29.796875" style="15" customWidth="1"/>
    <col min="8" max="8" width="41.6640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8.05" customHeight="1" x14ac:dyDescent="0.4">
      <c r="B3" s="6" t="s">
        <v>5</v>
      </c>
      <c r="C3" s="7" t="s">
        <v>6</v>
      </c>
      <c r="D3" s="7" t="s">
        <v>7</v>
      </c>
      <c r="E3" s="7" t="s">
        <v>71</v>
      </c>
      <c r="F3" s="7" t="s">
        <v>74</v>
      </c>
      <c r="G3" s="7" t="s">
        <v>8</v>
      </c>
      <c r="H3" s="7" t="s">
        <v>9</v>
      </c>
      <c r="I3" s="11" t="s">
        <v>10</v>
      </c>
    </row>
    <row r="4" spans="2:9" ht="38.25" x14ac:dyDescent="0.4">
      <c r="B4" s="16" t="s">
        <v>78</v>
      </c>
      <c r="C4" s="14" t="s">
        <v>12</v>
      </c>
      <c r="D4" s="27" t="s">
        <v>75</v>
      </c>
      <c r="E4" s="9" t="s">
        <v>37</v>
      </c>
      <c r="F4" s="14" t="s">
        <v>70</v>
      </c>
      <c r="G4" s="9">
        <v>3.7</v>
      </c>
      <c r="H4" s="14" t="s">
        <v>66</v>
      </c>
      <c r="I4" s="28" t="s">
        <v>98</v>
      </c>
    </row>
    <row r="5" spans="2:9" ht="25.5" x14ac:dyDescent="0.4">
      <c r="B5" s="16" t="s">
        <v>78</v>
      </c>
      <c r="C5" s="14" t="s">
        <v>12</v>
      </c>
      <c r="D5" s="27" t="s">
        <v>75</v>
      </c>
      <c r="E5" s="9" t="s">
        <v>37</v>
      </c>
      <c r="F5" s="14" t="s">
        <v>70</v>
      </c>
      <c r="G5" s="9">
        <v>8.6</v>
      </c>
      <c r="H5" s="14" t="s">
        <v>66</v>
      </c>
      <c r="I5" s="28" t="s">
        <v>91</v>
      </c>
    </row>
    <row r="6" spans="2:9" ht="25.5" x14ac:dyDescent="0.4">
      <c r="B6" s="16" t="s">
        <v>78</v>
      </c>
      <c r="C6" s="14" t="s">
        <v>12</v>
      </c>
      <c r="D6" s="27" t="s">
        <v>76</v>
      </c>
      <c r="E6" s="9" t="s">
        <v>37</v>
      </c>
      <c r="F6" s="14" t="s">
        <v>70</v>
      </c>
      <c r="G6" s="9">
        <v>1.7</v>
      </c>
      <c r="H6" s="14" t="s">
        <v>68</v>
      </c>
      <c r="I6" s="28" t="s">
        <v>93</v>
      </c>
    </row>
    <row r="7" spans="2:9" ht="25.5" x14ac:dyDescent="0.4">
      <c r="B7" s="16" t="s">
        <v>78</v>
      </c>
      <c r="C7" s="14" t="s">
        <v>12</v>
      </c>
      <c r="D7" s="27" t="s">
        <v>77</v>
      </c>
      <c r="E7" s="9" t="s">
        <v>37</v>
      </c>
      <c r="F7" s="14" t="s">
        <v>70</v>
      </c>
      <c r="G7" s="9">
        <v>1</v>
      </c>
      <c r="H7" s="14" t="s">
        <v>68</v>
      </c>
      <c r="I7" s="28" t="s">
        <v>101</v>
      </c>
    </row>
    <row r="8" spans="2:9" ht="25.5" x14ac:dyDescent="0.4">
      <c r="B8" s="16" t="s">
        <v>78</v>
      </c>
      <c r="C8" s="14" t="s">
        <v>12</v>
      </c>
      <c r="D8" s="27" t="s">
        <v>79</v>
      </c>
      <c r="E8" s="9" t="s">
        <v>37</v>
      </c>
      <c r="F8" s="14" t="s">
        <v>70</v>
      </c>
      <c r="G8" s="9">
        <v>1.9</v>
      </c>
      <c r="H8" s="14" t="s">
        <v>66</v>
      </c>
      <c r="I8" s="28" t="s">
        <v>95</v>
      </c>
    </row>
    <row r="9" spans="2:9" ht="38.25" x14ac:dyDescent="0.4">
      <c r="B9" s="16" t="s">
        <v>78</v>
      </c>
      <c r="C9" s="29" t="s">
        <v>12</v>
      </c>
      <c r="D9" s="30" t="s">
        <v>80</v>
      </c>
      <c r="E9" s="30" t="s">
        <v>37</v>
      </c>
      <c r="F9" s="29" t="s">
        <v>70</v>
      </c>
      <c r="G9" s="9">
        <v>2.7</v>
      </c>
      <c r="H9" s="14" t="s">
        <v>33</v>
      </c>
      <c r="I9" s="31" t="s">
        <v>92</v>
      </c>
    </row>
    <row r="10" spans="2:9" ht="25.5" x14ac:dyDescent="0.4">
      <c r="B10" s="16" t="s">
        <v>78</v>
      </c>
      <c r="C10" s="14" t="s">
        <v>12</v>
      </c>
      <c r="D10" s="30" t="s">
        <v>88</v>
      </c>
      <c r="E10" s="30" t="s">
        <v>89</v>
      </c>
      <c r="F10" s="14" t="s">
        <v>70</v>
      </c>
      <c r="G10" s="9">
        <v>2.2999999999999998</v>
      </c>
      <c r="H10" s="32" t="s">
        <v>67</v>
      </c>
      <c r="I10" s="31" t="s">
        <v>90</v>
      </c>
    </row>
    <row r="11" spans="2:9" ht="25.5" x14ac:dyDescent="0.4">
      <c r="B11" s="16" t="s">
        <v>78</v>
      </c>
      <c r="C11" s="14" t="s">
        <v>12</v>
      </c>
      <c r="D11" s="30" t="s">
        <v>96</v>
      </c>
      <c r="E11" s="30" t="s">
        <v>89</v>
      </c>
      <c r="F11" s="33" t="s">
        <v>70</v>
      </c>
      <c r="G11" s="9">
        <v>0.5</v>
      </c>
      <c r="H11" s="32" t="s">
        <v>66</v>
      </c>
      <c r="I11" s="31" t="s">
        <v>97</v>
      </c>
    </row>
    <row r="12" spans="2:9" ht="25.5" x14ac:dyDescent="0.4">
      <c r="B12" s="16" t="s">
        <v>78</v>
      </c>
      <c r="C12" s="14" t="s">
        <v>12</v>
      </c>
      <c r="D12" s="30" t="s">
        <v>99</v>
      </c>
      <c r="E12" s="30" t="s">
        <v>89</v>
      </c>
      <c r="F12" s="33" t="s">
        <v>70</v>
      </c>
      <c r="G12" s="9">
        <v>2</v>
      </c>
      <c r="H12" s="32" t="s">
        <v>68</v>
      </c>
      <c r="I12" s="31" t="s">
        <v>100</v>
      </c>
    </row>
    <row r="13" spans="2:9" ht="25.5" x14ac:dyDescent="0.4">
      <c r="B13" s="16" t="s">
        <v>78</v>
      </c>
      <c r="C13" s="14" t="s">
        <v>14</v>
      </c>
      <c r="D13" s="30" t="s">
        <v>81</v>
      </c>
      <c r="E13" s="30" t="s">
        <v>37</v>
      </c>
      <c r="F13" s="29" t="s">
        <v>70</v>
      </c>
      <c r="G13" s="9">
        <v>1.6</v>
      </c>
      <c r="H13" s="14" t="s">
        <v>33</v>
      </c>
      <c r="I13" s="31" t="s">
        <v>87</v>
      </c>
    </row>
    <row r="14" spans="2:9" ht="25.5" x14ac:dyDescent="0.4">
      <c r="B14" s="16" t="s">
        <v>78</v>
      </c>
      <c r="C14" s="14" t="s">
        <v>14</v>
      </c>
      <c r="D14" s="30" t="s">
        <v>82</v>
      </c>
      <c r="E14" s="30" t="s">
        <v>37</v>
      </c>
      <c r="F14" s="29" t="s">
        <v>70</v>
      </c>
      <c r="G14" s="9">
        <v>1.4</v>
      </c>
      <c r="H14" s="14" t="s">
        <v>68</v>
      </c>
      <c r="I14" s="31" t="s">
        <v>83</v>
      </c>
    </row>
    <row r="15" spans="2:9" ht="25.5" x14ac:dyDescent="0.4">
      <c r="B15" s="16" t="s">
        <v>78</v>
      </c>
      <c r="C15" s="14" t="s">
        <v>14</v>
      </c>
      <c r="D15" s="27" t="s">
        <v>84</v>
      </c>
      <c r="E15" s="9" t="s">
        <v>37</v>
      </c>
      <c r="F15" s="14" t="s">
        <v>70</v>
      </c>
      <c r="G15" s="9">
        <v>1.2</v>
      </c>
      <c r="H15" s="14" t="s">
        <v>68</v>
      </c>
      <c r="I15" s="28" t="s">
        <v>85</v>
      </c>
    </row>
    <row r="16" spans="2:9" ht="25.5" x14ac:dyDescent="0.4">
      <c r="B16" s="16" t="s">
        <v>78</v>
      </c>
      <c r="C16" s="14" t="s">
        <v>16</v>
      </c>
      <c r="D16" s="27"/>
      <c r="E16" s="9" t="s">
        <v>24</v>
      </c>
      <c r="F16" s="14"/>
      <c r="G16" s="9">
        <v>2.1</v>
      </c>
      <c r="H16" s="14" t="s">
        <v>86</v>
      </c>
      <c r="I16" s="28" t="s">
        <v>94</v>
      </c>
    </row>
    <row r="17" spans="2:9" x14ac:dyDescent="0.4">
      <c r="B17" s="16" t="s">
        <v>78</v>
      </c>
      <c r="C17" s="14" t="s">
        <v>16</v>
      </c>
      <c r="D17" s="27"/>
      <c r="E17" s="9" t="s">
        <v>24</v>
      </c>
      <c r="F17" s="14"/>
      <c r="G17" s="9">
        <v>1.5</v>
      </c>
      <c r="H17" s="14" t="s">
        <v>21</v>
      </c>
      <c r="I17" s="28"/>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22"/>
      <c r="C20" s="23"/>
      <c r="D20" s="24"/>
      <c r="E20" s="24"/>
      <c r="F20" s="26" t="s">
        <v>61</v>
      </c>
      <c r="G20" s="37">
        <f>SUM(G4:G19)</f>
        <v>32.200000000000003</v>
      </c>
      <c r="H20" s="38"/>
      <c r="I20" s="39"/>
    </row>
    <row r="21" spans="2:9" ht="14.25" thickBot="1" x14ac:dyDescent="0.45">
      <c r="B21" s="19"/>
      <c r="C21" s="20"/>
      <c r="D21" s="21"/>
      <c r="E21" s="21"/>
      <c r="F21" s="25" t="s">
        <v>62</v>
      </c>
      <c r="G21" s="34">
        <v>5</v>
      </c>
      <c r="H21" s="35"/>
      <c r="I21" s="36"/>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8 F15:F19 F10: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C10:C21 C4:C8</xm:sqref>
        </x14:dataValidation>
        <x14:dataValidation type="list" allowBlank="1" showInputMessage="1" showErrorMessage="1" xr:uid="{00000000-0002-0000-0000-000003000000}">
          <x14:formula1>
            <xm:f>数据标签!$B$12:$C$12</xm:f>
          </x14:formula1>
          <xm:sqref>E15:E21 E4:E8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6640625" style="1" customWidth="1"/>
    <col min="8" max="8" width="27.332031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18"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3" t="s">
        <v>51</v>
      </c>
      <c r="C14" s="13" t="s">
        <v>52</v>
      </c>
      <c r="D14" s="13" t="s">
        <v>52</v>
      </c>
    </row>
    <row r="15" spans="1:8" ht="25.5" x14ac:dyDescent="0.4">
      <c r="B15" s="3" t="s">
        <v>40</v>
      </c>
      <c r="C15" s="13" t="s">
        <v>52</v>
      </c>
      <c r="D15" s="13" t="s">
        <v>52</v>
      </c>
    </row>
    <row r="16" spans="1:8" ht="51" x14ac:dyDescent="0.4">
      <c r="B16" s="3" t="s">
        <v>41</v>
      </c>
      <c r="C16" s="13" t="s">
        <v>52</v>
      </c>
      <c r="D16" s="13" t="s">
        <v>52</v>
      </c>
    </row>
    <row r="17" spans="2:4" ht="51" x14ac:dyDescent="0.4">
      <c r="B17" s="3" t="s">
        <v>42</v>
      </c>
      <c r="C17" s="13" t="s">
        <v>52</v>
      </c>
      <c r="D17" s="13" t="s">
        <v>52</v>
      </c>
    </row>
    <row r="18" spans="2:4" ht="51" x14ac:dyDescent="0.4">
      <c r="B18" s="3" t="s">
        <v>43</v>
      </c>
      <c r="C18" s="13" t="s">
        <v>52</v>
      </c>
      <c r="D18" s="13" t="s">
        <v>52</v>
      </c>
    </row>
    <row r="19" spans="2:4" ht="51" x14ac:dyDescent="0.4">
      <c r="B19" s="3" t="s">
        <v>44</v>
      </c>
      <c r="C19" s="13" t="s">
        <v>52</v>
      </c>
      <c r="D19" s="13" t="s">
        <v>52</v>
      </c>
    </row>
    <row r="20" spans="2:4" ht="51" x14ac:dyDescent="0.4">
      <c r="B20" s="3" t="s">
        <v>45</v>
      </c>
      <c r="C20" s="13" t="s">
        <v>52</v>
      </c>
      <c r="D20" s="13" t="s">
        <v>52</v>
      </c>
    </row>
    <row r="21" spans="2:4" ht="38.25" x14ac:dyDescent="0.4">
      <c r="B21" s="3" t="s">
        <v>57</v>
      </c>
      <c r="C21" s="13" t="s">
        <v>52</v>
      </c>
      <c r="D21" s="13" t="s">
        <v>52</v>
      </c>
    </row>
    <row r="22" spans="2:4" ht="38.25" x14ac:dyDescent="0.4">
      <c r="B22" s="3" t="s">
        <v>46</v>
      </c>
      <c r="C22" s="13" t="s">
        <v>52</v>
      </c>
      <c r="D22" s="13" t="s">
        <v>52</v>
      </c>
    </row>
    <row r="23" spans="2:4" ht="38.25" x14ac:dyDescent="0.4">
      <c r="B23" s="3" t="s">
        <v>58</v>
      </c>
      <c r="C23" s="13" t="s">
        <v>52</v>
      </c>
      <c r="D23" s="13" t="s">
        <v>52</v>
      </c>
    </row>
    <row r="24" spans="2:4" ht="38.25" x14ac:dyDescent="0.4">
      <c r="B24" s="3" t="s">
        <v>59</v>
      </c>
      <c r="C24" s="13"/>
      <c r="D24" s="13"/>
    </row>
    <row r="25" spans="2:4" ht="76.5" x14ac:dyDescent="0.4">
      <c r="B25" s="3" t="s">
        <v>50</v>
      </c>
      <c r="C25" s="13" t="s">
        <v>52</v>
      </c>
      <c r="D25" s="13" t="s">
        <v>52</v>
      </c>
    </row>
    <row r="26" spans="2:4" ht="38.25" x14ac:dyDescent="0.4">
      <c r="B26" s="3" t="s">
        <v>47</v>
      </c>
      <c r="C26" s="13" t="s">
        <v>52</v>
      </c>
      <c r="D26" s="13" t="s">
        <v>52</v>
      </c>
    </row>
    <row r="27" spans="2:4" ht="38.25" x14ac:dyDescent="0.4">
      <c r="B27" s="3" t="s">
        <v>48</v>
      </c>
      <c r="C27" s="13" t="s">
        <v>52</v>
      </c>
      <c r="D27" s="13" t="s">
        <v>52</v>
      </c>
    </row>
    <row r="28" spans="2:4" ht="25.5" x14ac:dyDescent="0.4">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2025-12-02T09:07:03Z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