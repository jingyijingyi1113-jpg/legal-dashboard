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094D8DC4-E4AC-4ED4-91D5-8E3AD0BDA4D6}"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<sst xmlns="http://schemas.openxmlformats.org/spreadsheetml/2006/main" count="212" uniqueCount="104">
  <si>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</si>
  <si>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</si>
  <si>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</si>
  <si>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</si>
  <si>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</si>
  <si>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</si>
  <si>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</si>
  <si>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</si>
  <si>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</si>
  <si>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</si>
  <si>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</si>
  <si>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</si>
  <si>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</si>
  <si>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</si>
  <si>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</si>
  <si>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</si>
  <si>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</si>
  <si>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</si>
  <si>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</si>
  <si>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</si>
  <si>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</si>
  <si>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</si>
  <si>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</si>
  <si>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</si>
  <si>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</si>
  <si>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</si>
  <si>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</si>
  <si>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</si>
  <si>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</si>
  <si>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</si>
  <si>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</si>
  <si>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</si>
  <si>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</si>
  <si>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</si>
  <si>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</si>
  <si>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</si>
  <si>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</si>
  <si>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</si>
  <si>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</si>
  <si>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</si>
  <si>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</si>
  <si>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</si>
  <si>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</si>
  <si>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</si>
  <si>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</si>
  <si>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</si>
  <si>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</si>
  <si>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</si>
  <si>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</si>
  <si>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</si>
  <si>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</si>
  <si>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</si>
  <si>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</si>
  <si>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</si>
  <si>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</si>
  <si>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</si>
  <si>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</si>
  <si>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</si>
  <si>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</si>
  <si>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</si>
  <si>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</si>
  <si>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</si>
  <si>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</si>
  <si>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</si>
  <si>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</si>
  <si>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</si>
  <si>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</si>
  <si>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</si>
  <si>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</si>
  <si>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</si>
  <si>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</si>
  <si>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</si>
  <si>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</si>
  <si>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</si>
  <si>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灵游坊</t>
    <phoneticPr fontId="7" type="noConversion"/>
  </si>
  <si>
    <t>证券投资咨询牌照收购</t>
    <phoneticPr fontId="7" type="noConversion"/>
  </si>
  <si>
    <t>极兔</t>
    <phoneticPr fontId="7" type="noConversion"/>
  </si>
  <si>
    <t>Public - Knowledge Accumulation &amp; Sharing</t>
  </si>
  <si>
    <t>呦尔哈</t>
    <phoneticPr fontId="7" type="noConversion"/>
  </si>
  <si>
    <t>Recording/reviewing deals updates/weekly time reports/other team summaries</t>
  </si>
  <si>
    <t>曦智</t>
    <phoneticPr fontId="7" type="noConversion"/>
  </si>
  <si>
    <t>Investment Related - M&amp;A Deal</t>
    <phoneticPr fontId="7" type="noConversion"/>
  </si>
  <si>
    <t>全速在线</t>
    <phoneticPr fontId="7" type="noConversion"/>
  </si>
  <si>
    <t>BSC</t>
    <phoneticPr fontId="7" type="noConversion"/>
  </si>
  <si>
    <t>墨奇</t>
    <phoneticPr fontId="7" type="noConversion"/>
  </si>
  <si>
    <t>Reviewing, commenting on and finalizing the TS updated by IDG, con-call with all parties to discuss the remaining issues under TS; reviewing, commenting on the updated Note agreements, MAA for new Cayman company and closing documents; disucuss with deal team and company re the same</t>
    <phoneticPr fontId="7" type="noConversion"/>
  </si>
  <si>
    <t>Reviewing and revising the updated key issues list, internal reporting materials and SPA, discussing with deal team and external counsel re the same</t>
    <phoneticPr fontId="7" type="noConversion"/>
  </si>
  <si>
    <t>Discussing with agent re documents to be signed for the annual filing, discussing with Maples for payment of invoices</t>
    <phoneticPr fontId="7" type="noConversion"/>
  </si>
  <si>
    <t>Reviewing and finalizing the supplemental agreement for price adjustment, discussing the same with founder, deal team and external counsel</t>
    <phoneticPr fontId="7" type="noConversion"/>
  </si>
  <si>
    <t xml:space="preserve">Reviewing and finalizing the C4 round financing documents; preparing KYC documents; arranging siging </t>
    <phoneticPr fontId="7" type="noConversion"/>
  </si>
  <si>
    <t>Reviewing, commenting on and finalizing the new financing documents, reviewing the closing documents and discussing issues under DS with company</t>
    <phoneticPr fontId="7" type="noConversion"/>
  </si>
  <si>
    <t>Discussing with MA re current status of Beijing company and potential share restructuring, discussing with export control team re our risk for attending shareholder meeting</t>
    <phoneticPr fontId="7" type="noConversion"/>
  </si>
  <si>
    <t>Omi</t>
    <phoneticPr fontId="7" type="noConversion"/>
  </si>
  <si>
    <t>Discussing pending issues with deal team and company; reviewing and finalizing transaction documents and closing documents</t>
    <phoneticPr fontId="7" type="noConversion"/>
  </si>
  <si>
    <t>黑芝麻</t>
    <phoneticPr fontId="7" type="noConversion"/>
  </si>
  <si>
    <t>Reviewing documents prepared for dematerialization; discussing the procedures with deal team</t>
    <phoneticPr fontId="7" type="noConversion"/>
  </si>
  <si>
    <t>TGIF隆匠</t>
    <phoneticPr fontId="7" type="noConversion"/>
  </si>
  <si>
    <t>Dealing with 入库</t>
    <phoneticPr fontId="7" type="noConversion"/>
  </si>
  <si>
    <t>齐聚</t>
    <phoneticPr fontId="7" type="noConversion"/>
  </si>
  <si>
    <t>Discussing the resgination of supervisor with MA</t>
    <phoneticPr fontId="7" type="noConversion"/>
  </si>
  <si>
    <t>众乐童乐</t>
    <phoneticPr fontId="7" type="noConversion"/>
  </si>
  <si>
    <t>Reviewing the resignation documents of director</t>
    <phoneticPr fontId="7" type="noConversion"/>
  </si>
  <si>
    <t>Recording deals updated and weekly time reports; reviewing and commenting on "投资公司风险自查信息表” for 海云 and Volex</t>
    <phoneticPr fontId="7" type="noConversion"/>
  </si>
  <si>
    <t>Participating training session re "Changes to UK Listing Rules and PISCES Sandbox Framework"</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</si>
</sst>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1"/>
  <sheetViews>
    <sheetView tabSelected="1" topLeftCell="A3" zoomScale="90" zoomScaleNormal="90" workbookViewId="0">
      <selection activeCell="H20" sqref="H20"/>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89.25" x14ac:dyDescent="0.4">
      <c r="B4" s="16" t="s">
        <v>72</v>
      </c>
      <c r="C4" s="14" t="s">
        <v>14</v>
      </c>
      <c r="D4" s="29" t="s">
        <v>74</v>
      </c>
      <c r="E4" s="9" t="s">
        <v>40</v>
      </c>
      <c r="F4" s="14" t="s">
        <v>73</v>
      </c>
      <c r="G4" s="29">
        <v>10.3</v>
      </c>
      <c r="H4" s="14" t="s">
        <v>20</v>
      </c>
      <c r="I4" s="30" t="s">
        <v>85</v>
      </c>
    </row>
    <row r="5" spans="2:9" ht="38.25" x14ac:dyDescent="0.4">
      <c r="B5" s="16" t="s">
        <v>72</v>
      </c>
      <c r="C5" s="14" t="s">
        <v>14</v>
      </c>
      <c r="D5" s="31" t="s">
        <v>75</v>
      </c>
      <c r="E5" s="9" t="s">
        <v>40</v>
      </c>
      <c r="F5" s="14" t="s">
        <v>73</v>
      </c>
      <c r="G5" s="29">
        <v>4.8</v>
      </c>
      <c r="H5" s="14" t="s">
        <v>20</v>
      </c>
      <c r="I5" s="30" t="s">
        <v>86</v>
      </c>
    </row>
    <row r="6" spans="2:9" ht="38.25" x14ac:dyDescent="0.4">
      <c r="B6" s="16" t="s">
        <v>72</v>
      </c>
      <c r="C6" s="14" t="s">
        <v>14</v>
      </c>
      <c r="D6" s="29" t="s">
        <v>76</v>
      </c>
      <c r="E6" s="9" t="s">
        <v>40</v>
      </c>
      <c r="F6" s="14" t="s">
        <v>73</v>
      </c>
      <c r="G6" s="29">
        <v>1.4</v>
      </c>
      <c r="H6" s="14" t="s">
        <v>20</v>
      </c>
      <c r="I6" s="30" t="s">
        <v>87</v>
      </c>
    </row>
    <row r="7" spans="2:9" ht="51" x14ac:dyDescent="0.4">
      <c r="B7" s="16" t="s">
        <v>72</v>
      </c>
      <c r="C7" s="14" t="s">
        <v>14</v>
      </c>
      <c r="D7" s="29" t="s">
        <v>78</v>
      </c>
      <c r="E7" s="9" t="s">
        <v>40</v>
      </c>
      <c r="F7" s="14" t="s">
        <v>73</v>
      </c>
      <c r="G7" s="9">
        <v>2.5</v>
      </c>
      <c r="H7" s="14" t="s">
        <v>20</v>
      </c>
      <c r="I7" s="30" t="s">
        <v>88</v>
      </c>
    </row>
    <row r="8" spans="2:9" ht="38.25" x14ac:dyDescent="0.4">
      <c r="B8" s="16" t="s">
        <v>72</v>
      </c>
      <c r="C8" s="31" t="s">
        <v>14</v>
      </c>
      <c r="D8" s="29" t="s">
        <v>80</v>
      </c>
      <c r="E8" s="29" t="s">
        <v>40</v>
      </c>
      <c r="F8" s="31" t="s">
        <v>73</v>
      </c>
      <c r="G8" s="29">
        <v>2.8</v>
      </c>
      <c r="H8" s="31" t="s">
        <v>20</v>
      </c>
      <c r="I8" s="30" t="s">
        <v>89</v>
      </c>
    </row>
    <row r="9" spans="2:9" ht="51" x14ac:dyDescent="0.4">
      <c r="B9" s="16" t="s">
        <v>72</v>
      </c>
      <c r="C9" s="31" t="s">
        <v>81</v>
      </c>
      <c r="D9" s="29" t="s">
        <v>82</v>
      </c>
      <c r="E9" s="29" t="s">
        <v>83</v>
      </c>
      <c r="F9" s="31" t="s">
        <v>73</v>
      </c>
      <c r="G9" s="29">
        <v>2.7</v>
      </c>
      <c r="H9" s="31" t="s">
        <v>20</v>
      </c>
      <c r="I9" s="30" t="s">
        <v>90</v>
      </c>
    </row>
    <row r="10" spans="2:9" ht="51" x14ac:dyDescent="0.4">
      <c r="B10" s="16" t="s">
        <v>72</v>
      </c>
      <c r="C10" s="31" t="s">
        <v>81</v>
      </c>
      <c r="D10" s="29" t="s">
        <v>84</v>
      </c>
      <c r="E10" s="29" t="s">
        <v>83</v>
      </c>
      <c r="F10" s="31" t="s">
        <v>73</v>
      </c>
      <c r="G10" s="29">
        <v>2.2999999999999998</v>
      </c>
      <c r="H10" s="31" t="s">
        <v>20</v>
      </c>
      <c r="I10" s="30" t="s">
        <v>91</v>
      </c>
    </row>
    <row r="11" spans="2:9" ht="38.25" x14ac:dyDescent="0.4">
      <c r="B11" s="16" t="s">
        <v>72</v>
      </c>
      <c r="C11" s="31" t="s">
        <v>81</v>
      </c>
      <c r="D11" s="29" t="s">
        <v>92</v>
      </c>
      <c r="E11" s="29" t="s">
        <v>83</v>
      </c>
      <c r="F11" s="31" t="s">
        <v>73</v>
      </c>
      <c r="G11" s="29">
        <v>4.2</v>
      </c>
      <c r="H11" s="31" t="s">
        <v>20</v>
      </c>
      <c r="I11" s="30" t="s">
        <v>93</v>
      </c>
    </row>
    <row r="12" spans="2:9" ht="38.25" x14ac:dyDescent="0.4">
      <c r="B12" s="16" t="s">
        <v>72</v>
      </c>
      <c r="C12" s="31" t="s">
        <v>81</v>
      </c>
      <c r="D12" s="29" t="s">
        <v>94</v>
      </c>
      <c r="E12" s="29" t="s">
        <v>83</v>
      </c>
      <c r="F12" s="31" t="s">
        <v>73</v>
      </c>
      <c r="G12" s="29">
        <v>0.8</v>
      </c>
      <c r="H12" s="31" t="s">
        <v>20</v>
      </c>
      <c r="I12" s="30" t="s">
        <v>95</v>
      </c>
    </row>
    <row r="13" spans="2:9" ht="25.5" x14ac:dyDescent="0.4">
      <c r="B13" s="16" t="s">
        <v>72</v>
      </c>
      <c r="C13" s="31" t="s">
        <v>81</v>
      </c>
      <c r="D13" s="29" t="s">
        <v>96</v>
      </c>
      <c r="E13" s="29" t="s">
        <v>83</v>
      </c>
      <c r="F13" s="31" t="s">
        <v>73</v>
      </c>
      <c r="G13" s="29">
        <v>0.3</v>
      </c>
      <c r="H13" s="31" t="s">
        <v>20</v>
      </c>
      <c r="I13" s="30" t="s">
        <v>97</v>
      </c>
    </row>
    <row r="14" spans="2:9" ht="25.5" x14ac:dyDescent="0.4">
      <c r="B14" s="16" t="s">
        <v>72</v>
      </c>
      <c r="C14" s="31" t="s">
        <v>81</v>
      </c>
      <c r="D14" s="29" t="s">
        <v>98</v>
      </c>
      <c r="E14" s="29" t="s">
        <v>83</v>
      </c>
      <c r="F14" s="31" t="s">
        <v>73</v>
      </c>
      <c r="G14" s="29">
        <v>0.2</v>
      </c>
      <c r="H14" s="31" t="s">
        <v>36</v>
      </c>
      <c r="I14" s="30" t="s">
        <v>99</v>
      </c>
    </row>
    <row r="15" spans="2:9" ht="25.5" x14ac:dyDescent="0.4">
      <c r="B15" s="16" t="s">
        <v>72</v>
      </c>
      <c r="C15" s="31" t="s">
        <v>81</v>
      </c>
      <c r="D15" s="29" t="s">
        <v>100</v>
      </c>
      <c r="E15" s="29" t="s">
        <v>83</v>
      </c>
      <c r="F15" s="31" t="s">
        <v>73</v>
      </c>
      <c r="G15" s="29">
        <v>0.2</v>
      </c>
      <c r="H15" s="31" t="s">
        <v>20</v>
      </c>
      <c r="I15" s="30" t="s">
        <v>101</v>
      </c>
    </row>
    <row r="16" spans="2:9" ht="25.5" x14ac:dyDescent="0.4">
      <c r="B16" s="16" t="s">
        <v>72</v>
      </c>
      <c r="C16" s="14" t="s">
        <v>77</v>
      </c>
      <c r="D16" s="9"/>
      <c r="E16" s="9" t="s">
        <v>27</v>
      </c>
      <c r="F16" s="14"/>
      <c r="G16" s="29">
        <v>1</v>
      </c>
      <c r="H16" s="14" t="s">
        <v>34</v>
      </c>
      <c r="I16" s="30" t="s">
        <v>103</v>
      </c>
    </row>
    <row r="17" spans="2:9" ht="38.25" x14ac:dyDescent="0.4">
      <c r="B17" s="16" t="s">
        <v>72</v>
      </c>
      <c r="C17" s="14" t="s">
        <v>18</v>
      </c>
      <c r="D17" s="9"/>
      <c r="E17" s="9" t="s">
        <v>27</v>
      </c>
      <c r="F17" s="14"/>
      <c r="G17" s="9">
        <v>2.6</v>
      </c>
      <c r="H17" s="14" t="s">
        <v>79</v>
      </c>
      <c r="I17" s="30" t="s">
        <v>102</v>
      </c>
    </row>
    <row r="18" spans="2:9" x14ac:dyDescent="0.4">
      <c r="B18" s="16" t="s">
        <v>72</v>
      </c>
      <c r="C18" s="14" t="s">
        <v>18</v>
      </c>
      <c r="D18" s="9"/>
      <c r="E18" s="9" t="s">
        <v>27</v>
      </c>
      <c r="F18" s="14"/>
      <c r="G18" s="9">
        <v>1.2</v>
      </c>
      <c r="H18" s="14" t="s">
        <v>24</v>
      </c>
      <c r="I18" s="12"/>
    </row>
    <row r="19" spans="2:9" x14ac:dyDescent="0.4">
      <c r="B19" s="8"/>
      <c r="C19" s="14"/>
      <c r="D19" s="9"/>
      <c r="E19" s="9"/>
      <c r="F19" s="14"/>
      <c r="G19" s="9"/>
      <c r="H19" s="14"/>
      <c r="I19" s="12"/>
    </row>
    <row r="20" spans="2:9" x14ac:dyDescent="0.4">
      <c r="B20" s="8"/>
      <c r="C20" s="14"/>
      <c r="D20" s="9"/>
      <c r="E20" s="9"/>
      <c r="F20" s="14"/>
      <c r="G20" s="9"/>
      <c r="H20" s="14"/>
      <c r="I20" s="12"/>
    </row>
    <row r="21" spans="2:9" x14ac:dyDescent="0.4">
      <c r="B21" s="8"/>
      <c r="C21" s="14"/>
      <c r="D21" s="9"/>
      <c r="E21" s="9"/>
      <c r="F21" s="14"/>
      <c r="G21" s="9"/>
      <c r="H21" s="14"/>
      <c r="I21" s="12"/>
    </row>
    <row r="22" spans="2:9" x14ac:dyDescent="0.4">
      <c r="B22" s="8"/>
      <c r="C22" s="14"/>
      <c r="D22" s="9"/>
      <c r="E22" s="9"/>
      <c r="F22" s="14"/>
      <c r="G22" s="9"/>
      <c r="H22" s="14"/>
      <c r="I22" s="12"/>
    </row>
    <row r="23" spans="2:9" x14ac:dyDescent="0.4">
      <c r="B23" s="8"/>
      <c r="C23" s="14"/>
      <c r="D23" s="9"/>
      <c r="E23" s="9"/>
      <c r="F23" s="14"/>
      <c r="G23" s="9"/>
      <c r="H23" s="14"/>
      <c r="I23" s="12"/>
    </row>
    <row r="24" spans="2:9" x14ac:dyDescent="0.4">
      <c r="B24" s="8"/>
      <c r="C24" s="14"/>
      <c r="D24" s="9"/>
      <c r="E24" s="9"/>
      <c r="F24" s="14"/>
      <c r="G24" s="9"/>
      <c r="H24" s="14"/>
      <c r="I24" s="12"/>
    </row>
    <row r="25" spans="2:9" x14ac:dyDescent="0.4">
      <c r="B25" s="8"/>
      <c r="C25" s="14"/>
      <c r="D25" s="9"/>
      <c r="E25" s="9"/>
      <c r="F25" s="14"/>
      <c r="G25" s="9"/>
      <c r="H25" s="14"/>
      <c r="I25" s="12"/>
    </row>
    <row r="26" spans="2:9" x14ac:dyDescent="0.4">
      <c r="B26" s="8"/>
      <c r="C26" s="14"/>
      <c r="D26" s="9"/>
      <c r="E26" s="9"/>
      <c r="F26" s="14"/>
      <c r="G26" s="9"/>
      <c r="H26" s="14"/>
      <c r="I26" s="12"/>
    </row>
    <row r="27" spans="2:9" x14ac:dyDescent="0.4">
      <c r="B27" s="8"/>
      <c r="C27" s="14"/>
      <c r="D27" s="9"/>
      <c r="E27" s="9"/>
      <c r="F27" s="14"/>
      <c r="G27" s="9"/>
      <c r="H27" s="14"/>
      <c r="I27" s="12"/>
    </row>
    <row r="28" spans="2:9" x14ac:dyDescent="0.4">
      <c r="B28" s="8"/>
      <c r="C28" s="14"/>
      <c r="D28" s="9"/>
      <c r="E28" s="9"/>
      <c r="F28" s="14"/>
      <c r="G28" s="9"/>
      <c r="H28" s="14"/>
      <c r="I28" s="12"/>
    </row>
    <row r="29" spans="2:9" x14ac:dyDescent="0.4">
      <c r="B29" s="24"/>
      <c r="C29" s="25"/>
      <c r="D29" s="26"/>
      <c r="E29" s="26"/>
      <c r="F29" s="28" t="s">
        <v>67</v>
      </c>
      <c r="G29" s="35">
        <f>SUM(G3:G28)</f>
        <v>37.300000000000011</v>
      </c>
      <c r="H29" s="36"/>
      <c r="I29" s="37"/>
    </row>
    <row r="30" spans="2:9" ht="14.25" thickBot="1" x14ac:dyDescent="0.45">
      <c r="B30" s="20"/>
      <c r="C30" s="21"/>
      <c r="D30" s="22"/>
      <c r="E30" s="22"/>
      <c r="F30" s="27" t="s">
        <v>68</v>
      </c>
      <c r="G30" s="32">
        <v>5</v>
      </c>
      <c r="H30" s="33"/>
      <c r="I30" s="34"/>
    </row>
    <row r="31" spans="2:9" ht="14.25" thickTop="1" x14ac:dyDescent="0.4"/>
  </sheetData>
  <mergeCells count="2">
    <mergeCell ref="G30:I30"/>
    <mergeCell ref="G29:I29"/>
  </mergeCells>
  <phoneticPr fontId="7" type="noConversion"/>
  <dataValidations count="2">
    <dataValidation type="list" allowBlank="1" showInputMessage="1" showErrorMessage="1" sqref="H4:H28" xr:uid="{00000000-0002-0000-0000-000000000000}">
      <formula1>hh</formula1>
    </dataValidation>
    <dataValidation type="list" allowBlank="1" showInputMessage="1" showErrorMessage="1" sqref="F4:F2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E16:E30 E4:E7</xm:sqref>
        </x14:dataValidation>
        <x14:dataValidation type="list" allowBlank="1" showInputMessage="1" showErrorMessage="1" xr:uid="{00000000-0002-0000-0000-000002000000}">
          <x14:formula1>
            <xm:f>数据标签!$B$2:$H$2</xm:f>
          </x14:formula1>
          <xm:sqref>C16:C30 C4:C7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2025-01-27T07:15:30Z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