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F8ED5556-E5A3-40B5-A7D3-3E10AABA9DAE}"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<sst xmlns="http://schemas.openxmlformats.org/spreadsheetml/2006/main" count="198" uniqueCount="100">
  <si>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</si>
  <si>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</si>
  <si>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</si>
  <si>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</si>
  <si>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</si>
  <si>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</si>
  <si>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</si>
  <si>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</si>
  <si>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</si>
  <si>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</si>
  <si>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</si>
  <si>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</si>
  <si>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</si>
  <si>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</si>
  <si>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</si>
  <si>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</si>
  <si>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</si>
  <si>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</si>
  <si>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</si>
  <si>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</si>
  <si>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</si>
  <si>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</si>
  <si>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</si>
  <si>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</si>
  <si>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</si>
  <si>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</si>
  <si>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</si>
  <si>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</si>
  <si>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</si>
  <si>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</si>
  <si>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</si>
  <si>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</si>
  <si>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</si>
  <si>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</si>
  <si>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</si>
  <si>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</si>
  <si>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</si>
  <si>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</si>
  <si>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</si>
  <si>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</si>
  <si>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</si>
  <si>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</si>
  <si>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</si>
  <si>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</si>
  <si>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</si>
  <si>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</si>
  <si>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</si>
  <si>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</si>
  <si>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</si>
  <si>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</si>
  <si>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</si>
  <si>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</si>
  <si>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</si>
  <si>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</si>
  <si>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</si>
  <si>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</si>
  <si>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</si>
  <si>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</si>
  <si>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</si>
  <si>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</si>
  <si>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</si>
  <si>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</si>
  <si>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</si>
  <si>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</si>
  <si>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</si>
  <si>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</si>
  <si>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</si>
  <si>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</si>
  <si>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</si>
  <si>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</si>
  <si>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</si>
  <si>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</si>
  <si>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</si>
  <si>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宝可拉</t>
    <phoneticPr fontId="7" type="noConversion"/>
  </si>
  <si>
    <t>投资项目全流程法务支持 Full-process legal support for investments</t>
  </si>
  <si>
    <t>灵游坊</t>
    <phoneticPr fontId="7" type="noConversion"/>
  </si>
  <si>
    <t>证券投资咨询牌照收购</t>
    <phoneticPr fontId="7" type="noConversion"/>
  </si>
  <si>
    <t>极兔</t>
    <phoneticPr fontId="7" type="noConversion"/>
  </si>
  <si>
    <t>Public - Knowledge Accumulation &amp; Sharing</t>
  </si>
  <si>
    <t>呦尔哈</t>
    <phoneticPr fontId="7" type="noConversion"/>
  </si>
  <si>
    <t>Recording/reviewing deals updates/weekly time reports/other team summaries</t>
  </si>
  <si>
    <t>游戏科学</t>
    <phoneticPr fontId="7" type="noConversion"/>
  </si>
  <si>
    <t>Reviewing and commenting on the close to final TS</t>
    <phoneticPr fontId="7" type="noConversion"/>
  </si>
  <si>
    <t>Finalizing restructuring documents and BCA,  discussing the same with deal team and external counsel</t>
    <phoneticPr fontId="7" type="noConversion"/>
  </si>
  <si>
    <t>Onsite negotiation with company and deal team; reviewing and commenting on issues list and SPA, discussing the same with deal team and external counsel</t>
    <phoneticPr fontId="7" type="noConversion"/>
  </si>
  <si>
    <t>following up on status of change of agent and invoices to be paid</t>
    <phoneticPr fontId="7" type="noConversion"/>
  </si>
  <si>
    <t>Reviewing and commenting on supplemental agreement for price adjustment, discussing the same with founder, deal team and external counsel</t>
    <phoneticPr fontId="7" type="noConversion"/>
  </si>
  <si>
    <t>Discussing with deal team and external counsel re change of directors</t>
    <phoneticPr fontId="7" type="noConversion"/>
  </si>
  <si>
    <t>Reviewing and commenting on "投资公司风险自查信息表” for 海云 and Volex</t>
    <phoneticPr fontId="7" type="noConversion"/>
  </si>
  <si>
    <t>曦智</t>
    <phoneticPr fontId="7" type="noConversion"/>
  </si>
  <si>
    <t>Reviewing and commenting on the updated C4 round financing documents; discussing issues under LF with MA</t>
    <phoneticPr fontId="7" type="noConversion"/>
  </si>
  <si>
    <t>Investment Related - M&amp;A Deal</t>
    <phoneticPr fontId="7" type="noConversion"/>
  </si>
  <si>
    <t>全速在线</t>
    <phoneticPr fontId="7" type="noConversion"/>
  </si>
  <si>
    <t>BSC</t>
    <phoneticPr fontId="7" type="noConversion"/>
  </si>
  <si>
    <t>Reviewing and commenting on the new financing documents, arranging signing</t>
    <phoneticPr fontId="7" type="noConversion"/>
  </si>
  <si>
    <t>Discussing with CSIG team re naming of customers; consulting with external counsel</t>
    <phoneticPr fontId="7" type="noConversion"/>
  </si>
  <si>
    <t>墨奇</t>
    <phoneticPr fontId="7" type="noConversion"/>
  </si>
  <si>
    <t>Discussing with internal legal team, MA and external counsel re potential sale of assets and liquidation of company</t>
    <phoneticPr fontId="7" type="noConversion"/>
  </si>
  <si>
    <t>VIPKID</t>
    <phoneticPr fontId="7" type="noConversion"/>
  </si>
  <si>
    <t>Discussing with MA re resignation status of director</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</si>
</sst>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70" zoomScaleNormal="70" workbookViewId="0">
      <selection activeCell="L15" sqref="L15"/>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25.5" x14ac:dyDescent="0.4">
      <c r="B4" s="16" t="s">
        <v>72</v>
      </c>
      <c r="C4" s="14" t="s">
        <v>14</v>
      </c>
      <c r="D4" s="29" t="s">
        <v>73</v>
      </c>
      <c r="E4" s="9" t="s">
        <v>40</v>
      </c>
      <c r="F4" s="14" t="s">
        <v>74</v>
      </c>
      <c r="G4" s="9">
        <v>0.8</v>
      </c>
      <c r="H4" s="14" t="s">
        <v>20</v>
      </c>
      <c r="I4" s="30" t="s">
        <v>82</v>
      </c>
    </row>
    <row r="5" spans="2:9" ht="38.25" x14ac:dyDescent="0.4">
      <c r="B5" s="16" t="s">
        <v>72</v>
      </c>
      <c r="C5" s="14" t="s">
        <v>14</v>
      </c>
      <c r="D5" s="29" t="s">
        <v>75</v>
      </c>
      <c r="E5" s="9" t="s">
        <v>40</v>
      </c>
      <c r="F5" s="14" t="s">
        <v>74</v>
      </c>
      <c r="G5" s="29">
        <v>2.7</v>
      </c>
      <c r="H5" s="14" t="s">
        <v>20</v>
      </c>
      <c r="I5" s="30" t="s">
        <v>83</v>
      </c>
    </row>
    <row r="6" spans="2:9" ht="51" x14ac:dyDescent="0.4">
      <c r="B6" s="16" t="s">
        <v>72</v>
      </c>
      <c r="C6" s="14" t="s">
        <v>14</v>
      </c>
      <c r="D6" s="31" t="s">
        <v>76</v>
      </c>
      <c r="E6" s="9" t="s">
        <v>40</v>
      </c>
      <c r="F6" s="14" t="s">
        <v>74</v>
      </c>
      <c r="G6" s="29">
        <v>21.3</v>
      </c>
      <c r="H6" s="14" t="s">
        <v>20</v>
      </c>
      <c r="I6" s="30" t="s">
        <v>84</v>
      </c>
    </row>
    <row r="7" spans="2:9" ht="25.5" x14ac:dyDescent="0.4">
      <c r="B7" s="16" t="s">
        <v>72</v>
      </c>
      <c r="C7" s="14" t="s">
        <v>14</v>
      </c>
      <c r="D7" s="29" t="s">
        <v>77</v>
      </c>
      <c r="E7" s="9" t="s">
        <v>40</v>
      </c>
      <c r="F7" s="14" t="s">
        <v>74</v>
      </c>
      <c r="G7" s="29">
        <v>0.3</v>
      </c>
      <c r="H7" s="14" t="s">
        <v>20</v>
      </c>
      <c r="I7" s="30" t="s">
        <v>85</v>
      </c>
    </row>
    <row r="8" spans="2:9" ht="51" x14ac:dyDescent="0.4">
      <c r="B8" s="16" t="s">
        <v>72</v>
      </c>
      <c r="C8" s="14" t="s">
        <v>14</v>
      </c>
      <c r="D8" s="29" t="s">
        <v>79</v>
      </c>
      <c r="E8" s="9" t="s">
        <v>40</v>
      </c>
      <c r="F8" s="14" t="s">
        <v>74</v>
      </c>
      <c r="G8" s="9">
        <v>2.6</v>
      </c>
      <c r="H8" s="14" t="s">
        <v>20</v>
      </c>
      <c r="I8" s="30" t="s">
        <v>86</v>
      </c>
    </row>
    <row r="9" spans="2:9" ht="25.5" x14ac:dyDescent="0.4">
      <c r="B9" s="16" t="s">
        <v>72</v>
      </c>
      <c r="C9" s="14" t="s">
        <v>14</v>
      </c>
      <c r="D9" s="29" t="s">
        <v>81</v>
      </c>
      <c r="E9" s="9" t="s">
        <v>40</v>
      </c>
      <c r="F9" s="14" t="s">
        <v>74</v>
      </c>
      <c r="G9" s="9">
        <v>0.6</v>
      </c>
      <c r="H9" s="31" t="s">
        <v>36</v>
      </c>
      <c r="I9" s="30" t="s">
        <v>87</v>
      </c>
    </row>
    <row r="10" spans="2:9" ht="38.25" x14ac:dyDescent="0.4">
      <c r="B10" s="16" t="s">
        <v>72</v>
      </c>
      <c r="C10" s="31" t="s">
        <v>14</v>
      </c>
      <c r="D10" s="29" t="s">
        <v>89</v>
      </c>
      <c r="E10" s="29" t="s">
        <v>40</v>
      </c>
      <c r="F10" s="31" t="s">
        <v>74</v>
      </c>
      <c r="G10" s="29">
        <v>1.4</v>
      </c>
      <c r="H10" s="31" t="s">
        <v>20</v>
      </c>
      <c r="I10" s="30" t="s">
        <v>90</v>
      </c>
    </row>
    <row r="11" spans="2:9" ht="25.5" x14ac:dyDescent="0.4">
      <c r="B11" s="16" t="s">
        <v>72</v>
      </c>
      <c r="C11" s="31" t="s">
        <v>91</v>
      </c>
      <c r="D11" s="29" t="s">
        <v>92</v>
      </c>
      <c r="E11" s="29" t="s">
        <v>93</v>
      </c>
      <c r="F11" s="31" t="s">
        <v>74</v>
      </c>
      <c r="G11" s="29">
        <v>3.7</v>
      </c>
      <c r="H11" s="31" t="s">
        <v>20</v>
      </c>
      <c r="I11" s="30" t="s">
        <v>94</v>
      </c>
    </row>
    <row r="12" spans="2:9" ht="38.25" x14ac:dyDescent="0.4">
      <c r="B12" s="16" t="s">
        <v>72</v>
      </c>
      <c r="C12" s="31" t="s">
        <v>91</v>
      </c>
      <c r="D12" s="29" t="s">
        <v>96</v>
      </c>
      <c r="E12" s="29" t="s">
        <v>93</v>
      </c>
      <c r="F12" s="31" t="s">
        <v>74</v>
      </c>
      <c r="G12" s="29">
        <v>3.2</v>
      </c>
      <c r="H12" s="31" t="s">
        <v>20</v>
      </c>
      <c r="I12" s="30" t="s">
        <v>97</v>
      </c>
    </row>
    <row r="13" spans="2:9" ht="25.5" x14ac:dyDescent="0.4">
      <c r="B13" s="16" t="s">
        <v>72</v>
      </c>
      <c r="C13" s="31" t="s">
        <v>91</v>
      </c>
      <c r="D13" s="29" t="s">
        <v>98</v>
      </c>
      <c r="E13" s="29" t="s">
        <v>93</v>
      </c>
      <c r="F13" s="31" t="s">
        <v>74</v>
      </c>
      <c r="G13" s="29">
        <v>0.3</v>
      </c>
      <c r="H13" s="31" t="s">
        <v>36</v>
      </c>
      <c r="I13" s="30" t="s">
        <v>99</v>
      </c>
    </row>
    <row r="14" spans="2:9" ht="25.5" x14ac:dyDescent="0.4">
      <c r="B14" s="16" t="s">
        <v>72</v>
      </c>
      <c r="C14" s="31" t="s">
        <v>78</v>
      </c>
      <c r="D14" s="29"/>
      <c r="E14" s="29" t="s">
        <v>27</v>
      </c>
      <c r="F14" s="31"/>
      <c r="G14" s="29">
        <v>0.5</v>
      </c>
      <c r="H14" s="31" t="s">
        <v>27</v>
      </c>
      <c r="I14" s="30" t="s">
        <v>95</v>
      </c>
    </row>
    <row r="15" spans="2:9" ht="25.5" x14ac:dyDescent="0.4">
      <c r="B15" s="16" t="s">
        <v>72</v>
      </c>
      <c r="C15" s="14" t="s">
        <v>78</v>
      </c>
      <c r="D15" s="9"/>
      <c r="E15" s="9" t="s">
        <v>27</v>
      </c>
      <c r="F15" s="14"/>
      <c r="G15" s="29">
        <v>1</v>
      </c>
      <c r="H15" s="14" t="s">
        <v>27</v>
      </c>
      <c r="I15" s="30" t="s">
        <v>88</v>
      </c>
    </row>
    <row r="16" spans="2:9" ht="25.5" x14ac:dyDescent="0.4">
      <c r="B16" s="16" t="s">
        <v>72</v>
      </c>
      <c r="C16" s="14" t="s">
        <v>18</v>
      </c>
      <c r="D16" s="9"/>
      <c r="E16" s="9" t="s">
        <v>27</v>
      </c>
      <c r="F16" s="14"/>
      <c r="G16" s="9">
        <v>1</v>
      </c>
      <c r="H16" s="14" t="s">
        <v>80</v>
      </c>
      <c r="I16" s="12"/>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8"/>
      <c r="C25" s="14"/>
      <c r="D25" s="9"/>
      <c r="E25" s="9"/>
      <c r="F25" s="14"/>
      <c r="G25" s="9"/>
      <c r="H25" s="14"/>
      <c r="I25" s="12"/>
    </row>
    <row r="26" spans="2:9" x14ac:dyDescent="0.4">
      <c r="B26" s="8"/>
      <c r="C26" s="14"/>
      <c r="D26" s="9"/>
      <c r="E26" s="9"/>
      <c r="F26" s="14"/>
      <c r="G26" s="9"/>
      <c r="H26" s="14"/>
      <c r="I26" s="12"/>
    </row>
    <row r="27" spans="2:9" x14ac:dyDescent="0.4">
      <c r="B27" s="8"/>
      <c r="C27" s="14"/>
      <c r="D27" s="9"/>
      <c r="E27" s="9"/>
      <c r="F27" s="14"/>
      <c r="G27" s="9"/>
      <c r="H27" s="14"/>
      <c r="I27" s="12"/>
    </row>
    <row r="28" spans="2:9" x14ac:dyDescent="0.4">
      <c r="B28" s="24"/>
      <c r="C28" s="25"/>
      <c r="D28" s="26"/>
      <c r="E28" s="26"/>
      <c r="F28" s="28" t="s">
        <v>67</v>
      </c>
      <c r="G28" s="35">
        <f>SUM(G3:G27)</f>
        <v>39.400000000000006</v>
      </c>
      <c r="H28" s="36"/>
      <c r="I28" s="37"/>
    </row>
    <row r="29" spans="2:9" ht="14.25" thickBot="1" x14ac:dyDescent="0.45">
      <c r="B29" s="20"/>
      <c r="C29" s="21"/>
      <c r="D29" s="22"/>
      <c r="E29" s="22"/>
      <c r="F29" s="27" t="s">
        <v>68</v>
      </c>
      <c r="G29" s="32">
        <v>5</v>
      </c>
      <c r="H29" s="33"/>
      <c r="I29" s="34"/>
    </row>
    <row r="30" spans="2:9" ht="14.25" thickTop="1" x14ac:dyDescent="0.4"/>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E4:E9 E15:E29</xm:sqref>
        </x14:dataValidation>
        <x14:dataValidation type="list" allowBlank="1" showInputMessage="1" showErrorMessage="1" xr:uid="{00000000-0002-0000-0000-000002000000}">
          <x14:formula1>
            <xm:f>数据标签!$B$2:$H$2</xm:f>
          </x14:formula1>
          <xm:sqref>C4:C9 C15:C29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2025-01-13T17:07:47Z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