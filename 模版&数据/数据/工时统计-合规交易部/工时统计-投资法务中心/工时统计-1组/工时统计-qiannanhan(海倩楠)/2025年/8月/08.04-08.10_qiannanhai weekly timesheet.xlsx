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30D4480C-78E1-4AE4-8427-C4C3DB494C43}"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<sst xmlns="http://schemas.openxmlformats.org/spreadsheetml/2006/main" count="279" uniqueCount="120">
  <si>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</si>
  <si>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</si>
  <si>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</si>
  <si>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</si>
  <si>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</si>
  <si>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</si>
  <si>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</si>
  <si>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</si>
  <si>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</si>
  <si>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</si>
  <si>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</si>
  <si>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</si>
  <si>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</si>
  <si>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</si>
  <si>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</si>
  <si>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</si>
  <si>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</si>
  <si>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</si>
  <si>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</si>
  <si>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</si>
  <si>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</si>
  <si>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</si>
  <si>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</si>
  <si>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</si>
  <si>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</si>
  <si>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</si>
  <si>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</si>
  <si>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</si>
  <si>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</si>
  <si>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</si>
  <si>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</si>
  <si>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</si>
  <si>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</si>
  <si>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</si>
  <si>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</si>
  <si>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</si>
  <si>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</si>
  <si>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</si>
  <si>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</si>
  <si>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</si>
  <si>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</si>
  <si>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</si>
  <si>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</si>
  <si>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</si>
  <si>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</si>
  <si>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</si>
  <si>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</si>
  <si>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</si>
  <si>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</si>
  <si>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</si>
  <si>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</si>
  <si>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</si>
  <si>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</si>
  <si>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</si>
  <si>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</si>
  <si>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</si>
  <si>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</si>
  <si>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</si>
  <si>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</si>
  <si>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</si>
  <si>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</si>
  <si>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</si>
  <si>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</si>
  <si>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</si>
  <si>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</si>
  <si>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</si>
  <si>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</si>
  <si>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</si>
  <si>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</si>
  <si>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</si>
  <si>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</si>
  <si>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</si>
  <si>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</si>
  <si>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</si>
  <si>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</si>
  <si>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BSC</t>
    <phoneticPr fontId="7" type="noConversion"/>
  </si>
  <si>
    <t>世纪华通</t>
    <phoneticPr fontId="7" type="noConversion"/>
  </si>
  <si>
    <t>曦智</t>
    <phoneticPr fontId="7" type="noConversion"/>
  </si>
  <si>
    <t>Classin</t>
    <phoneticPr fontId="7" type="noConversion"/>
  </si>
  <si>
    <t>润梦</t>
    <phoneticPr fontId="7" type="noConversion"/>
  </si>
  <si>
    <t>海云</t>
    <phoneticPr fontId="7" type="noConversion"/>
  </si>
  <si>
    <t>Bitpanda</t>
    <phoneticPr fontId="7" type="noConversion"/>
  </si>
  <si>
    <t>J&amp;T</t>
    <phoneticPr fontId="7" type="noConversion"/>
  </si>
  <si>
    <t>Little Freddie</t>
    <phoneticPr fontId="7" type="noConversion"/>
  </si>
  <si>
    <t>伙伴云</t>
    <phoneticPr fontId="7" type="noConversion"/>
  </si>
  <si>
    <t>审阅及定稿公司更新的ESOP plan</t>
    <phoneticPr fontId="7" type="noConversion"/>
  </si>
  <si>
    <t>Navigator</t>
    <phoneticPr fontId="7" type="noConversion"/>
  </si>
  <si>
    <t>跟进LDD及文件进度</t>
    <phoneticPr fontId="7" type="noConversion"/>
  </si>
  <si>
    <t>确认截至630股份数及披露情况</t>
    <phoneticPr fontId="7" type="noConversion"/>
  </si>
  <si>
    <t>呦尔哈</t>
    <phoneticPr fontId="7" type="noConversion"/>
  </si>
  <si>
    <t>晓多</t>
    <phoneticPr fontId="7" type="noConversion"/>
  </si>
  <si>
    <t>火花思维</t>
    <phoneticPr fontId="7" type="noConversion"/>
  </si>
  <si>
    <t>董事变更相关文件审阅</t>
    <phoneticPr fontId="7" type="noConversion"/>
  </si>
  <si>
    <t>董事变更决议审阅及签署审批</t>
    <phoneticPr fontId="7" type="noConversion"/>
  </si>
  <si>
    <t>游戏科学</t>
    <phoneticPr fontId="7" type="noConversion"/>
  </si>
  <si>
    <t>沟通公司资本公积转增方案，讨论潜在税务问题</t>
    <phoneticPr fontId="7" type="noConversion"/>
  </si>
  <si>
    <t>和律师沟通最新进展及三方合作分析的可行性说明修改，审阅及修改更新版本，和MA同步合作方案</t>
    <phoneticPr fontId="7" type="noConversion"/>
  </si>
  <si>
    <t>宝可拉</t>
    <phoneticPr fontId="7" type="noConversion"/>
  </si>
  <si>
    <t>审阅授信协议及决议</t>
    <phoneticPr fontId="7" type="noConversion"/>
  </si>
  <si>
    <t>天美MCN</t>
    <phoneticPr fontId="7" type="noConversion"/>
  </si>
  <si>
    <t>讨论现有文件下对迁址的限制</t>
    <phoneticPr fontId="7" type="noConversion"/>
  </si>
  <si>
    <t>黑桃互动</t>
    <phoneticPr fontId="7" type="noConversion"/>
  </si>
  <si>
    <t>审阅及沟通董事变更文件</t>
    <phoneticPr fontId="7" type="noConversion"/>
  </si>
  <si>
    <t>Lingoace</t>
    <phoneticPr fontId="7" type="noConversion"/>
  </si>
  <si>
    <t>内部讨论税务代扣代缴相关问题，反馈协议；进一步更新协议；审阅、讨论、及反馈时间表以及交割文件清单；沟通项目最新进度；team沟通扣税方案，根据team反馈更新文件；审阅及修改文件清单、尽调清单及时间表；审阅及修改详式权益报告，准备董监高待确认事项清单</t>
    <phoneticPr fontId="7" type="noConversion"/>
  </si>
  <si>
    <t>Drafting/reviewing/negotiating legal documents</t>
    <phoneticPr fontId="7" type="noConversion"/>
  </si>
  <si>
    <t>审阅最新轮次协议，分析优先权劣后对我们条款的影响，内部沟通核心条款底线及后续沟通方式；和创始人、其他投资人沟通核心权利条款；审阅更新后的文件，和team讨论并反馈</t>
    <phoneticPr fontId="7" type="noConversion"/>
  </si>
  <si>
    <t>Realm</t>
    <phoneticPr fontId="7" type="noConversion"/>
  </si>
  <si>
    <t>审阅及修改NDA</t>
    <phoneticPr fontId="7" type="noConversion"/>
  </si>
  <si>
    <t>和税务侧沟通分红额度，确认定稿及协调释放签字页</t>
    <phoneticPr fontId="7" type="noConversion"/>
  </si>
  <si>
    <t>和MA讨论一致行动安排以及后续资本运作规划，审阅问题清单及会议纪要，相应补充问题</t>
    <phoneticPr fontId="7" type="noConversion"/>
  </si>
  <si>
    <t>审阅修改CIA和NDA，和律师讨论并更新CIA；和MA沟通拟投资主体，相应准备DDQ</t>
    <phoneticPr fontId="7" type="noConversion"/>
  </si>
  <si>
    <t>审阅公司提出的回购方案和TS，和财务、MA、凯雷分别讨论</t>
    <phoneticPr fontId="7" type="noConversion"/>
  </si>
  <si>
    <t>沟通各方对承诺函的反馈并发给创始人，定稿承诺函并确认交割及打款</t>
    <phoneticPr fontId="7" type="noConversion"/>
  </si>
  <si>
    <t>Frontier</t>
    <phoneticPr fontId="7" type="noConversion"/>
  </si>
  <si>
    <t>和公司法务沟通潜在us antitrust issues，检索公司资产及董事情况</t>
    <phoneticPr fontId="7" type="noConversion"/>
  </si>
  <si>
    <t>讨论公司历史工商变更情况</t>
    <phoneticPr fontId="7" type="noConversion"/>
  </si>
  <si>
    <t>和诉讼同事沟通交易文件提供</t>
    <phoneticPr fontId="7" type="noConversion"/>
  </si>
  <si>
    <t>沟通讨论董事培训相关问题；沟通借款协议利息问题</t>
    <phoneticPr fontId="7" type="noConversion"/>
  </si>
  <si>
    <t>星海互娱</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</si>
</sst>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5"/>
  <sheetViews>
    <sheetView tabSelected="1" topLeftCell="A10" zoomScale="70" zoomScaleNormal="70" workbookViewId="0">
      <selection activeCell="D26" sqref="D26"/>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74</v>
      </c>
      <c r="E4" s="9" t="s">
        <v>40</v>
      </c>
      <c r="F4" s="14" t="s">
        <v>73</v>
      </c>
      <c r="G4" s="29">
        <v>2</v>
      </c>
      <c r="H4" s="31" t="s">
        <v>20</v>
      </c>
      <c r="I4" s="30" t="s">
        <v>96</v>
      </c>
    </row>
    <row r="5" spans="2:9" ht="25.5" x14ac:dyDescent="0.4">
      <c r="B5" s="16" t="s">
        <v>72</v>
      </c>
      <c r="C5" s="14" t="s">
        <v>14</v>
      </c>
      <c r="D5" s="31" t="s">
        <v>76</v>
      </c>
      <c r="E5" s="9" t="s">
        <v>40</v>
      </c>
      <c r="F5" s="14" t="s">
        <v>73</v>
      </c>
      <c r="G5" s="29">
        <v>0.8</v>
      </c>
      <c r="H5" s="31" t="s">
        <v>36</v>
      </c>
      <c r="I5" s="30" t="s">
        <v>118</v>
      </c>
    </row>
    <row r="6" spans="2:9" ht="76.5" x14ac:dyDescent="0.4">
      <c r="B6" s="16" t="s">
        <v>72</v>
      </c>
      <c r="C6" s="14" t="s">
        <v>14</v>
      </c>
      <c r="D6" s="31" t="s">
        <v>76</v>
      </c>
      <c r="E6" s="9" t="s">
        <v>40</v>
      </c>
      <c r="F6" s="14" t="s">
        <v>73</v>
      </c>
      <c r="G6" s="29">
        <v>17.5</v>
      </c>
      <c r="H6" s="31" t="s">
        <v>20</v>
      </c>
      <c r="I6" s="30" t="s">
        <v>104</v>
      </c>
    </row>
    <row r="7" spans="2:9" ht="25.5" x14ac:dyDescent="0.4">
      <c r="B7" s="16" t="s">
        <v>72</v>
      </c>
      <c r="C7" s="31" t="s">
        <v>14</v>
      </c>
      <c r="D7" s="29" t="s">
        <v>78</v>
      </c>
      <c r="E7" s="29" t="s">
        <v>75</v>
      </c>
      <c r="F7" s="31" t="s">
        <v>73</v>
      </c>
      <c r="G7" s="29">
        <v>0.6</v>
      </c>
      <c r="H7" s="31" t="s">
        <v>20</v>
      </c>
      <c r="I7" s="30" t="s">
        <v>109</v>
      </c>
    </row>
    <row r="8" spans="2:9" ht="25.5" x14ac:dyDescent="0.4">
      <c r="B8" s="16" t="s">
        <v>72</v>
      </c>
      <c r="C8" s="31" t="s">
        <v>14</v>
      </c>
      <c r="D8" s="29" t="s">
        <v>94</v>
      </c>
      <c r="E8" s="29" t="s">
        <v>75</v>
      </c>
      <c r="F8" s="31" t="s">
        <v>73</v>
      </c>
      <c r="G8" s="29">
        <v>0.7</v>
      </c>
      <c r="H8" s="31" t="s">
        <v>20</v>
      </c>
      <c r="I8" s="30" t="s">
        <v>95</v>
      </c>
    </row>
    <row r="9" spans="2:9" ht="25.5" x14ac:dyDescent="0.4">
      <c r="B9" s="16" t="s">
        <v>72</v>
      </c>
      <c r="C9" s="14" t="s">
        <v>14</v>
      </c>
      <c r="D9" s="29" t="s">
        <v>77</v>
      </c>
      <c r="E9" s="29" t="s">
        <v>75</v>
      </c>
      <c r="F9" s="31" t="s">
        <v>73</v>
      </c>
      <c r="G9" s="29">
        <v>1.8</v>
      </c>
      <c r="H9" s="31" t="s">
        <v>105</v>
      </c>
      <c r="I9" s="30" t="s">
        <v>85</v>
      </c>
    </row>
    <row r="10" spans="2:9" ht="51" x14ac:dyDescent="0.4">
      <c r="B10" s="16" t="s">
        <v>72</v>
      </c>
      <c r="C10" s="14" t="s">
        <v>14</v>
      </c>
      <c r="D10" s="29" t="s">
        <v>79</v>
      </c>
      <c r="E10" s="29" t="s">
        <v>75</v>
      </c>
      <c r="F10" s="31" t="s">
        <v>73</v>
      </c>
      <c r="G10" s="29">
        <v>4.7</v>
      </c>
      <c r="H10" s="31" t="s">
        <v>20</v>
      </c>
      <c r="I10" s="30" t="s">
        <v>106</v>
      </c>
    </row>
    <row r="11" spans="2:9" ht="25.5" x14ac:dyDescent="0.4">
      <c r="B11" s="16" t="s">
        <v>72</v>
      </c>
      <c r="C11" s="14" t="s">
        <v>14</v>
      </c>
      <c r="D11" s="29" t="s">
        <v>99</v>
      </c>
      <c r="E11" s="29" t="s">
        <v>75</v>
      </c>
      <c r="F11" s="31" t="s">
        <v>73</v>
      </c>
      <c r="G11" s="29">
        <v>0.5</v>
      </c>
      <c r="H11" s="31" t="s">
        <v>36</v>
      </c>
      <c r="I11" s="30" t="s">
        <v>100</v>
      </c>
    </row>
    <row r="12" spans="2:9" ht="25.5" x14ac:dyDescent="0.4">
      <c r="B12" s="16" t="s">
        <v>72</v>
      </c>
      <c r="C12" s="14" t="s">
        <v>14</v>
      </c>
      <c r="D12" s="29" t="s">
        <v>80</v>
      </c>
      <c r="E12" s="29" t="s">
        <v>75</v>
      </c>
      <c r="F12" s="31" t="s">
        <v>73</v>
      </c>
      <c r="G12" s="29">
        <v>2.6</v>
      </c>
      <c r="H12" s="31" t="s">
        <v>20</v>
      </c>
      <c r="I12" s="30" t="s">
        <v>110</v>
      </c>
    </row>
    <row r="13" spans="2:9" ht="25.5" x14ac:dyDescent="0.4">
      <c r="B13" s="16" t="s">
        <v>72</v>
      </c>
      <c r="C13" s="14" t="s">
        <v>14</v>
      </c>
      <c r="D13" s="29" t="s">
        <v>81</v>
      </c>
      <c r="E13" s="29" t="s">
        <v>75</v>
      </c>
      <c r="F13" s="31" t="s">
        <v>73</v>
      </c>
      <c r="G13" s="29">
        <v>0.5</v>
      </c>
      <c r="H13" s="31" t="s">
        <v>25</v>
      </c>
      <c r="I13" s="30" t="s">
        <v>87</v>
      </c>
    </row>
    <row r="14" spans="2:9" ht="25.5" x14ac:dyDescent="0.4">
      <c r="B14" s="16" t="s">
        <v>72</v>
      </c>
      <c r="C14" s="14" t="s">
        <v>14</v>
      </c>
      <c r="D14" s="29" t="s">
        <v>82</v>
      </c>
      <c r="E14" s="29" t="s">
        <v>75</v>
      </c>
      <c r="F14" s="31" t="s">
        <v>73</v>
      </c>
      <c r="G14" s="29">
        <v>0.5</v>
      </c>
      <c r="H14" s="31" t="s">
        <v>36</v>
      </c>
      <c r="I14" s="30" t="s">
        <v>88</v>
      </c>
    </row>
    <row r="15" spans="2:9" ht="25.5" x14ac:dyDescent="0.4">
      <c r="B15" s="16" t="s">
        <v>72</v>
      </c>
      <c r="C15" s="14" t="s">
        <v>14</v>
      </c>
      <c r="D15" s="29" t="s">
        <v>83</v>
      </c>
      <c r="E15" s="29" t="s">
        <v>75</v>
      </c>
      <c r="F15" s="31" t="s">
        <v>73</v>
      </c>
      <c r="G15" s="29">
        <v>2.2000000000000002</v>
      </c>
      <c r="H15" s="31" t="s">
        <v>20</v>
      </c>
      <c r="I15" s="30" t="s">
        <v>112</v>
      </c>
    </row>
    <row r="16" spans="2:9" ht="25.5" x14ac:dyDescent="0.4">
      <c r="B16" s="16" t="s">
        <v>72</v>
      </c>
      <c r="C16" s="14" t="s">
        <v>14</v>
      </c>
      <c r="D16" s="29" t="s">
        <v>84</v>
      </c>
      <c r="E16" s="29" t="s">
        <v>75</v>
      </c>
      <c r="F16" s="31" t="s">
        <v>73</v>
      </c>
      <c r="G16" s="29">
        <v>0.5</v>
      </c>
      <c r="H16" s="31" t="s">
        <v>36</v>
      </c>
      <c r="I16" s="30" t="s">
        <v>117</v>
      </c>
    </row>
    <row r="17" spans="2:9" ht="25.5" x14ac:dyDescent="0.4">
      <c r="B17" s="16" t="s">
        <v>72</v>
      </c>
      <c r="C17" s="31" t="s">
        <v>14</v>
      </c>
      <c r="D17" s="29" t="s">
        <v>86</v>
      </c>
      <c r="E17" s="29" t="s">
        <v>75</v>
      </c>
      <c r="F17" s="31" t="s">
        <v>73</v>
      </c>
      <c r="G17" s="29">
        <v>5.4</v>
      </c>
      <c r="H17" s="31" t="s">
        <v>105</v>
      </c>
      <c r="I17" s="30" t="s">
        <v>111</v>
      </c>
    </row>
    <row r="18" spans="2:9" ht="25.5" x14ac:dyDescent="0.4">
      <c r="B18" s="16" t="s">
        <v>72</v>
      </c>
      <c r="C18" s="31" t="s">
        <v>14</v>
      </c>
      <c r="D18" s="29" t="s">
        <v>89</v>
      </c>
      <c r="E18" s="29" t="s">
        <v>75</v>
      </c>
      <c r="F18" s="31" t="s">
        <v>73</v>
      </c>
      <c r="G18" s="29">
        <v>1.6</v>
      </c>
      <c r="H18" s="31" t="s">
        <v>105</v>
      </c>
      <c r="I18" s="30" t="s">
        <v>113</v>
      </c>
    </row>
    <row r="19" spans="2:9" ht="25.5" x14ac:dyDescent="0.4">
      <c r="B19" s="16" t="s">
        <v>72</v>
      </c>
      <c r="C19" s="31" t="s">
        <v>14</v>
      </c>
      <c r="D19" s="29" t="s">
        <v>90</v>
      </c>
      <c r="E19" s="29" t="s">
        <v>75</v>
      </c>
      <c r="F19" s="31" t="s">
        <v>73</v>
      </c>
      <c r="G19" s="29">
        <v>0.4</v>
      </c>
      <c r="H19" s="31" t="s">
        <v>20</v>
      </c>
      <c r="I19" s="30" t="s">
        <v>92</v>
      </c>
    </row>
    <row r="20" spans="2:9" ht="25.5" x14ac:dyDescent="0.4">
      <c r="B20" s="16" t="s">
        <v>72</v>
      </c>
      <c r="C20" s="31" t="s">
        <v>14</v>
      </c>
      <c r="D20" s="29" t="s">
        <v>91</v>
      </c>
      <c r="E20" s="29" t="s">
        <v>75</v>
      </c>
      <c r="F20" s="31" t="s">
        <v>73</v>
      </c>
      <c r="G20" s="29">
        <v>0.4</v>
      </c>
      <c r="H20" s="31" t="s">
        <v>20</v>
      </c>
      <c r="I20" s="30" t="s">
        <v>93</v>
      </c>
    </row>
    <row r="21" spans="2:9" ht="25.5" x14ac:dyDescent="0.4">
      <c r="B21" s="16" t="s">
        <v>72</v>
      </c>
      <c r="C21" s="31" t="s">
        <v>14</v>
      </c>
      <c r="D21" s="29" t="s">
        <v>97</v>
      </c>
      <c r="E21" s="29" t="s">
        <v>75</v>
      </c>
      <c r="F21" s="31" t="s">
        <v>73</v>
      </c>
      <c r="G21" s="29">
        <v>0.6</v>
      </c>
      <c r="H21" s="31" t="s">
        <v>20</v>
      </c>
      <c r="I21" s="30" t="s">
        <v>98</v>
      </c>
    </row>
    <row r="22" spans="2:9" ht="25.5" x14ac:dyDescent="0.4">
      <c r="B22" s="16" t="s">
        <v>72</v>
      </c>
      <c r="C22" s="31" t="s">
        <v>14</v>
      </c>
      <c r="D22" s="29" t="s">
        <v>101</v>
      </c>
      <c r="E22" s="29" t="s">
        <v>75</v>
      </c>
      <c r="F22" s="31" t="s">
        <v>73</v>
      </c>
      <c r="G22" s="29">
        <v>0.5</v>
      </c>
      <c r="H22" s="31" t="s">
        <v>20</v>
      </c>
      <c r="I22" s="30" t="s">
        <v>102</v>
      </c>
    </row>
    <row r="23" spans="2:9" ht="25.5" x14ac:dyDescent="0.4">
      <c r="B23" s="16" t="s">
        <v>72</v>
      </c>
      <c r="C23" s="31" t="s">
        <v>14</v>
      </c>
      <c r="D23" s="29" t="s">
        <v>103</v>
      </c>
      <c r="E23" s="29" t="s">
        <v>75</v>
      </c>
      <c r="F23" s="31" t="s">
        <v>73</v>
      </c>
      <c r="G23" s="29">
        <v>0.5</v>
      </c>
      <c r="H23" s="31" t="s">
        <v>20</v>
      </c>
      <c r="I23" s="30" t="s">
        <v>102</v>
      </c>
    </row>
    <row r="24" spans="2:9" ht="25.5" x14ac:dyDescent="0.4">
      <c r="B24" s="16" t="s">
        <v>72</v>
      </c>
      <c r="C24" s="31" t="s">
        <v>14</v>
      </c>
      <c r="D24" s="29" t="s">
        <v>107</v>
      </c>
      <c r="E24" s="29" t="s">
        <v>75</v>
      </c>
      <c r="F24" s="31" t="s">
        <v>73</v>
      </c>
      <c r="G24" s="29">
        <v>1.6</v>
      </c>
      <c r="H24" s="31" t="s">
        <v>20</v>
      </c>
      <c r="I24" s="30" t="s">
        <v>108</v>
      </c>
    </row>
    <row r="25" spans="2:9" ht="25.5" x14ac:dyDescent="0.4">
      <c r="B25" s="16" t="s">
        <v>72</v>
      </c>
      <c r="C25" s="31" t="s">
        <v>14</v>
      </c>
      <c r="D25" s="29" t="s">
        <v>114</v>
      </c>
      <c r="E25" s="29" t="s">
        <v>75</v>
      </c>
      <c r="F25" s="31" t="s">
        <v>73</v>
      </c>
      <c r="G25" s="29">
        <v>0.7</v>
      </c>
      <c r="H25" s="31" t="s">
        <v>36</v>
      </c>
      <c r="I25" s="30" t="s">
        <v>115</v>
      </c>
    </row>
    <row r="26" spans="2:9" ht="25.5" x14ac:dyDescent="0.4">
      <c r="B26" s="16" t="s">
        <v>72</v>
      </c>
      <c r="C26" s="31" t="s">
        <v>14</v>
      </c>
      <c r="D26" s="29" t="s">
        <v>119</v>
      </c>
      <c r="E26" s="29" t="s">
        <v>75</v>
      </c>
      <c r="F26" s="31" t="s">
        <v>73</v>
      </c>
      <c r="G26" s="29">
        <v>0.3</v>
      </c>
      <c r="H26" s="31" t="s">
        <v>36</v>
      </c>
      <c r="I26" s="30" t="s">
        <v>116</v>
      </c>
    </row>
    <row r="27" spans="2:9" ht="25.5" x14ac:dyDescent="0.4">
      <c r="B27" s="16" t="s">
        <v>72</v>
      </c>
      <c r="C27" s="14" t="s">
        <v>18</v>
      </c>
      <c r="D27" s="29"/>
      <c r="E27" s="29" t="s">
        <v>66</v>
      </c>
      <c r="F27" s="31"/>
      <c r="G27" s="29">
        <v>1.5</v>
      </c>
      <c r="H27" s="31" t="s">
        <v>61</v>
      </c>
      <c r="I27" s="30"/>
    </row>
    <row r="28" spans="2:9" x14ac:dyDescent="0.4">
      <c r="B28" s="8"/>
      <c r="C28" s="14"/>
      <c r="D28" s="9"/>
      <c r="E28" s="9"/>
      <c r="F28" s="14"/>
      <c r="G28" s="9"/>
      <c r="H28" s="14"/>
      <c r="I28" s="12"/>
    </row>
    <row r="29" spans="2:9" x14ac:dyDescent="0.4">
      <c r="B29" s="8"/>
      <c r="C29" s="14"/>
      <c r="D29" s="9"/>
      <c r="E29" s="9"/>
      <c r="F29" s="14"/>
      <c r="G29" s="9"/>
      <c r="H29" s="14"/>
      <c r="I29" s="12"/>
    </row>
    <row r="30" spans="2:9" x14ac:dyDescent="0.4">
      <c r="B30" s="8"/>
      <c r="C30" s="14"/>
      <c r="D30" s="9"/>
      <c r="E30" s="9"/>
      <c r="F30" s="14"/>
      <c r="G30" s="9"/>
      <c r="H30" s="14"/>
      <c r="I30" s="12"/>
    </row>
    <row r="31" spans="2:9" x14ac:dyDescent="0.4">
      <c r="B31" s="8"/>
      <c r="C31" s="14"/>
      <c r="D31" s="9"/>
      <c r="E31" s="9"/>
      <c r="F31" s="14"/>
      <c r="G31" s="9"/>
      <c r="H31" s="14"/>
      <c r="I31" s="12"/>
    </row>
    <row r="32" spans="2:9" x14ac:dyDescent="0.4">
      <c r="B32" s="8"/>
      <c r="C32" s="14"/>
      <c r="D32" s="9"/>
      <c r="E32" s="9"/>
      <c r="F32" s="14"/>
      <c r="G32" s="9"/>
      <c r="H32" s="14"/>
      <c r="I32" s="12"/>
    </row>
    <row r="33" spans="2:9" x14ac:dyDescent="0.4">
      <c r="B33" s="24"/>
      <c r="C33" s="25"/>
      <c r="D33" s="26"/>
      <c r="E33" s="26"/>
      <c r="F33" s="28" t="s">
        <v>67</v>
      </c>
      <c r="G33" s="35">
        <f>SUM(G3:G32)</f>
        <v>48.400000000000006</v>
      </c>
      <c r="H33" s="36"/>
      <c r="I33" s="37"/>
    </row>
    <row r="34" spans="2:9" ht="14.25" thickBot="1" x14ac:dyDescent="0.45">
      <c r="B34" s="20"/>
      <c r="C34" s="21"/>
      <c r="D34" s="22"/>
      <c r="E34" s="22"/>
      <c r="F34" s="27" t="s">
        <v>68</v>
      </c>
      <c r="G34" s="32">
        <v>5</v>
      </c>
      <c r="H34" s="33"/>
      <c r="I34" s="34"/>
    </row>
    <row r="35" spans="2:9" ht="14.25" thickTop="1" x14ac:dyDescent="0.4"/>
  </sheetData>
  <mergeCells count="2">
    <mergeCell ref="G34:I34"/>
    <mergeCell ref="G33:I33"/>
  </mergeCells>
  <phoneticPr fontId="7" type="noConversion"/>
  <dataValidations count="3">
    <dataValidation type="list" allowBlank="1" showInputMessage="1" showErrorMessage="1" sqref="F4:F6 F27:F32" xr:uid="{4D312F40-A074-4ABF-976C-C19F9AA3ED7C}">
      <formula1>INDIRECT(E4)</formula1>
    </dataValidation>
    <dataValidation type="list" allowBlank="1" showInputMessage="1" showErrorMessage="1" sqref="F7:F26" xr:uid="{7941E90A-E456-43ED-BB76-0DBB309CC050}">
      <formula1>INDIRECT(#REF!)</formula1>
    </dataValidation>
    <dataValidation type="list" allowBlank="1" showInputMessage="1" showErrorMessage="1" sqref="H4:H32" xr:uid="{0430C74B-CCCE-4366-BF01-C21E45E960AE}">
      <formula1>hh</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DB55C1B-8CB9-4866-97F1-FA652D2C5BB0}">
          <x14:formula1>
            <xm:f>数据标签!$B$11:$D$11</xm:f>
          </x14:formula1>
          <xm:sqref>E28:E34 E4:E6</xm:sqref>
        </x14:dataValidation>
        <x14:dataValidation type="list" allowBlank="1" showInputMessage="1" showErrorMessage="1" xr:uid="{B2D1C4B7-2204-4546-A576-47074F2DD7B2}">
          <x14:formula1>
            <xm:f>数据标签!$B$2:$H$2</xm:f>
          </x14:formula1>
          <xm:sqref>C4:C6 C27:C34 C9:C16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16" sqref="B16"/>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2025-08-11T03:45:15Z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