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620DC412-BE0C-4E51-B5E9-B22AD9200F31}"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<sst xmlns="http://schemas.openxmlformats.org/spreadsheetml/2006/main" count="221" uniqueCount="104">
  <si>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</si>
  <si>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</si>
  <si>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</si>
  <si>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</si>
  <si>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</si>
  <si>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</si>
  <si>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</si>
  <si>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</si>
  <si>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</si>
  <si>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</si>
  <si>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</si>
  <si>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</si>
  <si>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</si>
  <si>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</si>
  <si>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</si>
  <si>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</si>
  <si>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</si>
  <si>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</si>
  <si>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</si>
  <si>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</si>
  <si>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</si>
  <si>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</si>
  <si>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</si>
  <si>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</si>
  <si>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</si>
  <si>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</si>
  <si>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</si>
  <si>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</si>
  <si>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</si>
  <si>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</si>
  <si>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</si>
  <si>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</si>
  <si>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</si>
  <si>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</si>
  <si>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</si>
  <si>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</si>
  <si>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</si>
  <si>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</si>
  <si>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</si>
  <si>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</si>
  <si>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</si>
  <si>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</si>
  <si>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</si>
  <si>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</si>
  <si>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</si>
  <si>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</si>
  <si>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</si>
  <si>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</si>
  <si>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</si>
  <si>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</si>
  <si>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</si>
  <si>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</si>
  <si>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</si>
  <si>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</si>
  <si>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</si>
  <si>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</si>
  <si>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</si>
  <si>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</si>
  <si>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</si>
  <si>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</si>
  <si>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</si>
  <si>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</si>
  <si>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</si>
  <si>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</si>
  <si>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</si>
  <si>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</si>
  <si>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</si>
  <si>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</si>
  <si>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</si>
  <si>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</si>
  <si>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</si>
  <si>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</si>
  <si>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</si>
  <si>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</si>
  <si>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</si>
  <si>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BSC</t>
    <phoneticPr fontId="7" type="noConversion"/>
  </si>
  <si>
    <t>世纪华通</t>
    <phoneticPr fontId="7" type="noConversion"/>
  </si>
  <si>
    <t>曦智</t>
    <phoneticPr fontId="7" type="noConversion"/>
  </si>
  <si>
    <t>润梦</t>
    <phoneticPr fontId="7" type="noConversion"/>
  </si>
  <si>
    <t>海云</t>
    <phoneticPr fontId="7" type="noConversion"/>
  </si>
  <si>
    <t>Bitpanda</t>
    <phoneticPr fontId="7" type="noConversion"/>
  </si>
  <si>
    <t>Little Freddie</t>
    <phoneticPr fontId="7" type="noConversion"/>
  </si>
  <si>
    <t>伙伴云</t>
    <phoneticPr fontId="7" type="noConversion"/>
  </si>
  <si>
    <t>Navigator</t>
    <phoneticPr fontId="7" type="noConversion"/>
  </si>
  <si>
    <t>游戏科学</t>
    <phoneticPr fontId="7" type="noConversion"/>
  </si>
  <si>
    <t>Drafting/reviewing/negotiating legal documents</t>
    <phoneticPr fontId="7" type="noConversion"/>
  </si>
  <si>
    <t>炎央文化</t>
    <phoneticPr fontId="7" type="noConversion"/>
  </si>
  <si>
    <t>众乐童乐</t>
    <phoneticPr fontId="7" type="noConversion"/>
  </si>
  <si>
    <t>修改公司进一步反馈的ESOP plan，和MA讨论pending issues</t>
    <phoneticPr fontId="7" type="noConversion"/>
  </si>
  <si>
    <t>审阅SHA准备SHA summary，和deal team讨论SPA及SHA相关问题，小结给deal team并反馈给LW; 跟进LDD进展及相关问题</t>
    <phoneticPr fontId="7" type="noConversion"/>
  </si>
  <si>
    <t>沟通公司资本公积转增方案；沟通历史奖金分配及分红问题，和律师讨论决策机制</t>
    <phoneticPr fontId="7" type="noConversion"/>
  </si>
  <si>
    <t>小药药</t>
    <phoneticPr fontId="7" type="noConversion"/>
  </si>
  <si>
    <t>审阅公司调查报告，和其他股东沟通调查情况，检索相关协议条款</t>
    <phoneticPr fontId="7" type="noConversion"/>
  </si>
  <si>
    <t>审阅、修改及定稿律师函</t>
    <phoneticPr fontId="7" type="noConversion"/>
  </si>
  <si>
    <t>和创始人沟通最新回购方案</t>
    <phoneticPr fontId="7" type="noConversion"/>
  </si>
  <si>
    <t>和诉讼同事沟通历史交易情况及证据提供</t>
    <phoneticPr fontId="7" type="noConversion"/>
  </si>
  <si>
    <t>和PA沟通自贸区主体可行性及项目最新进展及卡点；和财务同步；回复自选股相关主体问题</t>
    <phoneticPr fontId="7" type="noConversion"/>
  </si>
  <si>
    <t>申请H股KYC文件，聘用H股律师，讨论交易背景、潜在问题及股东调查表填写；和公司沟通IPO时间表及12个月内新增股东问题</t>
    <phoneticPr fontId="7" type="noConversion"/>
  </si>
  <si>
    <t>参加会议：关于重点投资公司法务评审安排</t>
    <phoneticPr fontId="7" type="noConversion"/>
  </si>
  <si>
    <t>账单确认及申请审批</t>
    <phoneticPr fontId="7" type="noConversion"/>
  </si>
  <si>
    <t>审阅及讨论创始人对后续资本运作的规划和相关问题</t>
    <phoneticPr fontId="7" type="noConversion"/>
  </si>
  <si>
    <t>审阅修改DDQ，和律师讨论并更新DDQ，反馈给deal team</t>
    <phoneticPr fontId="7" type="noConversion"/>
  </si>
  <si>
    <t>跟进谈判进度，沟通重新质押、利益分成安排等，安排董事会决议签署；沟通分拆还款方案；沟通反垄断相关问题</t>
    <phoneticPr fontId="7" type="noConversion"/>
  </si>
  <si>
    <t>和公司、其他投资人、deal team沟通协议修改和兜底条款；审阅、修改补充协议及决议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</si>
</sst>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4"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zoomScale="70" zoomScaleNormal="70" workbookViewId="0">
      <selection activeCell="G16" sqref="G16"/>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25.5" x14ac:dyDescent="0.4">
      <c r="B4" s="16" t="s">
        <v>72</v>
      </c>
      <c r="C4" s="14" t="s">
        <v>14</v>
      </c>
      <c r="D4" s="31" t="s">
        <v>74</v>
      </c>
      <c r="E4" s="9" t="s">
        <v>40</v>
      </c>
      <c r="F4" s="14" t="s">
        <v>73</v>
      </c>
      <c r="G4" s="29">
        <v>1.8</v>
      </c>
      <c r="H4" s="31" t="s">
        <v>36</v>
      </c>
      <c r="I4" s="30" t="s">
        <v>96</v>
      </c>
    </row>
    <row r="5" spans="2:9" ht="38.25" x14ac:dyDescent="0.4">
      <c r="B5" s="16" t="s">
        <v>72</v>
      </c>
      <c r="C5" s="14" t="s">
        <v>14</v>
      </c>
      <c r="D5" s="31" t="s">
        <v>76</v>
      </c>
      <c r="E5" s="9" t="s">
        <v>40</v>
      </c>
      <c r="F5" s="14" t="s">
        <v>73</v>
      </c>
      <c r="G5" s="29">
        <v>4.2</v>
      </c>
      <c r="H5" s="31" t="s">
        <v>36</v>
      </c>
      <c r="I5" s="30" t="s">
        <v>102</v>
      </c>
    </row>
    <row r="6" spans="2:9" ht="25.5" x14ac:dyDescent="0.4">
      <c r="B6" s="16" t="s">
        <v>72</v>
      </c>
      <c r="C6" s="14" t="s">
        <v>14</v>
      </c>
      <c r="D6" s="31" t="s">
        <v>76</v>
      </c>
      <c r="E6" s="9" t="s">
        <v>40</v>
      </c>
      <c r="F6" s="14" t="s">
        <v>73</v>
      </c>
      <c r="G6" s="29">
        <v>2.8</v>
      </c>
      <c r="H6" s="31" t="s">
        <v>20</v>
      </c>
      <c r="I6" s="30" t="s">
        <v>93</v>
      </c>
    </row>
    <row r="7" spans="2:9" ht="25.5" x14ac:dyDescent="0.4">
      <c r="B7" s="16" t="s">
        <v>72</v>
      </c>
      <c r="C7" s="31" t="s">
        <v>14</v>
      </c>
      <c r="D7" s="29" t="s">
        <v>84</v>
      </c>
      <c r="E7" s="29" t="s">
        <v>75</v>
      </c>
      <c r="F7" s="31" t="s">
        <v>73</v>
      </c>
      <c r="G7" s="29">
        <v>2.2999999999999998</v>
      </c>
      <c r="H7" s="31" t="s">
        <v>20</v>
      </c>
      <c r="I7" s="30" t="s">
        <v>90</v>
      </c>
    </row>
    <row r="8" spans="2:9" ht="38.25" x14ac:dyDescent="0.4">
      <c r="B8" s="16" t="s">
        <v>72</v>
      </c>
      <c r="C8" s="14" t="s">
        <v>14</v>
      </c>
      <c r="D8" s="29" t="s">
        <v>77</v>
      </c>
      <c r="E8" s="29" t="s">
        <v>75</v>
      </c>
      <c r="F8" s="31" t="s">
        <v>73</v>
      </c>
      <c r="G8" s="29">
        <v>3</v>
      </c>
      <c r="H8" s="31" t="s">
        <v>85</v>
      </c>
      <c r="I8" s="30" t="s">
        <v>97</v>
      </c>
    </row>
    <row r="9" spans="2:9" ht="25.5" x14ac:dyDescent="0.4">
      <c r="B9" s="16" t="s">
        <v>72</v>
      </c>
      <c r="C9" s="14" t="s">
        <v>14</v>
      </c>
      <c r="D9" s="29" t="s">
        <v>78</v>
      </c>
      <c r="E9" s="29" t="s">
        <v>75</v>
      </c>
      <c r="F9" s="31" t="s">
        <v>73</v>
      </c>
      <c r="G9" s="29">
        <v>3.2</v>
      </c>
      <c r="H9" s="31" t="s">
        <v>20</v>
      </c>
      <c r="I9" s="30" t="s">
        <v>103</v>
      </c>
    </row>
    <row r="10" spans="2:9" ht="25.5" x14ac:dyDescent="0.4">
      <c r="B10" s="16" t="s">
        <v>72</v>
      </c>
      <c r="C10" s="14" t="s">
        <v>14</v>
      </c>
      <c r="D10" s="29" t="s">
        <v>79</v>
      </c>
      <c r="E10" s="29" t="s">
        <v>75</v>
      </c>
      <c r="F10" s="31" t="s">
        <v>73</v>
      </c>
      <c r="G10" s="29">
        <v>0.9</v>
      </c>
      <c r="H10" s="31" t="s">
        <v>20</v>
      </c>
      <c r="I10" s="30" t="s">
        <v>100</v>
      </c>
    </row>
    <row r="11" spans="2:9" ht="38.25" x14ac:dyDescent="0.4">
      <c r="B11" s="16" t="s">
        <v>72</v>
      </c>
      <c r="C11" s="14" t="s">
        <v>14</v>
      </c>
      <c r="D11" s="29" t="s">
        <v>80</v>
      </c>
      <c r="E11" s="29" t="s">
        <v>75</v>
      </c>
      <c r="F11" s="31" t="s">
        <v>73</v>
      </c>
      <c r="G11" s="29">
        <v>4.8</v>
      </c>
      <c r="H11" s="31" t="s">
        <v>20</v>
      </c>
      <c r="I11" s="30" t="s">
        <v>89</v>
      </c>
    </row>
    <row r="12" spans="2:9" ht="25.5" x14ac:dyDescent="0.4">
      <c r="B12" s="16" t="s">
        <v>72</v>
      </c>
      <c r="C12" s="14" t="s">
        <v>14</v>
      </c>
      <c r="D12" s="29" t="s">
        <v>81</v>
      </c>
      <c r="E12" s="29" t="s">
        <v>75</v>
      </c>
      <c r="F12" s="31" t="s">
        <v>73</v>
      </c>
      <c r="G12" s="29">
        <v>0.6</v>
      </c>
      <c r="H12" s="31" t="s">
        <v>20</v>
      </c>
      <c r="I12" s="30" t="s">
        <v>94</v>
      </c>
    </row>
    <row r="13" spans="2:9" ht="25.5" x14ac:dyDescent="0.4">
      <c r="B13" s="16" t="s">
        <v>72</v>
      </c>
      <c r="C13" s="14" t="s">
        <v>14</v>
      </c>
      <c r="D13" s="29" t="s">
        <v>82</v>
      </c>
      <c r="E13" s="29" t="s">
        <v>75</v>
      </c>
      <c r="F13" s="31" t="s">
        <v>73</v>
      </c>
      <c r="G13" s="29">
        <v>0.5</v>
      </c>
      <c r="H13" s="31" t="s">
        <v>36</v>
      </c>
      <c r="I13" s="30" t="s">
        <v>95</v>
      </c>
    </row>
    <row r="14" spans="2:9" ht="25.5" x14ac:dyDescent="0.4">
      <c r="B14" s="16" t="s">
        <v>72</v>
      </c>
      <c r="C14" s="31" t="s">
        <v>14</v>
      </c>
      <c r="D14" s="29" t="s">
        <v>83</v>
      </c>
      <c r="E14" s="29" t="s">
        <v>75</v>
      </c>
      <c r="F14" s="31" t="s">
        <v>73</v>
      </c>
      <c r="G14" s="32">
        <v>2.5</v>
      </c>
      <c r="H14" s="31" t="s">
        <v>85</v>
      </c>
      <c r="I14" s="30" t="s">
        <v>101</v>
      </c>
    </row>
    <row r="15" spans="2:9" ht="25.5" x14ac:dyDescent="0.4">
      <c r="B15" s="16" t="s">
        <v>72</v>
      </c>
      <c r="C15" s="31" t="s">
        <v>14</v>
      </c>
      <c r="D15" s="29" t="s">
        <v>86</v>
      </c>
      <c r="E15" s="29" t="s">
        <v>75</v>
      </c>
      <c r="F15" s="31" t="s">
        <v>73</v>
      </c>
      <c r="G15" s="29">
        <v>1.6</v>
      </c>
      <c r="H15" s="31" t="s">
        <v>20</v>
      </c>
      <c r="I15" s="30" t="s">
        <v>88</v>
      </c>
    </row>
    <row r="16" spans="2:9" ht="25.5" x14ac:dyDescent="0.4">
      <c r="B16" s="16" t="s">
        <v>72</v>
      </c>
      <c r="C16" s="31" t="s">
        <v>14</v>
      </c>
      <c r="D16" s="29" t="s">
        <v>87</v>
      </c>
      <c r="E16" s="29" t="s">
        <v>75</v>
      </c>
      <c r="F16" s="31" t="s">
        <v>73</v>
      </c>
      <c r="G16" s="29">
        <v>0.5</v>
      </c>
      <c r="H16" s="31" t="s">
        <v>20</v>
      </c>
      <c r="I16" s="30" t="s">
        <v>99</v>
      </c>
    </row>
    <row r="17" spans="2:9" ht="25.5" x14ac:dyDescent="0.4">
      <c r="B17" s="16" t="s">
        <v>72</v>
      </c>
      <c r="C17" s="31" t="s">
        <v>14</v>
      </c>
      <c r="D17" s="29" t="s">
        <v>91</v>
      </c>
      <c r="E17" s="29" t="s">
        <v>75</v>
      </c>
      <c r="F17" s="31" t="s">
        <v>73</v>
      </c>
      <c r="G17" s="29">
        <v>2.6</v>
      </c>
      <c r="H17" s="31" t="s">
        <v>36</v>
      </c>
      <c r="I17" s="30" t="s">
        <v>92</v>
      </c>
    </row>
    <row r="18" spans="2:9" ht="25.5" x14ac:dyDescent="0.4">
      <c r="B18" s="16" t="s">
        <v>72</v>
      </c>
      <c r="C18" s="14" t="s">
        <v>18</v>
      </c>
      <c r="D18" s="29"/>
      <c r="E18" s="29" t="s">
        <v>66</v>
      </c>
      <c r="F18" s="31"/>
      <c r="G18" s="29">
        <v>1.5</v>
      </c>
      <c r="H18" s="31" t="s">
        <v>61</v>
      </c>
      <c r="I18" s="30"/>
    </row>
    <row r="19" spans="2:9" x14ac:dyDescent="0.4">
      <c r="B19" s="16" t="s">
        <v>72</v>
      </c>
      <c r="C19" s="14" t="s">
        <v>18</v>
      </c>
      <c r="D19" s="29"/>
      <c r="E19" s="29" t="s">
        <v>66</v>
      </c>
      <c r="F19" s="31"/>
      <c r="G19" s="29">
        <v>0.5</v>
      </c>
      <c r="H19" s="31" t="s">
        <v>24</v>
      </c>
      <c r="I19" s="30" t="s">
        <v>98</v>
      </c>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24"/>
      <c r="C25" s="25"/>
      <c r="D25" s="26"/>
      <c r="E25" s="26"/>
      <c r="F25" s="28" t="s">
        <v>67</v>
      </c>
      <c r="G25" s="36">
        <f>SUM(G3:G24)</f>
        <v>33.300000000000004</v>
      </c>
      <c r="H25" s="37"/>
      <c r="I25" s="38"/>
    </row>
    <row r="26" spans="2:9" ht="14.25" thickBot="1" x14ac:dyDescent="0.45">
      <c r="B26" s="20"/>
      <c r="C26" s="21"/>
      <c r="D26" s="22"/>
      <c r="E26" s="22"/>
      <c r="F26" s="27" t="s">
        <v>68</v>
      </c>
      <c r="G26" s="33">
        <v>5</v>
      </c>
      <c r="H26" s="34"/>
      <c r="I26" s="35"/>
    </row>
    <row r="27" spans="2:9" ht="14.25" thickTop="1" x14ac:dyDescent="0.4"/>
  </sheetData>
  <mergeCells count="2">
    <mergeCell ref="G26:I26"/>
    <mergeCell ref="G25:I25"/>
  </mergeCells>
  <phoneticPr fontId="7" type="noConversion"/>
  <dataValidations count="3">
    <dataValidation type="list" allowBlank="1" showInputMessage="1" showErrorMessage="1" sqref="F4:F6 F18:F24" xr:uid="{4D312F40-A074-4ABF-976C-C19F9AA3ED7C}">
      <formula1>INDIRECT(E4)</formula1>
    </dataValidation>
    <dataValidation type="list" allowBlank="1" showInputMessage="1" showErrorMessage="1" sqref="F7:F17" xr:uid="{7941E90A-E456-43ED-BB76-0DBB309CC050}">
      <formula1>INDIRECT(#REF!)</formula1>
    </dataValidation>
    <dataValidation type="list" allowBlank="1" showInputMessage="1" showErrorMessage="1" sqref="H4:H24" xr:uid="{0430C74B-CCCE-4366-BF01-C21E45E960AE}">
      <formula1>hh</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9DB55C1B-8CB9-4866-97F1-FA652D2C5BB0}">
          <x14:formula1>
            <xm:f>数据标签!$B$11:$D$11</xm:f>
          </x14:formula1>
          <xm:sqref>E20:E26 E4:E6</xm:sqref>
        </x14:dataValidation>
        <x14:dataValidation type="list" allowBlank="1" showInputMessage="1" showErrorMessage="1" xr:uid="{B2D1C4B7-2204-4546-A576-47074F2DD7B2}">
          <x14:formula1>
            <xm:f>数据标签!$B$2:$H$2</xm:f>
          </x14:formula1>
          <xm:sqref>C4:C6 C18:C26 C8:C13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16" sqref="B16"/>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2025-09-01T17:08:23Z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