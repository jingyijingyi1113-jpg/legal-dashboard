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8C23017C-F6B0-49A7-9A10-96AF263AA86F}"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<sst xmlns="http://schemas.openxmlformats.org/spreadsheetml/2006/main" count="227" uniqueCount="104">
  <si>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</si>
  <si>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</si>
  <si>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</si>
  <si>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</si>
  <si>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</si>
  <si>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</si>
  <si>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</si>
  <si>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</si>
  <si>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</si>
  <si>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</si>
  <si>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</si>
  <si>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</si>
  <si>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</si>
  <si>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</si>
  <si>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</si>
  <si>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</si>
  <si>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</si>
  <si>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</si>
  <si>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</si>
  <si>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</si>
  <si>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</si>
  <si>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</si>
  <si>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</si>
  <si>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</si>
  <si>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</si>
  <si>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</si>
  <si>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</si>
  <si>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</si>
  <si>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</si>
  <si>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</si>
  <si>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</si>
  <si>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</si>
  <si>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</si>
  <si>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</si>
  <si>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</si>
  <si>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</si>
  <si>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</si>
  <si>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</si>
  <si>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</si>
  <si>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</si>
  <si>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</si>
  <si>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</si>
  <si>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</si>
  <si>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</si>
  <si>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</si>
  <si>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</si>
  <si>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</si>
  <si>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</si>
  <si>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</si>
  <si>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</si>
  <si>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</si>
  <si>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</si>
  <si>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</si>
  <si>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</si>
  <si>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</si>
  <si>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</si>
  <si>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</si>
  <si>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</si>
  <si>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</si>
  <si>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</si>
  <si>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</si>
  <si>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</si>
  <si>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</si>
  <si>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</si>
  <si>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</si>
  <si>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</si>
  <si>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</si>
  <si>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</si>
  <si>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</si>
  <si>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</si>
  <si>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</si>
  <si>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</si>
  <si>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</si>
  <si>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</si>
  <si>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</si>
  <si>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</si>
  <si>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</si>
  <si>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</si>
  <si>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润梦</t>
    <phoneticPr fontId="7" type="noConversion"/>
  </si>
  <si>
    <t>Bitpanda</t>
    <phoneticPr fontId="7" type="noConversion"/>
  </si>
  <si>
    <t>Navigator</t>
    <phoneticPr fontId="7" type="noConversion"/>
  </si>
  <si>
    <t>游戏科学</t>
    <phoneticPr fontId="7" type="noConversion"/>
  </si>
  <si>
    <t>Drafting/reviewing/negotiating legal documents</t>
    <phoneticPr fontId="7" type="noConversion"/>
  </si>
  <si>
    <t>炎央文化</t>
    <phoneticPr fontId="7" type="noConversion"/>
  </si>
  <si>
    <t>小药药</t>
    <phoneticPr fontId="7" type="noConversion"/>
  </si>
  <si>
    <t>黑桃互动</t>
    <phoneticPr fontId="7" type="noConversion"/>
  </si>
  <si>
    <t>和MA讨论QIPO时限及退出抓手</t>
    <phoneticPr fontId="7" type="noConversion"/>
  </si>
  <si>
    <t>定稿决议及投资协议之补充协议</t>
    <phoneticPr fontId="7" type="noConversion"/>
  </si>
  <si>
    <t>定稿及签署ESOP相关决议</t>
    <phoneticPr fontId="7" type="noConversion"/>
  </si>
  <si>
    <t>Sensat</t>
    <phoneticPr fontId="7" type="noConversion"/>
  </si>
  <si>
    <t>审阅律师更新的SHA和Articles,并反馈给team</t>
    <phoneticPr fontId="7" type="noConversion"/>
  </si>
  <si>
    <t>审阅SPA反馈，回复给deal team并电话讨论issues，反馈给公司；审阅公司进一步修改的SPA并反馈给team</t>
    <phoneticPr fontId="7" type="noConversion"/>
  </si>
  <si>
    <t>审阅LW及公司反馈的LDD update；审阅FDD issues并相应和财务侧、LW沟通确认；审阅LDDR初稿</t>
    <phoneticPr fontId="7" type="noConversion"/>
  </si>
  <si>
    <t>审阅章程及决议，与律师沟通并反馈给deal team和公司；根据商业谈定的价格及股数更新文件并与律师、deal team沟通；审阅及沟通董事会制度、半年报及公司更新的制度；准备第一轮签署包</t>
    <phoneticPr fontId="7" type="noConversion"/>
  </si>
  <si>
    <t>和PA、业务讨论和政府合资的可行性方案，和律师沟通并准备分析；审阅及修改分析并内部讨论</t>
    <phoneticPr fontId="7" type="noConversion"/>
  </si>
  <si>
    <t>沟通工商变更登记问题，以及资本公积定向转增方案</t>
    <phoneticPr fontId="7" type="noConversion"/>
  </si>
  <si>
    <t>Frontier</t>
    <phoneticPr fontId="7" type="noConversion"/>
  </si>
  <si>
    <t>查找历史文件并回复关于董事提名权利相关问题</t>
    <phoneticPr fontId="7" type="noConversion"/>
  </si>
  <si>
    <t>灵游坊</t>
    <phoneticPr fontId="7" type="noConversion"/>
  </si>
  <si>
    <t>ESOP决议release，沟通减资事项</t>
    <phoneticPr fontId="7" type="noConversion"/>
  </si>
  <si>
    <t>沟通反垄断相关问题；沟通董事需关注事宜</t>
    <phoneticPr fontId="7" type="noConversion"/>
  </si>
  <si>
    <t>沟通上市时间表及认购途径，和deal team讨论文件修改及DDQ，相应修改并反馈给MS，内部同步项目进展</t>
    <phoneticPr fontId="7" type="noConversion"/>
  </si>
  <si>
    <t>沟通18C上市相关问题，包括领航资深独立投资人相关事项</t>
    <phoneticPr fontId="7" type="noConversion"/>
  </si>
  <si>
    <t>沟通最新退出背景及情况</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</si>
</sst>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7" zoomScale="70" zoomScaleNormal="70" workbookViewId="0">
      <selection activeCell="H17" sqref="H1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4.8</v>
      </c>
      <c r="H4" s="31" t="s">
        <v>36</v>
      </c>
      <c r="I4" s="30" t="s">
        <v>94</v>
      </c>
    </row>
    <row r="5" spans="2:9" ht="25.5" x14ac:dyDescent="0.4">
      <c r="B5" s="16" t="s">
        <v>72</v>
      </c>
      <c r="C5" s="14" t="s">
        <v>14</v>
      </c>
      <c r="D5" s="31" t="s">
        <v>76</v>
      </c>
      <c r="E5" s="9" t="s">
        <v>40</v>
      </c>
      <c r="F5" s="14" t="s">
        <v>73</v>
      </c>
      <c r="G5" s="29">
        <v>1.5</v>
      </c>
      <c r="H5" s="31" t="s">
        <v>36</v>
      </c>
      <c r="I5" s="30" t="s">
        <v>100</v>
      </c>
    </row>
    <row r="6" spans="2:9" ht="51" x14ac:dyDescent="0.4">
      <c r="B6" s="16" t="s">
        <v>72</v>
      </c>
      <c r="C6" s="14" t="s">
        <v>14</v>
      </c>
      <c r="D6" s="31" t="s">
        <v>76</v>
      </c>
      <c r="E6" s="9" t="s">
        <v>40</v>
      </c>
      <c r="F6" s="14" t="s">
        <v>73</v>
      </c>
      <c r="G6" s="29">
        <v>10.6</v>
      </c>
      <c r="H6" s="31" t="s">
        <v>20</v>
      </c>
      <c r="I6" s="30" t="s">
        <v>93</v>
      </c>
    </row>
    <row r="7" spans="2:9" ht="25.5" x14ac:dyDescent="0.4">
      <c r="B7" s="16" t="s">
        <v>72</v>
      </c>
      <c r="C7" s="31" t="s">
        <v>14</v>
      </c>
      <c r="D7" s="29" t="s">
        <v>81</v>
      </c>
      <c r="E7" s="29" t="s">
        <v>75</v>
      </c>
      <c r="F7" s="31" t="s">
        <v>73</v>
      </c>
      <c r="G7" s="29">
        <v>1.3</v>
      </c>
      <c r="H7" s="31" t="s">
        <v>20</v>
      </c>
      <c r="I7" s="30" t="s">
        <v>95</v>
      </c>
    </row>
    <row r="8" spans="2:9" ht="25.5" x14ac:dyDescent="0.4">
      <c r="B8" s="16" t="s">
        <v>72</v>
      </c>
      <c r="C8" s="14" t="s">
        <v>14</v>
      </c>
      <c r="D8" s="29" t="s">
        <v>77</v>
      </c>
      <c r="E8" s="29" t="s">
        <v>75</v>
      </c>
      <c r="F8" s="31" t="s">
        <v>73</v>
      </c>
      <c r="G8" s="29">
        <v>1</v>
      </c>
      <c r="H8" s="31" t="s">
        <v>82</v>
      </c>
      <c r="I8" s="30" t="s">
        <v>102</v>
      </c>
    </row>
    <row r="9" spans="2:9" ht="25.5" x14ac:dyDescent="0.4">
      <c r="B9" s="16" t="s">
        <v>72</v>
      </c>
      <c r="C9" s="14" t="s">
        <v>14</v>
      </c>
      <c r="D9" s="29" t="s">
        <v>78</v>
      </c>
      <c r="E9" s="29" t="s">
        <v>75</v>
      </c>
      <c r="F9" s="31" t="s">
        <v>73</v>
      </c>
      <c r="G9" s="29">
        <v>1.6</v>
      </c>
      <c r="H9" s="31" t="s">
        <v>20</v>
      </c>
      <c r="I9" s="30" t="s">
        <v>87</v>
      </c>
    </row>
    <row r="10" spans="2:9" ht="38.25" x14ac:dyDescent="0.4">
      <c r="B10" s="16" t="s">
        <v>72</v>
      </c>
      <c r="C10" s="14" t="s">
        <v>14</v>
      </c>
      <c r="D10" s="29" t="s">
        <v>79</v>
      </c>
      <c r="E10" s="29" t="s">
        <v>75</v>
      </c>
      <c r="F10" s="31" t="s">
        <v>73</v>
      </c>
      <c r="G10" s="29">
        <v>4.5999999999999996</v>
      </c>
      <c r="H10" s="31" t="s">
        <v>20</v>
      </c>
      <c r="I10" s="30" t="s">
        <v>91</v>
      </c>
    </row>
    <row r="11" spans="2:9" ht="38.25" x14ac:dyDescent="0.4">
      <c r="B11" s="16" t="s">
        <v>72</v>
      </c>
      <c r="C11" s="14" t="s">
        <v>14</v>
      </c>
      <c r="D11" s="29" t="s">
        <v>79</v>
      </c>
      <c r="E11" s="29" t="s">
        <v>75</v>
      </c>
      <c r="F11" s="31" t="s">
        <v>73</v>
      </c>
      <c r="G11" s="29">
        <v>3.5</v>
      </c>
      <c r="H11" s="31" t="s">
        <v>25</v>
      </c>
      <c r="I11" s="30" t="s">
        <v>92</v>
      </c>
    </row>
    <row r="12" spans="2:9" ht="38.25" x14ac:dyDescent="0.4">
      <c r="B12" s="16" t="s">
        <v>72</v>
      </c>
      <c r="C12" s="31" t="s">
        <v>14</v>
      </c>
      <c r="D12" s="29" t="s">
        <v>80</v>
      </c>
      <c r="E12" s="29" t="s">
        <v>75</v>
      </c>
      <c r="F12" s="31" t="s">
        <v>73</v>
      </c>
      <c r="G12" s="32">
        <v>4.8</v>
      </c>
      <c r="H12" s="31" t="s">
        <v>82</v>
      </c>
      <c r="I12" s="30" t="s">
        <v>101</v>
      </c>
    </row>
    <row r="13" spans="2:9" ht="25.5" x14ac:dyDescent="0.4">
      <c r="B13" s="16" t="s">
        <v>72</v>
      </c>
      <c r="C13" s="31" t="s">
        <v>14</v>
      </c>
      <c r="D13" s="29" t="s">
        <v>85</v>
      </c>
      <c r="E13" s="29" t="s">
        <v>75</v>
      </c>
      <c r="F13" s="31" t="s">
        <v>73</v>
      </c>
      <c r="G13" s="29">
        <v>0.5</v>
      </c>
      <c r="H13" s="31" t="s">
        <v>36</v>
      </c>
      <c r="I13" s="30" t="s">
        <v>86</v>
      </c>
    </row>
    <row r="14" spans="2:9" ht="25.5" x14ac:dyDescent="0.4">
      <c r="B14" s="16" t="s">
        <v>72</v>
      </c>
      <c r="C14" s="31" t="s">
        <v>14</v>
      </c>
      <c r="D14" s="29" t="s">
        <v>83</v>
      </c>
      <c r="E14" s="29" t="s">
        <v>75</v>
      </c>
      <c r="F14" s="31" t="s">
        <v>73</v>
      </c>
      <c r="G14" s="29">
        <v>0.7</v>
      </c>
      <c r="H14" s="31" t="s">
        <v>36</v>
      </c>
      <c r="I14" s="30" t="s">
        <v>88</v>
      </c>
    </row>
    <row r="15" spans="2:9" ht="25.5" x14ac:dyDescent="0.4">
      <c r="B15" s="16" t="s">
        <v>72</v>
      </c>
      <c r="C15" s="31" t="s">
        <v>14</v>
      </c>
      <c r="D15" s="29" t="s">
        <v>84</v>
      </c>
      <c r="E15" s="29" t="s">
        <v>75</v>
      </c>
      <c r="F15" s="31" t="s">
        <v>73</v>
      </c>
      <c r="G15" s="29">
        <v>0.3</v>
      </c>
      <c r="H15" s="31" t="s">
        <v>36</v>
      </c>
      <c r="I15" s="30" t="s">
        <v>103</v>
      </c>
    </row>
    <row r="16" spans="2:9" ht="25.5" x14ac:dyDescent="0.4">
      <c r="B16" s="16" t="s">
        <v>72</v>
      </c>
      <c r="C16" s="31" t="s">
        <v>14</v>
      </c>
      <c r="D16" s="29" t="s">
        <v>89</v>
      </c>
      <c r="E16" s="29" t="s">
        <v>75</v>
      </c>
      <c r="F16" s="31" t="s">
        <v>73</v>
      </c>
      <c r="G16" s="29">
        <v>2.6</v>
      </c>
      <c r="H16" s="31" t="s">
        <v>20</v>
      </c>
      <c r="I16" s="30" t="s">
        <v>90</v>
      </c>
    </row>
    <row r="17" spans="2:9" ht="25.5" x14ac:dyDescent="0.4">
      <c r="B17" s="16" t="s">
        <v>72</v>
      </c>
      <c r="C17" s="31" t="s">
        <v>14</v>
      </c>
      <c r="D17" s="29" t="s">
        <v>96</v>
      </c>
      <c r="E17" s="29" t="s">
        <v>75</v>
      </c>
      <c r="F17" s="31" t="s">
        <v>73</v>
      </c>
      <c r="G17" s="29">
        <v>0.8</v>
      </c>
      <c r="H17" s="31" t="s">
        <v>36</v>
      </c>
      <c r="I17" s="30" t="s">
        <v>97</v>
      </c>
    </row>
    <row r="18" spans="2:9" ht="25.5" x14ac:dyDescent="0.4">
      <c r="B18" s="16" t="s">
        <v>72</v>
      </c>
      <c r="C18" s="31" t="s">
        <v>14</v>
      </c>
      <c r="D18" s="29" t="s">
        <v>98</v>
      </c>
      <c r="E18" s="29" t="s">
        <v>75</v>
      </c>
      <c r="F18" s="31" t="s">
        <v>73</v>
      </c>
      <c r="G18" s="29">
        <v>0.5</v>
      </c>
      <c r="H18" s="31" t="s">
        <v>36</v>
      </c>
      <c r="I18" s="30" t="s">
        <v>99</v>
      </c>
    </row>
    <row r="19" spans="2:9" ht="25.5" x14ac:dyDescent="0.4">
      <c r="B19" s="16" t="s">
        <v>72</v>
      </c>
      <c r="C19" s="14" t="s">
        <v>18</v>
      </c>
      <c r="D19" s="29"/>
      <c r="E19" s="29" t="s">
        <v>66</v>
      </c>
      <c r="F19" s="31"/>
      <c r="G19" s="29">
        <v>1</v>
      </c>
      <c r="H19" s="31" t="s">
        <v>61</v>
      </c>
      <c r="I19" s="30"/>
    </row>
    <row r="20" spans="2:9" x14ac:dyDescent="0.4">
      <c r="B20" s="16" t="s">
        <v>72</v>
      </c>
      <c r="C20" s="14" t="s">
        <v>18</v>
      </c>
      <c r="D20" s="29"/>
      <c r="E20" s="29" t="s">
        <v>66</v>
      </c>
      <c r="F20" s="31"/>
      <c r="G20" s="29">
        <v>1.2</v>
      </c>
      <c r="H20" s="31" t="s">
        <v>24</v>
      </c>
      <c r="I20" s="30"/>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24"/>
      <c r="C26" s="25"/>
      <c r="D26" s="26"/>
      <c r="E26" s="26"/>
      <c r="F26" s="28" t="s">
        <v>67</v>
      </c>
      <c r="G26" s="36">
        <f>SUM(G3:G25)</f>
        <v>41.3</v>
      </c>
      <c r="H26" s="37"/>
      <c r="I26" s="38"/>
    </row>
    <row r="27" spans="2:9" ht="14.25" thickBot="1" x14ac:dyDescent="0.45">
      <c r="B27" s="20"/>
      <c r="C27" s="21"/>
      <c r="D27" s="22"/>
      <c r="E27" s="22"/>
      <c r="F27" s="27" t="s">
        <v>68</v>
      </c>
      <c r="G27" s="33">
        <v>5</v>
      </c>
      <c r="H27" s="34"/>
      <c r="I27" s="35"/>
    </row>
    <row r="28" spans="2:9" ht="14.25" thickTop="1" x14ac:dyDescent="0.4"/>
  </sheetData>
  <mergeCells count="2">
    <mergeCell ref="G27:I27"/>
    <mergeCell ref="G26:I26"/>
  </mergeCells>
  <phoneticPr fontId="7" type="noConversion"/>
  <dataValidations count="3">
    <dataValidation type="list" allowBlank="1" showInputMessage="1" showErrorMessage="1" sqref="F4:F6 F19:F25" xr:uid="{4D312F40-A074-4ABF-976C-C19F9AA3ED7C}">
      <formula1>INDIRECT(E4)</formula1>
    </dataValidation>
    <dataValidation type="list" allowBlank="1" showInputMessage="1" showErrorMessage="1" sqref="F7:F18" xr:uid="{7941E90A-E456-43ED-BB76-0DBB309CC050}">
      <formula1>INDIRECT(#REF!)</formula1>
    </dataValidation>
    <dataValidation type="list" allowBlank="1" showInputMessage="1" showErrorMessage="1" sqref="H4:H25"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E21:E27 E4:E6</xm:sqref>
        </x14:dataValidation>
        <x14:dataValidation type="list" allowBlank="1" showInputMessage="1" showErrorMessage="1" xr:uid="{B2D1C4B7-2204-4546-A576-47074F2DD7B2}">
          <x14:formula1>
            <xm:f>数据标签!$B$2:$H$2</xm:f>
          </x14:formula1>
          <xm:sqref>C4:C6 C19:C27 C8:C11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2025-09-01T17:03:53Z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