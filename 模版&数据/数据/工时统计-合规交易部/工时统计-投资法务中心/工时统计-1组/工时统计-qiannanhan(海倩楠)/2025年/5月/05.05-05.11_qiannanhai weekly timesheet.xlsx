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A0D0A1B9-4D64-42D6-A063-909488343BDD}"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<sst xmlns="http://schemas.openxmlformats.org/spreadsheetml/2006/main" count="160" uniqueCount="87">
  <si>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</si>
  <si>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</si>
  <si>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</si>
  <si>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</si>
  <si>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</si>
  <si>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</si>
  <si>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</si>
  <si>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</si>
  <si>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</si>
  <si>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</si>
  <si>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</si>
  <si>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</si>
  <si>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</si>
  <si>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</si>
  <si>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</si>
  <si>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</si>
  <si>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</si>
  <si>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</si>
  <si>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</si>
  <si>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</si>
  <si>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</si>
  <si>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</si>
  <si>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</si>
  <si>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</si>
  <si>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</si>
  <si>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</si>
  <si>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</si>
  <si>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</si>
  <si>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</si>
  <si>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</si>
  <si>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</si>
  <si>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</si>
  <si>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</si>
  <si>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</si>
  <si>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</si>
  <si>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</si>
  <si>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</si>
  <si>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</si>
  <si>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</si>
  <si>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</si>
  <si>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</si>
  <si>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</si>
  <si>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</si>
  <si>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</si>
  <si>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</si>
  <si>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</si>
  <si>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</si>
  <si>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</si>
  <si>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</si>
  <si>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</si>
  <si>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</si>
  <si>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</si>
  <si>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</si>
  <si>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</si>
  <si>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</si>
  <si>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</si>
  <si>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</si>
  <si>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</si>
  <si>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</si>
  <si>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</si>
  <si>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</si>
  <si>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</si>
  <si>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</si>
  <si>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</si>
  <si>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</si>
  <si>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</si>
  <si>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</si>
  <si>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</si>
  <si>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</si>
  <si>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</si>
  <si>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</si>
  <si>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</si>
  <si>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</si>
  <si>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</si>
  <si>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</si>
  <si>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</si>
  <si>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</si>
  <si>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</si>
  <si>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TGIF暗星</t>
    <phoneticPr fontId="7" type="noConversion"/>
  </si>
  <si>
    <t>Classin</t>
    <phoneticPr fontId="7" type="noConversion"/>
  </si>
  <si>
    <t>Discussing with deal team and external counsel re clauses under SPA</t>
    <phoneticPr fontId="7" type="noConversion"/>
  </si>
  <si>
    <t>Preparing a statement letter re execution of SPA, reverting to questions raised by local regulators</t>
    <phoneticPr fontId="7" type="noConversion"/>
  </si>
  <si>
    <t>Discussing with company and deal team re TS and restructuring issues</t>
    <phoneticPr fontId="7" type="noConversion"/>
  </si>
  <si>
    <t>奇侠互娱</t>
    <phoneticPr fontId="7" type="noConversion"/>
  </si>
  <si>
    <t>Reviewing resolutions and amended AoA re change of directors</t>
    <phoneticPr fontId="7" type="noConversion"/>
  </si>
  <si>
    <t>Reviewing and commenting on share repurchase documents and issues list prepared by external counsel; discussing the same with external counsel</t>
    <phoneticPr fontId="7" type="noConversion"/>
  </si>
  <si>
    <t>Discussing with deal team, business team, PA and internal legal team re our investment entity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</si>
</sst>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70" zoomScaleNormal="70" workbookViewId="0">
      <selection activeCell="L7" sqref="L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0.7</v>
      </c>
      <c r="H4" s="31" t="s">
        <v>77</v>
      </c>
      <c r="I4" s="30" t="s">
        <v>80</v>
      </c>
    </row>
    <row r="5" spans="2:9" ht="25.5" x14ac:dyDescent="0.4">
      <c r="B5" s="16" t="s">
        <v>72</v>
      </c>
      <c r="C5" s="14" t="s">
        <v>14</v>
      </c>
      <c r="D5" s="31" t="s">
        <v>74</v>
      </c>
      <c r="E5" s="9" t="s">
        <v>40</v>
      </c>
      <c r="F5" s="14" t="s">
        <v>73</v>
      </c>
      <c r="G5" s="29">
        <v>2.2000000000000002</v>
      </c>
      <c r="H5" s="31" t="s">
        <v>32</v>
      </c>
      <c r="I5" s="30" t="s">
        <v>81</v>
      </c>
    </row>
    <row r="6" spans="2:9" ht="25.5" x14ac:dyDescent="0.4">
      <c r="B6" s="16" t="s">
        <v>72</v>
      </c>
      <c r="C6" s="14" t="s">
        <v>14</v>
      </c>
      <c r="D6" s="31" t="s">
        <v>74</v>
      </c>
      <c r="E6" s="9" t="s">
        <v>40</v>
      </c>
      <c r="F6" s="14" t="s">
        <v>73</v>
      </c>
      <c r="G6" s="29">
        <v>1</v>
      </c>
      <c r="H6" s="31" t="s">
        <v>36</v>
      </c>
      <c r="I6" s="30" t="s">
        <v>86</v>
      </c>
    </row>
    <row r="7" spans="2:9" ht="25.5" x14ac:dyDescent="0.4">
      <c r="B7" s="16" t="s">
        <v>72</v>
      </c>
      <c r="C7" s="14" t="s">
        <v>14</v>
      </c>
      <c r="D7" s="29" t="s">
        <v>78</v>
      </c>
      <c r="E7" s="29" t="s">
        <v>76</v>
      </c>
      <c r="F7" s="31" t="s">
        <v>73</v>
      </c>
      <c r="G7" s="29">
        <v>1.5</v>
      </c>
      <c r="H7" s="31" t="s">
        <v>36</v>
      </c>
      <c r="I7" s="30" t="s">
        <v>82</v>
      </c>
    </row>
    <row r="8" spans="2:9" ht="25.5" x14ac:dyDescent="0.4">
      <c r="B8" s="16" t="s">
        <v>72</v>
      </c>
      <c r="C8" s="14" t="s">
        <v>14</v>
      </c>
      <c r="D8" s="29" t="s">
        <v>83</v>
      </c>
      <c r="E8" s="29" t="s">
        <v>76</v>
      </c>
      <c r="F8" s="31" t="s">
        <v>73</v>
      </c>
      <c r="G8" s="29">
        <v>1</v>
      </c>
      <c r="H8" s="31" t="s">
        <v>20</v>
      </c>
      <c r="I8" s="30" t="s">
        <v>84</v>
      </c>
    </row>
    <row r="9" spans="2:9" ht="38.25" x14ac:dyDescent="0.4">
      <c r="B9" s="16" t="s">
        <v>72</v>
      </c>
      <c r="C9" s="14" t="s">
        <v>14</v>
      </c>
      <c r="D9" s="29" t="s">
        <v>79</v>
      </c>
      <c r="E9" s="29" t="s">
        <v>76</v>
      </c>
      <c r="F9" s="31" t="s">
        <v>73</v>
      </c>
      <c r="G9" s="29">
        <v>2.6</v>
      </c>
      <c r="H9" s="31" t="s">
        <v>20</v>
      </c>
      <c r="I9" s="30" t="s">
        <v>85</v>
      </c>
    </row>
    <row r="10" spans="2:9" ht="25.5" x14ac:dyDescent="0.4">
      <c r="B10" s="16" t="s">
        <v>72</v>
      </c>
      <c r="C10" s="14" t="s">
        <v>18</v>
      </c>
      <c r="D10" s="29"/>
      <c r="E10" s="29" t="s">
        <v>66</v>
      </c>
      <c r="F10" s="31"/>
      <c r="G10" s="29">
        <v>0.3</v>
      </c>
      <c r="H10" s="31" t="s">
        <v>75</v>
      </c>
      <c r="I10" s="30"/>
    </row>
    <row r="11" spans="2:9" x14ac:dyDescent="0.4">
      <c r="B11" s="8"/>
      <c r="C11" s="14"/>
      <c r="D11" s="9"/>
      <c r="E11" s="9"/>
      <c r="F11" s="14"/>
      <c r="G11" s="9"/>
      <c r="H11" s="14"/>
      <c r="I11" s="12"/>
    </row>
    <row r="12" spans="2:9" x14ac:dyDescent="0.4">
      <c r="B12" s="8"/>
      <c r="C12" s="14"/>
      <c r="D12" s="9"/>
      <c r="E12" s="9"/>
      <c r="F12" s="14"/>
      <c r="G12" s="9"/>
      <c r="H12" s="14"/>
      <c r="I12" s="12"/>
    </row>
    <row r="13" spans="2:9" x14ac:dyDescent="0.4">
      <c r="B13" s="8"/>
      <c r="C13" s="14"/>
      <c r="D13" s="9"/>
      <c r="E13" s="9"/>
      <c r="F13" s="14"/>
      <c r="G13" s="9"/>
      <c r="H13" s="14"/>
      <c r="I13" s="12"/>
    </row>
    <row r="14" spans="2:9" x14ac:dyDescent="0.4">
      <c r="B14" s="8"/>
      <c r="C14" s="14"/>
      <c r="D14" s="9"/>
      <c r="E14" s="9"/>
      <c r="F14" s="14"/>
      <c r="G14" s="9"/>
      <c r="H14" s="14"/>
      <c r="I14" s="12"/>
    </row>
    <row r="15" spans="2:9" x14ac:dyDescent="0.4">
      <c r="B15" s="8"/>
      <c r="C15" s="14"/>
      <c r="D15" s="9"/>
      <c r="E15" s="9"/>
      <c r="F15" s="14"/>
      <c r="G15" s="9"/>
      <c r="H15" s="14"/>
      <c r="I15" s="12"/>
    </row>
    <row r="16" spans="2:9" x14ac:dyDescent="0.4">
      <c r="B16" s="24"/>
      <c r="C16" s="25"/>
      <c r="D16" s="26"/>
      <c r="E16" s="26"/>
      <c r="F16" s="28" t="s">
        <v>67</v>
      </c>
      <c r="G16" s="35">
        <f>SUM(G3:G15)</f>
        <v>9.3000000000000007</v>
      </c>
      <c r="H16" s="36"/>
      <c r="I16" s="37"/>
    </row>
    <row r="17" spans="2:9" ht="14.25" thickBot="1" x14ac:dyDescent="0.45">
      <c r="B17" s="20"/>
      <c r="C17" s="21"/>
      <c r="D17" s="22"/>
      <c r="E17" s="22"/>
      <c r="F17" s="27" t="s">
        <v>68</v>
      </c>
      <c r="G17" s="32">
        <v>0</v>
      </c>
      <c r="H17" s="33"/>
      <c r="I17" s="34"/>
    </row>
    <row r="18" spans="2:9" ht="14.25" thickTop="1" x14ac:dyDescent="0.4"/>
  </sheetData>
  <mergeCells count="2">
    <mergeCell ref="G17:I17"/>
    <mergeCell ref="G16:I16"/>
  </mergeCells>
  <phoneticPr fontId="7" type="noConversion"/>
  <dataValidations count="3">
    <dataValidation type="list" allowBlank="1" showInputMessage="1" showErrorMessage="1" sqref="F10:F15 F4:F7" xr:uid="{B7A1F260-C374-4F12-B5D8-38763B9283E8}">
      <formula1>INDIRECT(E4)</formula1>
    </dataValidation>
    <dataValidation type="list" allowBlank="1" showInputMessage="1" showErrorMessage="1" sqref="F8:F9" xr:uid="{BB1B97F8-AC92-4AC2-ACAE-AB91E6B7812C}">
      <formula1>INDIRECT(#REF!)</formula1>
    </dataValidation>
    <dataValidation type="list" allowBlank="1" showInputMessage="1" showErrorMessage="1" sqref="H4:H15"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E11:E17 E4:E6</xm:sqref>
        </x14:dataValidation>
        <x14:dataValidation type="list" allowBlank="1" showInputMessage="1" showErrorMessage="1" xr:uid="{1BF3D93C-EBD2-4BC9-A981-9B9F7D94E14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2025-06-04T09:15:01Z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