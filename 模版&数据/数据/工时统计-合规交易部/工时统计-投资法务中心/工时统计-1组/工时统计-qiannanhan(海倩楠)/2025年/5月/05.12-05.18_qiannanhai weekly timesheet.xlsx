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F0416B6F-D701-4CD6-A1E9-20C67B29D5E0}" xr6:coauthVersionLast="47" xr6:coauthVersionMax="47" xr10:uidLastSave="{00000000-0000-0000-0000-000000000000}"/>
  <bookViews>
    <workbookView xWindow="254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<sst xmlns="http://schemas.openxmlformats.org/spreadsheetml/2006/main" count="210" uniqueCount="99">
  <si>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</si>
  <si>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</si>
  <si>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</si>
  <si>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</si>
  <si>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</si>
  <si>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</si>
  <si>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</si>
  <si>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</si>
  <si>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</si>
  <si>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</si>
  <si>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</si>
  <si>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</si>
  <si>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</si>
  <si>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</si>
  <si>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</si>
  <si>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</si>
  <si>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</si>
  <si>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</si>
  <si>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</si>
  <si>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</si>
  <si>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</si>
  <si>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</si>
  <si>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</si>
  <si>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</si>
  <si>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</si>
  <si>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</si>
  <si>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</si>
  <si>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</si>
  <si>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</si>
  <si>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</si>
  <si>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</si>
  <si>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</si>
  <si>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</si>
  <si>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</si>
  <si>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</si>
  <si>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</si>
  <si>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</si>
  <si>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</si>
  <si>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</si>
  <si>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</si>
  <si>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</si>
  <si>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</si>
  <si>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</si>
  <si>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</si>
  <si>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</si>
  <si>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</si>
  <si>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</si>
  <si>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</si>
  <si>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</si>
  <si>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</si>
  <si>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</si>
  <si>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</si>
  <si>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</si>
  <si>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</si>
  <si>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</si>
  <si>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</si>
  <si>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</si>
  <si>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</si>
  <si>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</si>
  <si>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</si>
  <si>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</si>
  <si>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</si>
  <si>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</si>
  <si>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</si>
  <si>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</si>
  <si>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</si>
  <si>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</si>
  <si>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</si>
  <si>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</si>
  <si>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</si>
  <si>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</si>
  <si>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</si>
  <si>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</si>
  <si>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</si>
  <si>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</si>
  <si>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Recording/reviewing deals updates/weekly time reports/other team summaries</t>
  </si>
  <si>
    <t>BSC</t>
    <phoneticPr fontId="7" type="noConversion"/>
  </si>
  <si>
    <t>Drafting/reviewing/negotiating legal documents</t>
    <phoneticPr fontId="7" type="noConversion"/>
  </si>
  <si>
    <t>Classin</t>
    <phoneticPr fontId="7" type="noConversion"/>
  </si>
  <si>
    <t>Dealing with summaries re “法务管理节点” and “按人头分项目表”</t>
    <phoneticPr fontId="7" type="noConversion"/>
  </si>
  <si>
    <t>Dealing with 入库 for 齐聚，TT语音 and 天美MCN</t>
    <phoneticPr fontId="7" type="noConversion"/>
  </si>
  <si>
    <t>Discussing with deal team re comments on share repurchase documents; reverting to company</t>
    <phoneticPr fontId="7" type="noConversion"/>
  </si>
  <si>
    <t>轻流</t>
    <phoneticPr fontId="7" type="noConversion"/>
  </si>
  <si>
    <t>Reviewing AMR documents re change of directors</t>
    <phoneticPr fontId="7" type="noConversion"/>
  </si>
  <si>
    <t>TT语音</t>
    <phoneticPr fontId="7" type="noConversion"/>
  </si>
  <si>
    <t>Reviewing the PoA for tax filing</t>
    <phoneticPr fontId="7" type="noConversion"/>
  </si>
  <si>
    <t>Little Freddie</t>
    <phoneticPr fontId="7" type="noConversion"/>
  </si>
  <si>
    <t>Discussing with external counsel, deal team and Carlyle re next steps and litigation strategies, as well as engagement of Cayman legal counsel</t>
    <phoneticPr fontId="7" type="noConversion"/>
  </si>
  <si>
    <t>Preparing the redemption notice for the remaining shares, the draft email reply to founders re financial position, litigation strategies and cap table for distribution to shareholders</t>
    <phoneticPr fontId="7" type="noConversion"/>
  </si>
  <si>
    <t>Preparing the legal fee application for Little freddie, discussing the same with internal legal team and external counsel</t>
    <phoneticPr fontId="7" type="noConversion"/>
  </si>
  <si>
    <t>光子MCN</t>
    <phoneticPr fontId="7" type="noConversion"/>
  </si>
  <si>
    <t>Discussing with deal team and external counsel re closing status</t>
    <phoneticPr fontId="7" type="noConversion"/>
  </si>
  <si>
    <t>墨奇</t>
    <phoneticPr fontId="7" type="noConversion"/>
  </si>
  <si>
    <t>Discussing with deal team and external counsel re liquitation and asset disposal arrangements of 北京墨奇and potential risks</t>
    <phoneticPr fontId="7" type="noConversion"/>
  </si>
  <si>
    <t>灵游坊</t>
    <phoneticPr fontId="7" type="noConversion"/>
  </si>
  <si>
    <t>Following up on share pledge documents and ESOP plan; arrange courier of signature pages</t>
    <phoneticPr fontId="7" type="noConversion"/>
  </si>
  <si>
    <t>Reviewing and commenting on FDD EL; Preparing the undertaking letter for execution of SPA</t>
    <phoneticPr fontId="7" type="noConversion"/>
  </si>
  <si>
    <t>Revising the application documents for 科技成都; reverting to inquries re 腾安 and VIE-related issues, as well as execution of SPA prior to filing; discussing the same with internal legal team, deal team and PA</t>
    <phoneticPr fontId="7" type="noConversion"/>
  </si>
  <si>
    <t>Discussing with deal team, business team, PA and internal legal team re our investment entities available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</si>
</sst>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70" zoomScaleNormal="70" workbookViewId="0">
      <selection activeCell="H7" sqref="H7"/>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25.5" x14ac:dyDescent="0.4">
      <c r="B4" s="16" t="s">
        <v>72</v>
      </c>
      <c r="C4" s="14" t="s">
        <v>14</v>
      </c>
      <c r="D4" s="31" t="s">
        <v>74</v>
      </c>
      <c r="E4" s="9" t="s">
        <v>40</v>
      </c>
      <c r="F4" s="14" t="s">
        <v>73</v>
      </c>
      <c r="G4" s="29">
        <v>1.8</v>
      </c>
      <c r="H4" s="31" t="s">
        <v>77</v>
      </c>
      <c r="I4" s="30" t="s">
        <v>96</v>
      </c>
    </row>
    <row r="5" spans="2:9" ht="63.75" x14ac:dyDescent="0.4">
      <c r="B5" s="16" t="s">
        <v>72</v>
      </c>
      <c r="C5" s="14" t="s">
        <v>14</v>
      </c>
      <c r="D5" s="31" t="s">
        <v>74</v>
      </c>
      <c r="E5" s="9" t="s">
        <v>40</v>
      </c>
      <c r="F5" s="14" t="s">
        <v>73</v>
      </c>
      <c r="G5" s="29">
        <v>5.9</v>
      </c>
      <c r="H5" s="31" t="s">
        <v>32</v>
      </c>
      <c r="I5" s="30" t="s">
        <v>97</v>
      </c>
    </row>
    <row r="6" spans="2:9" ht="38.25" x14ac:dyDescent="0.4">
      <c r="B6" s="16" t="s">
        <v>72</v>
      </c>
      <c r="C6" s="14" t="s">
        <v>14</v>
      </c>
      <c r="D6" s="31" t="s">
        <v>74</v>
      </c>
      <c r="E6" s="9" t="s">
        <v>40</v>
      </c>
      <c r="F6" s="14" t="s">
        <v>73</v>
      </c>
      <c r="G6" s="29">
        <v>3.7</v>
      </c>
      <c r="H6" s="31" t="s">
        <v>36</v>
      </c>
      <c r="I6" s="30" t="s">
        <v>98</v>
      </c>
    </row>
    <row r="7" spans="2:9" ht="51" x14ac:dyDescent="0.4">
      <c r="B7" s="16" t="s">
        <v>72</v>
      </c>
      <c r="C7" s="14" t="s">
        <v>14</v>
      </c>
      <c r="D7" s="31" t="s">
        <v>86</v>
      </c>
      <c r="E7" s="9" t="s">
        <v>40</v>
      </c>
      <c r="F7" s="14" t="s">
        <v>73</v>
      </c>
      <c r="G7" s="29">
        <v>5.6</v>
      </c>
      <c r="H7" s="31" t="s">
        <v>20</v>
      </c>
      <c r="I7" s="30" t="s">
        <v>88</v>
      </c>
    </row>
    <row r="8" spans="2:9" ht="38.25" x14ac:dyDescent="0.4">
      <c r="B8" s="16" t="s">
        <v>72</v>
      </c>
      <c r="C8" s="14" t="s">
        <v>14</v>
      </c>
      <c r="D8" s="31" t="s">
        <v>86</v>
      </c>
      <c r="E8" s="9" t="s">
        <v>40</v>
      </c>
      <c r="F8" s="14" t="s">
        <v>73</v>
      </c>
      <c r="G8" s="29">
        <v>4.5</v>
      </c>
      <c r="H8" s="31" t="s">
        <v>36</v>
      </c>
      <c r="I8" s="30" t="s">
        <v>87</v>
      </c>
    </row>
    <row r="9" spans="2:9" ht="25.5" x14ac:dyDescent="0.4">
      <c r="B9" s="16" t="s">
        <v>72</v>
      </c>
      <c r="C9" s="14" t="s">
        <v>14</v>
      </c>
      <c r="D9" s="29" t="s">
        <v>84</v>
      </c>
      <c r="E9" s="29" t="s">
        <v>76</v>
      </c>
      <c r="F9" s="31" t="s">
        <v>73</v>
      </c>
      <c r="G9" s="29">
        <v>0.5</v>
      </c>
      <c r="H9" s="31" t="s">
        <v>20</v>
      </c>
      <c r="I9" s="30" t="s">
        <v>85</v>
      </c>
    </row>
    <row r="10" spans="2:9" ht="25.5" x14ac:dyDescent="0.4">
      <c r="B10" s="16" t="s">
        <v>72</v>
      </c>
      <c r="C10" s="14" t="s">
        <v>14</v>
      </c>
      <c r="D10" s="29" t="s">
        <v>82</v>
      </c>
      <c r="E10" s="29" t="s">
        <v>76</v>
      </c>
      <c r="F10" s="31" t="s">
        <v>73</v>
      </c>
      <c r="G10" s="29">
        <v>0.3</v>
      </c>
      <c r="H10" s="31" t="s">
        <v>20</v>
      </c>
      <c r="I10" s="30" t="s">
        <v>83</v>
      </c>
    </row>
    <row r="11" spans="2:9" ht="25.5" x14ac:dyDescent="0.4">
      <c r="B11" s="16" t="s">
        <v>72</v>
      </c>
      <c r="C11" s="14" t="s">
        <v>14</v>
      </c>
      <c r="D11" s="29" t="s">
        <v>78</v>
      </c>
      <c r="E11" s="29" t="s">
        <v>76</v>
      </c>
      <c r="F11" s="31" t="s">
        <v>73</v>
      </c>
      <c r="G11" s="29">
        <v>1.4</v>
      </c>
      <c r="H11" s="31" t="s">
        <v>20</v>
      </c>
      <c r="I11" s="30" t="s">
        <v>81</v>
      </c>
    </row>
    <row r="12" spans="2:9" ht="25.5" x14ac:dyDescent="0.4">
      <c r="B12" s="16" t="s">
        <v>72</v>
      </c>
      <c r="C12" s="14" t="s">
        <v>14</v>
      </c>
      <c r="D12" s="29" t="s">
        <v>90</v>
      </c>
      <c r="E12" s="29" t="s">
        <v>76</v>
      </c>
      <c r="F12" s="31" t="s">
        <v>73</v>
      </c>
      <c r="G12" s="29">
        <v>0.5</v>
      </c>
      <c r="H12" s="31" t="s">
        <v>36</v>
      </c>
      <c r="I12" s="30" t="s">
        <v>91</v>
      </c>
    </row>
    <row r="13" spans="2:9" ht="38.25" x14ac:dyDescent="0.4">
      <c r="B13" s="16" t="s">
        <v>72</v>
      </c>
      <c r="C13" s="14" t="s">
        <v>14</v>
      </c>
      <c r="D13" s="29" t="s">
        <v>92</v>
      </c>
      <c r="E13" s="29" t="s">
        <v>76</v>
      </c>
      <c r="F13" s="31" t="s">
        <v>73</v>
      </c>
      <c r="G13" s="29">
        <v>1.3</v>
      </c>
      <c r="H13" s="31" t="s">
        <v>36</v>
      </c>
      <c r="I13" s="30" t="s">
        <v>93</v>
      </c>
    </row>
    <row r="14" spans="2:9" ht="25.5" x14ac:dyDescent="0.4">
      <c r="B14" s="16" t="s">
        <v>72</v>
      </c>
      <c r="C14" s="14" t="s">
        <v>14</v>
      </c>
      <c r="D14" s="29" t="s">
        <v>94</v>
      </c>
      <c r="E14" s="29" t="s">
        <v>76</v>
      </c>
      <c r="F14" s="31" t="s">
        <v>73</v>
      </c>
      <c r="G14" s="29">
        <v>0.7</v>
      </c>
      <c r="H14" s="31" t="s">
        <v>36</v>
      </c>
      <c r="I14" s="30" t="s">
        <v>95</v>
      </c>
    </row>
    <row r="15" spans="2:9" ht="38.25" x14ac:dyDescent="0.4">
      <c r="B15" s="16" t="s">
        <v>72</v>
      </c>
      <c r="C15" s="14" t="s">
        <v>18</v>
      </c>
      <c r="D15" s="29"/>
      <c r="E15" s="29" t="s">
        <v>66</v>
      </c>
      <c r="F15" s="31"/>
      <c r="G15" s="29">
        <v>1</v>
      </c>
      <c r="H15" s="31" t="s">
        <v>38</v>
      </c>
      <c r="I15" s="30" t="s">
        <v>89</v>
      </c>
    </row>
    <row r="16" spans="2:9" x14ac:dyDescent="0.4">
      <c r="B16" s="16" t="s">
        <v>72</v>
      </c>
      <c r="C16" s="14" t="s">
        <v>18</v>
      </c>
      <c r="D16" s="29"/>
      <c r="E16" s="29" t="s">
        <v>66</v>
      </c>
      <c r="F16" s="31"/>
      <c r="G16" s="29">
        <v>1.2</v>
      </c>
      <c r="H16" s="31" t="s">
        <v>27</v>
      </c>
      <c r="I16" s="30" t="s">
        <v>80</v>
      </c>
    </row>
    <row r="17" spans="2:9" ht="25.5" x14ac:dyDescent="0.4">
      <c r="B17" s="16" t="s">
        <v>72</v>
      </c>
      <c r="C17" s="14" t="s">
        <v>18</v>
      </c>
      <c r="D17" s="29"/>
      <c r="E17" s="29" t="s">
        <v>66</v>
      </c>
      <c r="F17" s="31"/>
      <c r="G17" s="29">
        <v>2.8</v>
      </c>
      <c r="H17" s="31" t="s">
        <v>75</v>
      </c>
      <c r="I17" s="30" t="s">
        <v>79</v>
      </c>
    </row>
    <row r="18" spans="2:9" ht="25.5" x14ac:dyDescent="0.4">
      <c r="B18" s="16" t="s">
        <v>72</v>
      </c>
      <c r="C18" s="14" t="s">
        <v>18</v>
      </c>
      <c r="D18" s="29"/>
      <c r="E18" s="29" t="s">
        <v>66</v>
      </c>
      <c r="F18" s="31"/>
      <c r="G18" s="29">
        <v>1</v>
      </c>
      <c r="H18" s="31" t="s">
        <v>75</v>
      </c>
      <c r="I18" s="30"/>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24"/>
      <c r="C24" s="25"/>
      <c r="D24" s="26"/>
      <c r="E24" s="26"/>
      <c r="F24" s="28" t="s">
        <v>67</v>
      </c>
      <c r="G24" s="35">
        <f>SUM(G3:G23)</f>
        <v>32.200000000000003</v>
      </c>
      <c r="H24" s="36"/>
      <c r="I24" s="37"/>
    </row>
    <row r="25" spans="2:9" ht="14.25" thickBot="1" x14ac:dyDescent="0.45">
      <c r="B25" s="20"/>
      <c r="C25" s="21"/>
      <c r="D25" s="22"/>
      <c r="E25" s="22"/>
      <c r="F25" s="27" t="s">
        <v>68</v>
      </c>
      <c r="G25" s="32">
        <v>0</v>
      </c>
      <c r="H25" s="33"/>
      <c r="I25" s="34"/>
    </row>
    <row r="26" spans="2:9" ht="14.25" thickTop="1" x14ac:dyDescent="0.4"/>
  </sheetData>
  <mergeCells count="2">
    <mergeCell ref="G25:I25"/>
    <mergeCell ref="G24:I24"/>
  </mergeCells>
  <phoneticPr fontId="7" type="noConversion"/>
  <dataValidations count="3">
    <dataValidation type="list" allowBlank="1" showInputMessage="1" showErrorMessage="1" sqref="F18:F23 F4:F9" xr:uid="{B7A1F260-C374-4F12-B5D8-38763B9283E8}">
      <formula1>INDIRECT(E4)</formula1>
    </dataValidation>
    <dataValidation type="list" allowBlank="1" showInputMessage="1" showErrorMessage="1" sqref="F10:F17" xr:uid="{BB1B97F8-AC92-4AC2-ACAE-AB91E6B7812C}">
      <formula1>INDIRECT(#REF!)</formula1>
    </dataValidation>
    <dataValidation type="list" allowBlank="1" showInputMessage="1" showErrorMessage="1" sqref="H4:H23" xr:uid="{D380BDC5-3DF7-4E67-A00D-6A31B34EAA7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33C6DF-BC76-481B-AA4B-5776259D63F3}">
          <x14:formula1>
            <xm:f>数据标签!$B$11:$D$11</xm:f>
          </x14:formula1>
          <xm:sqref>E19:E25 E4:E8</xm:sqref>
        </x14:dataValidation>
        <x14:dataValidation type="list" allowBlank="1" showInputMessage="1" showErrorMessage="1" xr:uid="{1BF3D93C-EBD2-4BC9-A981-9B9F7D94E14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2025-06-04T09:58:04Z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