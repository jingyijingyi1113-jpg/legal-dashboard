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C2CE427E-C585-4B5D-96FB-FDA0FE426151}" xr6:coauthVersionLast="47" xr6:coauthVersionMax="47" xr10:uidLastSave="{00000000-0000-0000-0000-000000000000}"/>
  <bookViews>
    <workbookView xWindow="2549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<sst xmlns="http://schemas.openxmlformats.org/spreadsheetml/2006/main" count="225" uniqueCount="102">
  <si>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</si>
  <si>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</si>
  <si>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</si>
  <si>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</si>
  <si>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</si>
  <si>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</si>
  <si>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</si>
  <si>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</si>
  <si>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</si>
  <si>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</si>
  <si>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</si>
  <si>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</si>
  <si>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</si>
  <si>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</si>
  <si>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</si>
  <si>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</si>
  <si>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</si>
  <si>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</si>
  <si>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</si>
  <si>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</si>
  <si>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</si>
  <si>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</si>
  <si>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</si>
  <si>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</si>
  <si>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</si>
  <si>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</si>
  <si>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</si>
  <si>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</si>
  <si>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</si>
  <si>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</si>
  <si>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</si>
  <si>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</si>
  <si>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</si>
  <si>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</si>
  <si>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</si>
  <si>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</si>
  <si>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</si>
  <si>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</si>
  <si>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</si>
  <si>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</si>
  <si>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</si>
  <si>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</si>
  <si>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</si>
  <si>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</si>
  <si>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</si>
  <si>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</si>
  <si>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</si>
  <si>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</si>
  <si>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</si>
  <si>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</si>
  <si>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</si>
  <si>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</si>
  <si>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</si>
  <si>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</si>
  <si>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</si>
  <si>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</si>
  <si>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</si>
  <si>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</si>
  <si>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</si>
  <si>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</si>
  <si>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</si>
  <si>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</si>
  <si>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</si>
  <si>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</si>
  <si>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</si>
  <si>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</si>
  <si>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</si>
  <si>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</si>
  <si>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</si>
  <si>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</si>
  <si>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</si>
  <si>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</si>
  <si>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</si>
  <si>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</si>
  <si>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证券投资咨询牌照收购</t>
    <phoneticPr fontId="7" type="noConversion"/>
  </si>
  <si>
    <t>Recording/reviewing deals updates/weekly time reports/other team summaries</t>
  </si>
  <si>
    <t>BSC</t>
    <phoneticPr fontId="7" type="noConversion"/>
  </si>
  <si>
    <t>Drafting/reviewing/negotiating legal documents</t>
    <phoneticPr fontId="7" type="noConversion"/>
  </si>
  <si>
    <t>世纪华通</t>
    <phoneticPr fontId="7" type="noConversion"/>
  </si>
  <si>
    <t>Classin</t>
    <phoneticPr fontId="7" type="noConversion"/>
  </si>
  <si>
    <t>TT语音</t>
    <phoneticPr fontId="7" type="noConversion"/>
  </si>
  <si>
    <t>Little Freddie</t>
    <phoneticPr fontId="7" type="noConversion"/>
  </si>
  <si>
    <t>Discussing with external counsel, deal team and Carlyle re next steps and litigation strategies</t>
    <phoneticPr fontId="7" type="noConversion"/>
  </si>
  <si>
    <t>光子MCN</t>
    <phoneticPr fontId="7" type="noConversion"/>
  </si>
  <si>
    <t>墨奇</t>
    <phoneticPr fontId="7" type="noConversion"/>
  </si>
  <si>
    <t>灵游坊</t>
    <phoneticPr fontId="7" type="noConversion"/>
  </si>
  <si>
    <t xml:space="preserve">Dealing with summaries re “重点投资公司统计” </t>
    <phoneticPr fontId="7" type="noConversion"/>
  </si>
  <si>
    <t>Discussing with deal team re company's feedback on pending issues; preparing for KYC docs</t>
    <phoneticPr fontId="7" type="noConversion"/>
  </si>
  <si>
    <t>Reviewing comments of deal team re ESOP plan and revertign to company; approving payment of par value</t>
    <phoneticPr fontId="7" type="noConversion"/>
  </si>
  <si>
    <t>Circulating the CP confirmation email; discussing the same with external counsel and finance team</t>
    <phoneticPr fontId="7" type="noConversion"/>
  </si>
  <si>
    <t>Reviewing and commenting on liquiation resolutions of 北京墨奇; analyzing our potential risks and exit options; discussing the same with deal team</t>
    <phoneticPr fontId="7" type="noConversion"/>
  </si>
  <si>
    <t>Elpiscience</t>
    <phoneticPr fontId="7" type="noConversion"/>
  </si>
  <si>
    <t>Reviewing the updated A1 documents; discussing the same with deal team and IR</t>
    <phoneticPr fontId="7" type="noConversion"/>
  </si>
  <si>
    <t>Reviewing an commenting on resolutions re dividend and split of subsidiaries; relasing the side letter re share repurchase and reviewing the confirmation of tax filing by tax team; arranging courier of originals</t>
    <phoneticPr fontId="7" type="noConversion"/>
  </si>
  <si>
    <t>深蓝</t>
    <phoneticPr fontId="7" type="noConversion"/>
  </si>
  <si>
    <t>Reviewing resolutions re establishment of subsidiaries; discussing the background with deal team and company</t>
    <phoneticPr fontId="7" type="noConversion"/>
  </si>
  <si>
    <t>Reviewing and commenting on AGM resolutions; arranging signing and releasing signature pages; attending the AGM; drafting the share disposal methods re founder's pledged shares</t>
    <phoneticPr fontId="7" type="noConversion"/>
  </si>
  <si>
    <t>Discussing with external counsel and deal team re the arrangements of pledged shares; reverting to inquires by deal team re interests and penalty interest under loan agreement</t>
    <phoneticPr fontId="7" type="noConversion"/>
  </si>
  <si>
    <t xml:space="preserve">Preparing binding TS and amendment of SPA; discussing the same with external counsel and deal team </t>
    <phoneticPr fontId="7" type="noConversion"/>
  </si>
  <si>
    <t>Discussing with deal team, business team, PA and internal legal team re our investment entities available (including VIE entitiy; WFOE and offshore entities); evaluating whether the entities are in compliance with the regulations and revising the statment letter</t>
    <phoneticPr fontId="7" type="noConversion"/>
  </si>
  <si>
    <t>Conducting legal researches re VIE entitiy/WFOE holding licenses regulated by CSRC; preparing a summary</t>
    <phoneticPr fontId="7" type="noConversion"/>
  </si>
  <si>
    <t>Reverting to questions re investment entities; preparing the undertaking letter; discussing with PA and internal legal team re meeting minutes with regulatory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</si>
</sst>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70" zoomScaleNormal="70" workbookViewId="0">
      <selection activeCell="K8" sqref="K8"/>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31" t="s">
        <v>74</v>
      </c>
      <c r="E4" s="9" t="s">
        <v>40</v>
      </c>
      <c r="F4" s="14" t="s">
        <v>73</v>
      </c>
      <c r="G4" s="29">
        <v>2.5</v>
      </c>
      <c r="H4" s="31" t="s">
        <v>77</v>
      </c>
      <c r="I4" s="30" t="s">
        <v>98</v>
      </c>
    </row>
    <row r="5" spans="2:9" ht="51" x14ac:dyDescent="0.4">
      <c r="B5" s="16" t="s">
        <v>72</v>
      </c>
      <c r="C5" s="14" t="s">
        <v>14</v>
      </c>
      <c r="D5" s="31" t="s">
        <v>74</v>
      </c>
      <c r="E5" s="9" t="s">
        <v>40</v>
      </c>
      <c r="F5" s="14" t="s">
        <v>73</v>
      </c>
      <c r="G5" s="29">
        <v>4.7</v>
      </c>
      <c r="H5" s="31" t="s">
        <v>32</v>
      </c>
      <c r="I5" s="30" t="s">
        <v>101</v>
      </c>
    </row>
    <row r="6" spans="2:9" ht="76.5" x14ac:dyDescent="0.4">
      <c r="B6" s="16" t="s">
        <v>72</v>
      </c>
      <c r="C6" s="14" t="s">
        <v>14</v>
      </c>
      <c r="D6" s="31" t="s">
        <v>74</v>
      </c>
      <c r="E6" s="9" t="s">
        <v>40</v>
      </c>
      <c r="F6" s="14" t="s">
        <v>73</v>
      </c>
      <c r="G6" s="29">
        <v>5.2</v>
      </c>
      <c r="H6" s="31" t="s">
        <v>36</v>
      </c>
      <c r="I6" s="30" t="s">
        <v>99</v>
      </c>
    </row>
    <row r="7" spans="2:9" ht="38.25" x14ac:dyDescent="0.4">
      <c r="B7" s="16" t="s">
        <v>72</v>
      </c>
      <c r="C7" s="14" t="s">
        <v>14</v>
      </c>
      <c r="D7" s="31" t="s">
        <v>74</v>
      </c>
      <c r="E7" s="9" t="s">
        <v>40</v>
      </c>
      <c r="F7" s="14" t="s">
        <v>73</v>
      </c>
      <c r="G7" s="29">
        <v>7.8</v>
      </c>
      <c r="H7" s="31" t="s">
        <v>28</v>
      </c>
      <c r="I7" s="30" t="s">
        <v>100</v>
      </c>
    </row>
    <row r="8" spans="2:9" ht="51" x14ac:dyDescent="0.4">
      <c r="B8" s="16" t="s">
        <v>72</v>
      </c>
      <c r="C8" s="14" t="s">
        <v>14</v>
      </c>
      <c r="D8" s="31" t="s">
        <v>78</v>
      </c>
      <c r="E8" s="9" t="s">
        <v>40</v>
      </c>
      <c r="F8" s="14" t="s">
        <v>73</v>
      </c>
      <c r="G8" s="29">
        <v>4.5</v>
      </c>
      <c r="H8" s="31" t="s">
        <v>20</v>
      </c>
      <c r="I8" s="30" t="s">
        <v>96</v>
      </c>
    </row>
    <row r="9" spans="2:9" ht="51" x14ac:dyDescent="0.4">
      <c r="B9" s="16" t="s">
        <v>72</v>
      </c>
      <c r="C9" s="14" t="s">
        <v>14</v>
      </c>
      <c r="D9" s="31" t="s">
        <v>78</v>
      </c>
      <c r="E9" s="9" t="s">
        <v>40</v>
      </c>
      <c r="F9" s="14" t="s">
        <v>73</v>
      </c>
      <c r="G9" s="29">
        <v>3.4</v>
      </c>
      <c r="H9" s="31" t="s">
        <v>36</v>
      </c>
      <c r="I9" s="30" t="s">
        <v>97</v>
      </c>
    </row>
    <row r="10" spans="2:9" ht="25.5" x14ac:dyDescent="0.4">
      <c r="B10" s="16" t="s">
        <v>72</v>
      </c>
      <c r="C10" s="14" t="s">
        <v>14</v>
      </c>
      <c r="D10" s="31" t="s">
        <v>81</v>
      </c>
      <c r="E10" s="9" t="s">
        <v>40</v>
      </c>
      <c r="F10" s="14" t="s">
        <v>73</v>
      </c>
      <c r="G10" s="29">
        <v>2.6</v>
      </c>
      <c r="H10" s="31" t="s">
        <v>36</v>
      </c>
      <c r="I10" s="30" t="s">
        <v>82</v>
      </c>
    </row>
    <row r="11" spans="2:9" ht="63.75" x14ac:dyDescent="0.4">
      <c r="B11" s="16" t="s">
        <v>72</v>
      </c>
      <c r="C11" s="14" t="s">
        <v>14</v>
      </c>
      <c r="D11" s="29" t="s">
        <v>80</v>
      </c>
      <c r="E11" s="29" t="s">
        <v>76</v>
      </c>
      <c r="F11" s="31" t="s">
        <v>73</v>
      </c>
      <c r="G11" s="29">
        <v>2.2999999999999998</v>
      </c>
      <c r="H11" s="31" t="s">
        <v>20</v>
      </c>
      <c r="I11" s="30" t="s">
        <v>93</v>
      </c>
    </row>
    <row r="12" spans="2:9" ht="25.5" x14ac:dyDescent="0.4">
      <c r="B12" s="16" t="s">
        <v>72</v>
      </c>
      <c r="C12" s="14" t="s">
        <v>14</v>
      </c>
      <c r="D12" s="29" t="s">
        <v>91</v>
      </c>
      <c r="E12" s="29" t="s">
        <v>76</v>
      </c>
      <c r="F12" s="31" t="s">
        <v>73</v>
      </c>
      <c r="G12" s="29">
        <v>2.2000000000000002</v>
      </c>
      <c r="H12" s="31" t="s">
        <v>20</v>
      </c>
      <c r="I12" s="30" t="s">
        <v>92</v>
      </c>
    </row>
    <row r="13" spans="2:9" ht="25.5" x14ac:dyDescent="0.4">
      <c r="B13" s="16" t="s">
        <v>72</v>
      </c>
      <c r="C13" s="14" t="s">
        <v>14</v>
      </c>
      <c r="D13" s="29" t="s">
        <v>79</v>
      </c>
      <c r="E13" s="29" t="s">
        <v>76</v>
      </c>
      <c r="F13" s="31" t="s">
        <v>73</v>
      </c>
      <c r="G13" s="29">
        <v>2</v>
      </c>
      <c r="H13" s="31" t="s">
        <v>36</v>
      </c>
      <c r="I13" s="30" t="s">
        <v>87</v>
      </c>
    </row>
    <row r="14" spans="2:9" ht="25.5" x14ac:dyDescent="0.4">
      <c r="B14" s="16" t="s">
        <v>72</v>
      </c>
      <c r="C14" s="14" t="s">
        <v>14</v>
      </c>
      <c r="D14" s="29" t="s">
        <v>83</v>
      </c>
      <c r="E14" s="29" t="s">
        <v>76</v>
      </c>
      <c r="F14" s="31" t="s">
        <v>73</v>
      </c>
      <c r="G14" s="29">
        <v>1.4</v>
      </c>
      <c r="H14" s="31" t="s">
        <v>20</v>
      </c>
      <c r="I14" s="30" t="s">
        <v>89</v>
      </c>
    </row>
    <row r="15" spans="2:9" ht="51" x14ac:dyDescent="0.4">
      <c r="B15" s="16" t="s">
        <v>72</v>
      </c>
      <c r="C15" s="14" t="s">
        <v>14</v>
      </c>
      <c r="D15" s="29" t="s">
        <v>84</v>
      </c>
      <c r="E15" s="29" t="s">
        <v>76</v>
      </c>
      <c r="F15" s="31" t="s">
        <v>73</v>
      </c>
      <c r="G15" s="29">
        <v>3.6</v>
      </c>
      <c r="H15" s="31" t="s">
        <v>36</v>
      </c>
      <c r="I15" s="30" t="s">
        <v>90</v>
      </c>
    </row>
    <row r="16" spans="2:9" ht="38.25" x14ac:dyDescent="0.4">
      <c r="B16" s="16" t="s">
        <v>72</v>
      </c>
      <c r="C16" s="14" t="s">
        <v>14</v>
      </c>
      <c r="D16" s="29" t="s">
        <v>85</v>
      </c>
      <c r="E16" s="29" t="s">
        <v>76</v>
      </c>
      <c r="F16" s="31" t="s">
        <v>73</v>
      </c>
      <c r="G16" s="29">
        <v>1.5</v>
      </c>
      <c r="H16" s="31" t="s">
        <v>36</v>
      </c>
      <c r="I16" s="30" t="s">
        <v>88</v>
      </c>
    </row>
    <row r="17" spans="2:9" ht="38.25" x14ac:dyDescent="0.4">
      <c r="B17" s="16" t="s">
        <v>72</v>
      </c>
      <c r="C17" s="14" t="s">
        <v>14</v>
      </c>
      <c r="D17" s="29" t="s">
        <v>94</v>
      </c>
      <c r="E17" s="29" t="s">
        <v>76</v>
      </c>
      <c r="F17" s="31" t="s">
        <v>73</v>
      </c>
      <c r="G17" s="29">
        <v>1</v>
      </c>
      <c r="H17" s="31" t="s">
        <v>20</v>
      </c>
      <c r="I17" s="30" t="s">
        <v>95</v>
      </c>
    </row>
    <row r="18" spans="2:9" x14ac:dyDescent="0.4">
      <c r="B18" s="16" t="s">
        <v>72</v>
      </c>
      <c r="C18" s="14" t="s">
        <v>18</v>
      </c>
      <c r="D18" s="29"/>
      <c r="E18" s="29" t="s">
        <v>66</v>
      </c>
      <c r="F18" s="31"/>
      <c r="G18" s="29">
        <v>1.9</v>
      </c>
      <c r="H18" s="31" t="s">
        <v>24</v>
      </c>
      <c r="I18" s="30"/>
    </row>
    <row r="19" spans="2:9" ht="25.5" x14ac:dyDescent="0.4">
      <c r="B19" s="16" t="s">
        <v>72</v>
      </c>
      <c r="C19" s="14" t="s">
        <v>18</v>
      </c>
      <c r="D19" s="29"/>
      <c r="E19" s="29" t="s">
        <v>66</v>
      </c>
      <c r="F19" s="31"/>
      <c r="G19" s="29">
        <v>4.3</v>
      </c>
      <c r="H19" s="31" t="s">
        <v>75</v>
      </c>
      <c r="I19" s="30" t="s">
        <v>86</v>
      </c>
    </row>
    <row r="20" spans="2:9" ht="25.5" x14ac:dyDescent="0.4">
      <c r="B20" s="16" t="s">
        <v>72</v>
      </c>
      <c r="C20" s="14" t="s">
        <v>18</v>
      </c>
      <c r="D20" s="29"/>
      <c r="E20" s="29" t="s">
        <v>66</v>
      </c>
      <c r="F20" s="31"/>
      <c r="G20" s="29">
        <v>1.5</v>
      </c>
      <c r="H20" s="31" t="s">
        <v>75</v>
      </c>
      <c r="I20" s="30"/>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8"/>
      <c r="C25" s="14"/>
      <c r="D25" s="9"/>
      <c r="E25" s="9"/>
      <c r="F25" s="14"/>
      <c r="G25" s="9"/>
      <c r="H25" s="14"/>
      <c r="I25" s="12"/>
    </row>
    <row r="26" spans="2:9" x14ac:dyDescent="0.4">
      <c r="B26" s="24"/>
      <c r="C26" s="25"/>
      <c r="D26" s="26"/>
      <c r="E26" s="26"/>
      <c r="F26" s="28" t="s">
        <v>67</v>
      </c>
      <c r="G26" s="35">
        <f>SUM(G3:G25)</f>
        <v>52.4</v>
      </c>
      <c r="H26" s="36"/>
      <c r="I26" s="37"/>
    </row>
    <row r="27" spans="2:9" ht="14.25" thickBot="1" x14ac:dyDescent="0.45">
      <c r="B27" s="20"/>
      <c r="C27" s="21"/>
      <c r="D27" s="22"/>
      <c r="E27" s="22"/>
      <c r="F27" s="27" t="s">
        <v>68</v>
      </c>
      <c r="G27" s="32">
        <v>5</v>
      </c>
      <c r="H27" s="33"/>
      <c r="I27" s="34"/>
    </row>
    <row r="28" spans="2:9" ht="14.25" thickTop="1" x14ac:dyDescent="0.4"/>
  </sheetData>
  <mergeCells count="2">
    <mergeCell ref="G27:I27"/>
    <mergeCell ref="G26:I26"/>
  </mergeCells>
  <phoneticPr fontId="7" type="noConversion"/>
  <dataValidations count="3">
    <dataValidation type="list" allowBlank="1" showInputMessage="1" showErrorMessage="1" sqref="F20:F25 F4:F11" xr:uid="{B7A1F260-C374-4F12-B5D8-38763B9283E8}">
      <formula1>INDIRECT(E4)</formula1>
    </dataValidation>
    <dataValidation type="list" allowBlank="1" showInputMessage="1" showErrorMessage="1" sqref="F12:F19" xr:uid="{BB1B97F8-AC92-4AC2-ACAE-AB91E6B7812C}">
      <formula1>INDIRECT(#REF!)</formula1>
    </dataValidation>
    <dataValidation type="list" allowBlank="1" showInputMessage="1" showErrorMessage="1" sqref="H4:H25" xr:uid="{D380BDC5-3DF7-4E67-A00D-6A31B34EAA75}">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33C6DF-BC76-481B-AA4B-5776259D63F3}">
          <x14:formula1>
            <xm:f>数据标签!$B$11:$D$11</xm:f>
          </x14:formula1>
          <xm:sqref>E21:E27 E4:E10</xm:sqref>
        </x14:dataValidation>
        <x14:dataValidation type="list" allowBlank="1" showInputMessage="1" showErrorMessage="1" xr:uid="{1BF3D93C-EBD2-4BC9-A981-9B9F7D94E14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2025-06-04T11:26:46Z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