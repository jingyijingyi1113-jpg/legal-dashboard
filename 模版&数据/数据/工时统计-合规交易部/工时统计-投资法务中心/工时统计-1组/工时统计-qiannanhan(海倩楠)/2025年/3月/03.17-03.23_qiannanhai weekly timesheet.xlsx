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62A036EB-E546-4CB8-9CFD-352B7910FF4E}"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<sst xmlns="http://schemas.openxmlformats.org/spreadsheetml/2006/main" count="216" uniqueCount="104">
  <si>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</si>
  <si>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</si>
  <si>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</si>
  <si>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</si>
  <si>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</si>
  <si>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</si>
  <si>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</si>
  <si>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</si>
  <si>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</si>
  <si>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</si>
  <si>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</si>
  <si>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</si>
  <si>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</si>
  <si>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</si>
  <si>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</si>
  <si>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</si>
  <si>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</si>
  <si>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</si>
  <si>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</si>
  <si>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</si>
  <si>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</si>
  <si>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</si>
  <si>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</si>
  <si>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</si>
  <si>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</si>
  <si>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</si>
  <si>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</si>
  <si>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</si>
  <si>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</si>
  <si>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</si>
  <si>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</si>
  <si>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</si>
  <si>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</si>
  <si>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</si>
  <si>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</si>
  <si>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</si>
  <si>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</si>
  <si>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</si>
  <si>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</si>
  <si>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</si>
  <si>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</si>
  <si>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</si>
  <si>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</si>
  <si>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</si>
  <si>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</si>
  <si>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</si>
  <si>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</si>
  <si>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</si>
  <si>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</si>
  <si>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</si>
  <si>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</si>
  <si>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</si>
  <si>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</si>
  <si>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</si>
  <si>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</si>
  <si>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</si>
  <si>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</si>
  <si>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</si>
  <si>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</si>
  <si>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</si>
  <si>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</si>
  <si>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</si>
  <si>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</si>
  <si>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</si>
  <si>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</si>
  <si>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</si>
  <si>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</si>
  <si>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</si>
  <si>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</si>
  <si>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</si>
  <si>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</si>
  <si>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</si>
  <si>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</si>
  <si>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</si>
  <si>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灵游坊</t>
    <phoneticPr fontId="7" type="noConversion"/>
  </si>
  <si>
    <t>证券投资咨询牌照收购</t>
    <phoneticPr fontId="7" type="noConversion"/>
  </si>
  <si>
    <t>极兔</t>
    <phoneticPr fontId="7" type="noConversion"/>
  </si>
  <si>
    <t>Investment Related - M&amp;A Deal</t>
    <phoneticPr fontId="7" type="noConversion"/>
  </si>
  <si>
    <t>BSC</t>
    <phoneticPr fontId="7" type="noConversion"/>
  </si>
  <si>
    <t>TT语音</t>
    <phoneticPr fontId="7" type="noConversion"/>
  </si>
  <si>
    <t>考虫</t>
    <phoneticPr fontId="7" type="noConversion"/>
  </si>
  <si>
    <t>Drafting/reviewing/negotiating legal documents</t>
    <phoneticPr fontId="7" type="noConversion"/>
  </si>
  <si>
    <t>暗星</t>
    <phoneticPr fontId="7" type="noConversion"/>
  </si>
  <si>
    <t>Public - Knowledge Accumulation &amp; Sharing</t>
  </si>
  <si>
    <t>曦智</t>
    <phoneticPr fontId="7" type="noConversion"/>
  </si>
  <si>
    <t>Little Freddie</t>
    <phoneticPr fontId="7" type="noConversion"/>
  </si>
  <si>
    <t>discussing with external counsel, deal team and company re the restructuring</t>
    <phoneticPr fontId="7" type="noConversion"/>
  </si>
  <si>
    <t>Participating training sessions re ISDA</t>
    <phoneticPr fontId="7" type="noConversion"/>
  </si>
  <si>
    <t>Preparing application documents for 腾富; disucssing the same with PA and business team</t>
    <phoneticPr fontId="7" type="noConversion"/>
  </si>
  <si>
    <t>Reviewing and revising the disclosure letter, con-call with company re pending issues; discussing the same with deal team</t>
    <phoneticPr fontId="7" type="noConversion"/>
  </si>
  <si>
    <t>Disucssing the pending issues with external counsel and deal team; concall with company to discuss the same</t>
    <phoneticPr fontId="7" type="noConversion"/>
  </si>
  <si>
    <t>Discussing with finance team re financial position of company, discusssing with external counsel and internal legal team re litigation strategies, drafting the memo re redemption</t>
    <phoneticPr fontId="7" type="noConversion"/>
  </si>
  <si>
    <t>Discussing with CSIG team re risks of investee companies</t>
    <phoneticPr fontId="7" type="noConversion"/>
  </si>
  <si>
    <t>墨奇</t>
    <phoneticPr fontId="7" type="noConversion"/>
  </si>
  <si>
    <t>Discussing with MA and external counsel re IP disposal and repayment of debt</t>
    <phoneticPr fontId="7" type="noConversion"/>
  </si>
  <si>
    <t>光启元</t>
    <phoneticPr fontId="7" type="noConversion"/>
  </si>
  <si>
    <t>Discussing with CSIG re current status and potential liquidation process</t>
    <phoneticPr fontId="7" type="noConversion"/>
  </si>
  <si>
    <t>Spiderling</t>
    <phoneticPr fontId="7" type="noConversion"/>
  </si>
  <si>
    <t xml:space="preserve">Following up on closing stauts </t>
    <phoneticPr fontId="7" type="noConversion"/>
  </si>
  <si>
    <t>Following up on stamping process, provision of SC and 重大条款摘要</t>
    <phoneticPr fontId="7" type="noConversion"/>
  </si>
  <si>
    <t>Following up on liquidation and closing status, discussing the same with finance team</t>
    <phoneticPr fontId="7" type="noConversion"/>
  </si>
  <si>
    <t>Arranging courier of signatures pages</t>
    <phoneticPr fontId="7" type="noConversion"/>
  </si>
  <si>
    <t>Confirming with finance team and TPP on the description under annual report</t>
    <phoneticPr fontId="7" type="noConversion"/>
  </si>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</sst>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70" zoomScaleNormal="70" workbookViewId="0">
      <selection activeCell="H27" sqref="H27"/>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31" t="s">
        <v>75</v>
      </c>
      <c r="E4" s="9" t="s">
        <v>40</v>
      </c>
      <c r="F4" s="14" t="s">
        <v>73</v>
      </c>
      <c r="G4" s="29">
        <v>4.7</v>
      </c>
      <c r="H4" s="31" t="s">
        <v>81</v>
      </c>
      <c r="I4" s="30" t="s">
        <v>89</v>
      </c>
    </row>
    <row r="5" spans="2:9" ht="25.5" x14ac:dyDescent="0.4">
      <c r="B5" s="16" t="s">
        <v>72</v>
      </c>
      <c r="C5" s="14" t="s">
        <v>14</v>
      </c>
      <c r="D5" s="31" t="s">
        <v>75</v>
      </c>
      <c r="E5" s="9" t="s">
        <v>40</v>
      </c>
      <c r="F5" s="14" t="s">
        <v>73</v>
      </c>
      <c r="G5" s="29">
        <v>6.9</v>
      </c>
      <c r="H5" s="31" t="s">
        <v>32</v>
      </c>
      <c r="I5" s="30" t="s">
        <v>88</v>
      </c>
    </row>
    <row r="6" spans="2:9" ht="38.25" x14ac:dyDescent="0.4">
      <c r="B6" s="16" t="s">
        <v>72</v>
      </c>
      <c r="C6" s="31" t="s">
        <v>77</v>
      </c>
      <c r="D6" s="29" t="s">
        <v>79</v>
      </c>
      <c r="E6" s="29" t="s">
        <v>78</v>
      </c>
      <c r="F6" s="31" t="s">
        <v>55</v>
      </c>
      <c r="G6" s="29">
        <v>2.2999999999999998</v>
      </c>
      <c r="H6" s="31" t="s">
        <v>20</v>
      </c>
      <c r="I6" s="30" t="s">
        <v>90</v>
      </c>
    </row>
    <row r="7" spans="2:9" ht="25.5" x14ac:dyDescent="0.4">
      <c r="B7" s="16" t="s">
        <v>72</v>
      </c>
      <c r="C7" s="14" t="s">
        <v>14</v>
      </c>
      <c r="D7" s="29" t="s">
        <v>82</v>
      </c>
      <c r="E7" s="29" t="s">
        <v>78</v>
      </c>
      <c r="F7" s="31" t="s">
        <v>73</v>
      </c>
      <c r="G7" s="29">
        <v>1.4</v>
      </c>
      <c r="H7" s="31" t="s">
        <v>36</v>
      </c>
      <c r="I7" s="30" t="s">
        <v>86</v>
      </c>
    </row>
    <row r="8" spans="2:9" ht="25.5" x14ac:dyDescent="0.4">
      <c r="B8" s="16" t="s">
        <v>72</v>
      </c>
      <c r="C8" s="14" t="s">
        <v>14</v>
      </c>
      <c r="D8" s="29" t="s">
        <v>84</v>
      </c>
      <c r="E8" s="29" t="s">
        <v>78</v>
      </c>
      <c r="F8" s="31" t="s">
        <v>73</v>
      </c>
      <c r="G8" s="29">
        <v>0.3</v>
      </c>
      <c r="H8" s="31" t="s">
        <v>20</v>
      </c>
      <c r="I8" s="30" t="s">
        <v>98</v>
      </c>
    </row>
    <row r="9" spans="2:9" ht="51" x14ac:dyDescent="0.4">
      <c r="B9" s="16" t="s">
        <v>72</v>
      </c>
      <c r="C9" s="14" t="s">
        <v>14</v>
      </c>
      <c r="D9" s="29" t="s">
        <v>85</v>
      </c>
      <c r="E9" s="29" t="s">
        <v>78</v>
      </c>
      <c r="F9" s="31" t="s">
        <v>73</v>
      </c>
      <c r="G9" s="29">
        <v>7.4</v>
      </c>
      <c r="H9" s="31" t="s">
        <v>20</v>
      </c>
      <c r="I9" s="30" t="s">
        <v>91</v>
      </c>
    </row>
    <row r="10" spans="2:9" ht="25.5" x14ac:dyDescent="0.4">
      <c r="B10" s="16" t="s">
        <v>72</v>
      </c>
      <c r="C10" s="14" t="s">
        <v>14</v>
      </c>
      <c r="D10" s="29" t="s">
        <v>93</v>
      </c>
      <c r="E10" s="29" t="s">
        <v>78</v>
      </c>
      <c r="F10" s="31" t="s">
        <v>73</v>
      </c>
      <c r="G10" s="29">
        <v>1.2</v>
      </c>
      <c r="H10" s="31" t="s">
        <v>36</v>
      </c>
      <c r="I10" s="30" t="s">
        <v>94</v>
      </c>
    </row>
    <row r="11" spans="2:9" ht="25.5" x14ac:dyDescent="0.4">
      <c r="B11" s="16" t="s">
        <v>72</v>
      </c>
      <c r="C11" s="14" t="s">
        <v>14</v>
      </c>
      <c r="D11" s="29" t="s">
        <v>95</v>
      </c>
      <c r="E11" s="29" t="s">
        <v>78</v>
      </c>
      <c r="F11" s="31" t="s">
        <v>73</v>
      </c>
      <c r="G11" s="29">
        <v>0.7</v>
      </c>
      <c r="H11" s="31" t="s">
        <v>36</v>
      </c>
      <c r="I11" s="30" t="s">
        <v>96</v>
      </c>
    </row>
    <row r="12" spans="2:9" ht="25.5" x14ac:dyDescent="0.4">
      <c r="B12" s="16" t="s">
        <v>72</v>
      </c>
      <c r="C12" s="14" t="s">
        <v>14</v>
      </c>
      <c r="D12" s="29" t="s">
        <v>97</v>
      </c>
      <c r="E12" s="29" t="s">
        <v>78</v>
      </c>
      <c r="F12" s="31" t="s">
        <v>73</v>
      </c>
      <c r="G12" s="29">
        <v>0.6</v>
      </c>
      <c r="H12" s="31" t="s">
        <v>20</v>
      </c>
      <c r="I12" s="30" t="s">
        <v>99</v>
      </c>
    </row>
    <row r="13" spans="2:9" ht="25.5" x14ac:dyDescent="0.4">
      <c r="B13" s="16" t="s">
        <v>72</v>
      </c>
      <c r="C13" s="14" t="s">
        <v>14</v>
      </c>
      <c r="D13" s="29" t="s">
        <v>80</v>
      </c>
      <c r="E13" s="29" t="s">
        <v>78</v>
      </c>
      <c r="F13" s="31" t="s">
        <v>73</v>
      </c>
      <c r="G13" s="29">
        <v>0.5</v>
      </c>
      <c r="H13" s="31" t="s">
        <v>20</v>
      </c>
      <c r="I13" s="30" t="s">
        <v>100</v>
      </c>
    </row>
    <row r="14" spans="2:9" ht="25.5" x14ac:dyDescent="0.4">
      <c r="B14" s="16" t="s">
        <v>72</v>
      </c>
      <c r="C14" s="14" t="s">
        <v>14</v>
      </c>
      <c r="D14" s="29" t="s">
        <v>74</v>
      </c>
      <c r="E14" s="29" t="s">
        <v>78</v>
      </c>
      <c r="F14" s="31" t="s">
        <v>73</v>
      </c>
      <c r="G14" s="29">
        <v>0.3</v>
      </c>
      <c r="H14" s="31" t="s">
        <v>20</v>
      </c>
      <c r="I14" s="30" t="s">
        <v>101</v>
      </c>
    </row>
    <row r="15" spans="2:9" ht="25.5" x14ac:dyDescent="0.4">
      <c r="B15" s="16" t="s">
        <v>72</v>
      </c>
      <c r="C15" s="14" t="s">
        <v>14</v>
      </c>
      <c r="D15" s="29" t="s">
        <v>76</v>
      </c>
      <c r="E15" s="29" t="s">
        <v>78</v>
      </c>
      <c r="F15" s="31" t="s">
        <v>73</v>
      </c>
      <c r="G15" s="29">
        <v>0.8</v>
      </c>
      <c r="H15" s="31" t="s">
        <v>20</v>
      </c>
      <c r="I15" s="30" t="s">
        <v>102</v>
      </c>
    </row>
    <row r="16" spans="2:9" ht="25.5" x14ac:dyDescent="0.4">
      <c r="B16" s="16" t="s">
        <v>72</v>
      </c>
      <c r="C16" s="14" t="s">
        <v>83</v>
      </c>
      <c r="D16" s="29"/>
      <c r="E16" s="29" t="s">
        <v>66</v>
      </c>
      <c r="F16" s="31"/>
      <c r="G16" s="29">
        <v>2</v>
      </c>
      <c r="H16" s="31" t="s">
        <v>34</v>
      </c>
      <c r="I16" s="30" t="s">
        <v>87</v>
      </c>
    </row>
    <row r="17" spans="2:9" ht="25.5" x14ac:dyDescent="0.4">
      <c r="B17" s="16" t="s">
        <v>72</v>
      </c>
      <c r="C17" s="14" t="s">
        <v>18</v>
      </c>
      <c r="D17" s="29"/>
      <c r="E17" s="29" t="s">
        <v>66</v>
      </c>
      <c r="F17" s="31"/>
      <c r="G17" s="29">
        <v>0.3</v>
      </c>
      <c r="H17" s="31" t="s">
        <v>38</v>
      </c>
      <c r="I17" s="30"/>
    </row>
    <row r="18" spans="2:9" ht="25.5" x14ac:dyDescent="0.4">
      <c r="B18" s="16" t="s">
        <v>72</v>
      </c>
      <c r="C18" s="14" t="s">
        <v>18</v>
      </c>
      <c r="D18" s="29"/>
      <c r="E18" s="29" t="s">
        <v>66</v>
      </c>
      <c r="F18" s="31"/>
      <c r="G18" s="29">
        <v>1.5</v>
      </c>
      <c r="H18" s="31" t="s">
        <v>103</v>
      </c>
      <c r="I18" s="30"/>
    </row>
    <row r="19" spans="2:9" ht="25.5" x14ac:dyDescent="0.4">
      <c r="B19" s="16" t="s">
        <v>72</v>
      </c>
      <c r="C19" s="14" t="s">
        <v>18</v>
      </c>
      <c r="D19" s="29"/>
      <c r="E19" s="29" t="s">
        <v>66</v>
      </c>
      <c r="F19" s="31"/>
      <c r="G19" s="29">
        <v>1.2</v>
      </c>
      <c r="H19" s="31" t="s">
        <v>27</v>
      </c>
      <c r="I19" s="30" t="s">
        <v>92</v>
      </c>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24"/>
      <c r="C24" s="25"/>
      <c r="D24" s="26"/>
      <c r="E24" s="26"/>
      <c r="F24" s="28" t="s">
        <v>67</v>
      </c>
      <c r="G24" s="35">
        <f>SUM(G3:G23)</f>
        <v>32.100000000000009</v>
      </c>
      <c r="H24" s="36"/>
      <c r="I24" s="37"/>
    </row>
    <row r="25" spans="2:9" ht="14.25" thickBot="1" x14ac:dyDescent="0.45">
      <c r="B25" s="20"/>
      <c r="C25" s="21"/>
      <c r="D25" s="22"/>
      <c r="E25" s="22"/>
      <c r="F25" s="27" t="s">
        <v>68</v>
      </c>
      <c r="G25" s="32">
        <v>5</v>
      </c>
      <c r="H25" s="33"/>
      <c r="I25" s="34"/>
    </row>
    <row r="26" spans="2:9" ht="14.25" thickTop="1" x14ac:dyDescent="0.4"/>
  </sheetData>
  <mergeCells count="2">
    <mergeCell ref="G25:I25"/>
    <mergeCell ref="G24:I24"/>
  </mergeCells>
  <phoneticPr fontId="7" type="noConversion"/>
  <dataValidations count="3">
    <dataValidation type="list" allowBlank="1" showInputMessage="1" showErrorMessage="1" sqref="F4:F12 F16:F23" xr:uid="{F48595C7-BE7B-4736-8DAD-B94CF81FE427}">
      <formula1>INDIRECT(E4)</formula1>
    </dataValidation>
    <dataValidation type="list" allowBlank="1" showInputMessage="1" showErrorMessage="1" sqref="F13:F15" xr:uid="{C07525B0-3AEA-4E21-A4A1-4EBA51735753}">
      <formula1>INDIRECT(E12)</formula1>
    </dataValidation>
    <dataValidation type="list" allowBlank="1" showInputMessage="1" showErrorMessage="1" sqref="H4:H23" xr:uid="{5DD245EF-1B97-4C29-9212-D734A7B54A7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34F08FC-BCF7-43B1-A40E-62E4F39FCFDB}">
          <x14:formula1>
            <xm:f>数据标签!$B$11:$D$11</xm:f>
          </x14:formula1>
          <xm:sqref>E4:E5 E20:E25</xm:sqref>
        </x14:dataValidation>
        <x14:dataValidation type="list" allowBlank="1" showInputMessage="1" showErrorMessage="1" xr:uid="{502FB11B-C757-4B41-BFE8-1B7147B51FD9}">
          <x14:formula1>
            <xm:f>数据标签!$B$2:$H$2</xm:f>
          </x14:formula1>
          <xm:sqref>C4:C5 C7:C25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2025-04-02T10:28:15Z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