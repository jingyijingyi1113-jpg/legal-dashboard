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B0E40A6F-17A0-4D45-AE44-4D958FBC84AD}" xr6:coauthVersionLast="47" xr6:coauthVersionMax="47" xr10:uidLastSave="{00000000-0000-0000-0000-000000000000}"/>
  <bookViews>
    <workbookView xWindow="5130" yWindow="0" windowWidth="15863" windowHeight="998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<sst xmlns="http://schemas.openxmlformats.org/spreadsheetml/2006/main" count="180" uniqueCount="95">
  <si>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</si>
  <si>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</si>
  <si>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</si>
  <si>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</si>
  <si>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</si>
  <si>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</si>
  <si>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</si>
  <si>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</si>
  <si>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</si>
  <si>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</si>
  <si>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</si>
  <si>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</si>
  <si>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</si>
  <si>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</si>
  <si>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</si>
  <si>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</si>
  <si>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</si>
  <si>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</si>
  <si>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</si>
  <si>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</si>
  <si>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</si>
  <si>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</si>
  <si>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</si>
  <si>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</si>
  <si>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</si>
  <si>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</si>
  <si>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</si>
  <si>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</si>
  <si>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</si>
  <si>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</si>
  <si>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</si>
  <si>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</si>
  <si>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</si>
  <si>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</si>
  <si>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</si>
  <si>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</si>
  <si>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</si>
  <si>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</si>
  <si>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</si>
  <si>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</si>
  <si>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</si>
  <si>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</si>
  <si>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</si>
  <si>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</si>
  <si>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</si>
  <si>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</si>
  <si>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</si>
  <si>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</si>
  <si>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</si>
  <si>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</si>
  <si>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</si>
  <si>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</si>
  <si>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</si>
  <si>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</si>
  <si>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</si>
  <si>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</si>
  <si>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</si>
  <si>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</si>
  <si>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</si>
  <si>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</si>
  <si>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</si>
  <si>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</si>
  <si>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</si>
  <si>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</si>
  <si>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</si>
  <si>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</si>
  <si>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</si>
  <si>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</si>
  <si>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</si>
  <si>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</si>
  <si>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</si>
  <si>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</si>
  <si>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</si>
  <si>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</si>
  <si>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</si>
  <si>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</si>
  <si>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Investment Related - M&amp;A Deal</t>
    <phoneticPr fontId="7" type="noConversion"/>
  </si>
  <si>
    <t>BSC</t>
    <phoneticPr fontId="7" type="noConversion"/>
  </si>
  <si>
    <t>Drafting/reviewing/negotiating legal documents</t>
    <phoneticPr fontId="7" type="noConversion"/>
  </si>
  <si>
    <t>世纪华通</t>
    <phoneticPr fontId="7" type="noConversion"/>
  </si>
  <si>
    <t>天美MCN</t>
    <phoneticPr fontId="7" type="noConversion"/>
  </si>
  <si>
    <t>TGIF 共感</t>
    <phoneticPr fontId="7" type="noConversion"/>
  </si>
  <si>
    <t>Revising and finalizing the SPA and loan agreement; discussing the same with deal team and external counsel</t>
    <phoneticPr fontId="7" type="noConversion"/>
  </si>
  <si>
    <t>Preparing a summary of SPA to be provided to local regulatory; discussing the same with internal legal team, deal team and PA</t>
    <phoneticPr fontId="7" type="noConversion"/>
  </si>
  <si>
    <t>无端</t>
    <phoneticPr fontId="7" type="noConversion"/>
  </si>
  <si>
    <t>Kick off call; engaging external counsel; discussing with internal legal team and deal team re background and documents to be prepared</t>
    <phoneticPr fontId="7" type="noConversion"/>
  </si>
  <si>
    <t>reviewing the final version of board resolutions; filling in insider infromation form; discussing the debt expiry status with MA; releasing signature pages of resolutions</t>
    <phoneticPr fontId="7" type="noConversion"/>
  </si>
  <si>
    <t>TGIF暗星</t>
    <phoneticPr fontId="7" type="noConversion"/>
  </si>
  <si>
    <t>Reviewing and commenting on TS, disccusing the same with IEG team</t>
    <phoneticPr fontId="7" type="noConversion"/>
  </si>
  <si>
    <t>魔方MCN</t>
    <phoneticPr fontId="7" type="noConversion"/>
  </si>
  <si>
    <t>Classin</t>
    <phoneticPr fontId="7" type="noConversion"/>
  </si>
  <si>
    <t>Discussing with external counsel re CP satisfavtion</t>
    <phoneticPr fontId="7" type="noConversion"/>
  </si>
  <si>
    <t xml:space="preserve">Discussing with deal team and IEG re payment application and anticipated closing date </t>
    <phoneticPr fontId="7" type="noConversion"/>
  </si>
  <si>
    <t>Discussing with company and MA re AMR registration status</t>
    <phoneticPr fontId="7" type="noConversion"/>
  </si>
  <si>
    <t>Discussing with external counsel re repurchase documents to be reviewed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</si>
</sst>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C5" zoomScale="70" zoomScaleNormal="70" workbookViewId="0">
      <selection activeCell="G12" sqref="G12"/>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8.5</v>
      </c>
      <c r="H4" s="31" t="s">
        <v>78</v>
      </c>
      <c r="I4" s="30" t="s">
        <v>82</v>
      </c>
    </row>
    <row r="5" spans="2:9" ht="38.25" x14ac:dyDescent="0.4">
      <c r="B5" s="16" t="s">
        <v>72</v>
      </c>
      <c r="C5" s="14" t="s">
        <v>14</v>
      </c>
      <c r="D5" s="31" t="s">
        <v>74</v>
      </c>
      <c r="E5" s="9" t="s">
        <v>40</v>
      </c>
      <c r="F5" s="14" t="s">
        <v>73</v>
      </c>
      <c r="G5" s="29">
        <v>2.2999999999999998</v>
      </c>
      <c r="H5" s="31" t="s">
        <v>32</v>
      </c>
      <c r="I5" s="30" t="s">
        <v>83</v>
      </c>
    </row>
    <row r="6" spans="2:9" ht="38.25" x14ac:dyDescent="0.4">
      <c r="B6" s="16" t="s">
        <v>72</v>
      </c>
      <c r="C6" s="31" t="s">
        <v>76</v>
      </c>
      <c r="D6" s="29" t="s">
        <v>84</v>
      </c>
      <c r="E6" s="29" t="s">
        <v>77</v>
      </c>
      <c r="F6" s="31" t="s">
        <v>55</v>
      </c>
      <c r="G6" s="29">
        <v>2.8</v>
      </c>
      <c r="H6" s="31" t="s">
        <v>36</v>
      </c>
      <c r="I6" s="30" t="s">
        <v>85</v>
      </c>
    </row>
    <row r="7" spans="2:9" ht="25.5" x14ac:dyDescent="0.4">
      <c r="B7" s="16" t="s">
        <v>72</v>
      </c>
      <c r="C7" s="14" t="s">
        <v>14</v>
      </c>
      <c r="D7" s="29" t="s">
        <v>87</v>
      </c>
      <c r="E7" s="29" t="s">
        <v>77</v>
      </c>
      <c r="F7" s="31" t="s">
        <v>73</v>
      </c>
      <c r="G7" s="29">
        <v>1.4</v>
      </c>
      <c r="H7" s="31" t="s">
        <v>20</v>
      </c>
      <c r="I7" s="30" t="s">
        <v>88</v>
      </c>
    </row>
    <row r="8" spans="2:9" ht="51" x14ac:dyDescent="0.4">
      <c r="B8" s="16" t="s">
        <v>72</v>
      </c>
      <c r="C8" s="14" t="s">
        <v>14</v>
      </c>
      <c r="D8" s="29" t="s">
        <v>79</v>
      </c>
      <c r="E8" s="29" t="s">
        <v>77</v>
      </c>
      <c r="F8" s="31" t="s">
        <v>73</v>
      </c>
      <c r="G8" s="29">
        <v>2.7</v>
      </c>
      <c r="H8" s="31" t="s">
        <v>36</v>
      </c>
      <c r="I8" s="30" t="s">
        <v>86</v>
      </c>
    </row>
    <row r="9" spans="2:9" ht="25.5" x14ac:dyDescent="0.4">
      <c r="B9" s="16" t="s">
        <v>72</v>
      </c>
      <c r="C9" s="14" t="s">
        <v>14</v>
      </c>
      <c r="D9" s="29" t="s">
        <v>80</v>
      </c>
      <c r="E9" s="29" t="s">
        <v>77</v>
      </c>
      <c r="F9" s="31" t="s">
        <v>73</v>
      </c>
      <c r="G9" s="29">
        <v>0.3</v>
      </c>
      <c r="H9" s="31" t="s">
        <v>36</v>
      </c>
      <c r="I9" s="30" t="s">
        <v>91</v>
      </c>
    </row>
    <row r="10" spans="2:9" ht="25.5" x14ac:dyDescent="0.4">
      <c r="B10" s="16" t="s">
        <v>72</v>
      </c>
      <c r="C10" s="14" t="s">
        <v>14</v>
      </c>
      <c r="D10" s="29" t="s">
        <v>89</v>
      </c>
      <c r="E10" s="29" t="s">
        <v>77</v>
      </c>
      <c r="F10" s="31" t="s">
        <v>73</v>
      </c>
      <c r="G10" s="29">
        <v>0.9</v>
      </c>
      <c r="H10" s="31" t="s">
        <v>36</v>
      </c>
      <c r="I10" s="30" t="s">
        <v>92</v>
      </c>
    </row>
    <row r="11" spans="2:9" ht="25.5" x14ac:dyDescent="0.4">
      <c r="B11" s="16"/>
      <c r="C11" s="14" t="s">
        <v>14</v>
      </c>
      <c r="D11" s="29" t="s">
        <v>81</v>
      </c>
      <c r="E11" s="29" t="s">
        <v>77</v>
      </c>
      <c r="F11" s="31" t="s">
        <v>73</v>
      </c>
      <c r="G11" s="29">
        <v>1.6</v>
      </c>
      <c r="H11" s="31" t="s">
        <v>36</v>
      </c>
      <c r="I11" s="30" t="s">
        <v>93</v>
      </c>
    </row>
    <row r="12" spans="2:9" ht="25.5" x14ac:dyDescent="0.4">
      <c r="B12" s="16" t="s">
        <v>72</v>
      </c>
      <c r="C12" s="14" t="s">
        <v>14</v>
      </c>
      <c r="D12" s="29" t="s">
        <v>90</v>
      </c>
      <c r="E12" s="29" t="s">
        <v>77</v>
      </c>
      <c r="F12" s="31" t="s">
        <v>73</v>
      </c>
      <c r="G12" s="29">
        <v>0.5</v>
      </c>
      <c r="H12" s="31" t="s">
        <v>36</v>
      </c>
      <c r="I12" s="30" t="s">
        <v>94</v>
      </c>
    </row>
    <row r="13" spans="2:9" ht="25.5" x14ac:dyDescent="0.4">
      <c r="B13" s="16" t="s">
        <v>72</v>
      </c>
      <c r="C13" s="14" t="s">
        <v>18</v>
      </c>
      <c r="D13" s="29"/>
      <c r="E13" s="29" t="s">
        <v>66</v>
      </c>
      <c r="F13" s="31"/>
      <c r="G13" s="29">
        <v>1</v>
      </c>
      <c r="H13" s="31" t="s">
        <v>75</v>
      </c>
      <c r="I13" s="30"/>
    </row>
    <row r="14" spans="2:9" x14ac:dyDescent="0.4">
      <c r="B14" s="8"/>
      <c r="C14" s="14"/>
      <c r="D14" s="9"/>
      <c r="E14" s="9"/>
      <c r="F14" s="14"/>
      <c r="G14" s="9"/>
      <c r="H14" s="14"/>
      <c r="I14" s="12"/>
    </row>
    <row r="15" spans="2:9" x14ac:dyDescent="0.4">
      <c r="B15" s="8"/>
      <c r="C15" s="14"/>
      <c r="D15" s="9"/>
      <c r="E15" s="9"/>
      <c r="F15" s="14"/>
      <c r="G15" s="9"/>
      <c r="H15" s="14"/>
      <c r="I15" s="12"/>
    </row>
    <row r="16" spans="2:9" x14ac:dyDescent="0.4">
      <c r="B16" s="8"/>
      <c r="C16" s="14"/>
      <c r="D16" s="9"/>
      <c r="E16" s="9"/>
      <c r="F16" s="14"/>
      <c r="G16" s="9"/>
      <c r="H16" s="14"/>
      <c r="I16" s="12"/>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24"/>
      <c r="C19" s="25"/>
      <c r="D19" s="26"/>
      <c r="E19" s="26"/>
      <c r="F19" s="28" t="s">
        <v>67</v>
      </c>
      <c r="G19" s="35">
        <f>SUM(G3:G18)</f>
        <v>22.000000000000004</v>
      </c>
      <c r="H19" s="36"/>
      <c r="I19" s="37"/>
    </row>
    <row r="20" spans="2:9" ht="14.25" thickBot="1" x14ac:dyDescent="0.45">
      <c r="B20" s="20"/>
      <c r="C20" s="21"/>
      <c r="D20" s="22"/>
      <c r="E20" s="22"/>
      <c r="F20" s="27" t="s">
        <v>68</v>
      </c>
      <c r="G20" s="32">
        <v>3</v>
      </c>
      <c r="H20" s="33"/>
      <c r="I20" s="34"/>
    </row>
    <row r="21" spans="2:9" ht="14.25" thickTop="1" x14ac:dyDescent="0.4"/>
  </sheetData>
  <mergeCells count="2">
    <mergeCell ref="G20:I20"/>
    <mergeCell ref="G19:I19"/>
  </mergeCells>
  <phoneticPr fontId="7" type="noConversion"/>
  <dataValidations count="3">
    <dataValidation type="list" allowBlank="1" showInputMessage="1" showErrorMessage="1" sqref="F13:F18 F4:F7" xr:uid="{B7A1F260-C374-4F12-B5D8-38763B9283E8}">
      <formula1>INDIRECT(E4)</formula1>
    </dataValidation>
    <dataValidation type="list" allowBlank="1" showInputMessage="1" showErrorMessage="1" sqref="F8:F12" xr:uid="{BB1B97F8-AC92-4AC2-ACAE-AB91E6B7812C}">
      <formula1>INDIRECT(#REF!)</formula1>
    </dataValidation>
    <dataValidation type="list" allowBlank="1" showInputMessage="1" showErrorMessage="1" sqref="H4:H18"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E4:E5 E14:E20</xm:sqref>
        </x14:dataValidation>
        <x14:dataValidation type="list" allowBlank="1" showInputMessage="1" showErrorMessage="1" xr:uid="{1BF3D93C-EBD2-4BC9-A981-9B9F7D94E140}">
          <x14:formula1>
            <xm:f>数据标签!$B$2:$H$2</xm:f>
          </x14:formula1>
          <xm:sqref>C4:C5 C7:C20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2025-05-05T12:01:34Z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