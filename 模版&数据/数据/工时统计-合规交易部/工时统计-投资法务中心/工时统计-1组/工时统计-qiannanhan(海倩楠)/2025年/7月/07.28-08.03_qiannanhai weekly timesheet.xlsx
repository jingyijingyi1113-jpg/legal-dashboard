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AB631B45-4F22-4C27-850C-DA5870D46A27}"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<sst xmlns="http://schemas.openxmlformats.org/spreadsheetml/2006/main" count="213" uniqueCount="100">
  <si>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</si>
  <si>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</si>
  <si>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</si>
  <si>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</si>
  <si>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</si>
  <si>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</si>
  <si>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</si>
  <si>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</si>
  <si>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</si>
  <si>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</si>
  <si>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</si>
  <si>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</si>
  <si>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</si>
  <si>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</si>
  <si>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</si>
  <si>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</si>
  <si>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</si>
  <si>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</si>
  <si>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</si>
  <si>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</si>
  <si>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</si>
  <si>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</si>
  <si>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</si>
  <si>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</si>
  <si>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</si>
  <si>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</si>
  <si>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</si>
  <si>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</si>
  <si>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</si>
  <si>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</si>
  <si>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</si>
  <si>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</si>
  <si>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</si>
  <si>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</si>
  <si>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</si>
  <si>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</si>
  <si>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</si>
  <si>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</si>
  <si>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</si>
  <si>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</si>
  <si>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</si>
  <si>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</si>
  <si>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</si>
  <si>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</si>
  <si>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</si>
  <si>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</si>
  <si>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</si>
  <si>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</si>
  <si>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</si>
  <si>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</si>
  <si>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</si>
  <si>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</si>
  <si>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</si>
  <si>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</si>
  <si>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</si>
  <si>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</si>
  <si>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</si>
  <si>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</si>
  <si>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</si>
  <si>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</si>
  <si>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</si>
  <si>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</si>
  <si>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</si>
  <si>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</si>
  <si>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</si>
  <si>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</si>
  <si>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</si>
  <si>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</si>
  <si>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</si>
  <si>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</si>
  <si>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</si>
  <si>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</si>
  <si>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</si>
  <si>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</si>
  <si>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</si>
  <si>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</si>
  <si>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</si>
  <si>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</si>
  <si>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Classin</t>
    <phoneticPr fontId="7" type="noConversion"/>
  </si>
  <si>
    <t>润梦</t>
    <phoneticPr fontId="7" type="noConversion"/>
  </si>
  <si>
    <t>海云</t>
    <phoneticPr fontId="7" type="noConversion"/>
  </si>
  <si>
    <t>Bitpanda</t>
    <phoneticPr fontId="7" type="noConversion"/>
  </si>
  <si>
    <t>Voxelcloud</t>
    <phoneticPr fontId="7" type="noConversion"/>
  </si>
  <si>
    <t>J&amp;T</t>
    <phoneticPr fontId="7" type="noConversion"/>
  </si>
  <si>
    <t>Little Freddie</t>
    <phoneticPr fontId="7" type="noConversion"/>
  </si>
  <si>
    <t>伙伴云</t>
    <phoneticPr fontId="7" type="noConversion"/>
  </si>
  <si>
    <t>和诉讼同事沟通历史审批确认情况，提供诉讼依据</t>
    <phoneticPr fontId="7" type="noConversion"/>
  </si>
  <si>
    <t>和公司、内部团队沟通协议核心条款</t>
    <phoneticPr fontId="7" type="noConversion"/>
  </si>
  <si>
    <t>创始人转股问题讨论，修改审批申请，和律师讨论H股、A股分别的影响并同步给团队</t>
    <phoneticPr fontId="7" type="noConversion"/>
  </si>
  <si>
    <t>光子MCN</t>
    <phoneticPr fontId="7" type="noConversion"/>
  </si>
  <si>
    <t>确认CP满足，内部沟通交割日，跟进付款</t>
    <phoneticPr fontId="7" type="noConversion"/>
  </si>
  <si>
    <t>减持披露规则讨论</t>
    <phoneticPr fontId="7" type="noConversion"/>
  </si>
  <si>
    <t>非交易过户协议、份额转让协议及详式权益报告书内部讨论并反馈，沟通潜在税务问题；释放核查确认函；</t>
    <phoneticPr fontId="7" type="noConversion"/>
  </si>
  <si>
    <t>和公司、律师及deal team沟通关于说明中公司治理的调整，审阅更新版本的说明，根据PA的意见进一步调整</t>
    <phoneticPr fontId="7" type="noConversion"/>
  </si>
  <si>
    <t>审阅董事变更文件，准备及沟通董事KYC材料</t>
    <phoneticPr fontId="7" type="noConversion"/>
  </si>
  <si>
    <t>准备关于和PEI 300主体合作模式的说明，和PA/律师/内部讨论方案可行星和潜在问题；内部沟通第三方合作模式细节问题；和PA讨论整体阻碍和考虑点</t>
    <phoneticPr fontId="7" type="noConversion"/>
  </si>
  <si>
    <t>和团队、律师沟通潜在资本市场运作问题和时间表；和财务讨论全流通问题</t>
    <phoneticPr fontId="7" type="noConversion"/>
  </si>
  <si>
    <t>跟进LDD进度</t>
    <phoneticPr fontId="7" type="noConversion"/>
  </si>
  <si>
    <t>审阅高瓴反馈意见，内部讨论</t>
    <phoneticPr fontId="7" type="noConversion"/>
  </si>
  <si>
    <t>沟通SPV管理费、到期日等问题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</si>
</sst>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7" zoomScale="70" zoomScaleNormal="70" workbookViewId="0">
      <selection activeCell="I7" sqref="I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1" x14ac:dyDescent="0.4">
      <c r="B4" s="16" t="s">
        <v>72</v>
      </c>
      <c r="C4" s="14" t="s">
        <v>14</v>
      </c>
      <c r="D4" s="31" t="s">
        <v>74</v>
      </c>
      <c r="E4" s="9" t="s">
        <v>40</v>
      </c>
      <c r="F4" s="14" t="s">
        <v>73</v>
      </c>
      <c r="G4" s="29">
        <v>4.2</v>
      </c>
      <c r="H4" s="31" t="s">
        <v>20</v>
      </c>
      <c r="I4" s="30" t="s">
        <v>95</v>
      </c>
    </row>
    <row r="5" spans="2:9" ht="38.25" x14ac:dyDescent="0.4">
      <c r="B5" s="16" t="s">
        <v>72</v>
      </c>
      <c r="C5" s="14" t="s">
        <v>14</v>
      </c>
      <c r="D5" s="31" t="s">
        <v>76</v>
      </c>
      <c r="E5" s="9" t="s">
        <v>40</v>
      </c>
      <c r="F5" s="14" t="s">
        <v>73</v>
      </c>
      <c r="G5" s="29">
        <v>2.4</v>
      </c>
      <c r="H5" s="31" t="s">
        <v>32</v>
      </c>
      <c r="I5" s="30" t="s">
        <v>93</v>
      </c>
    </row>
    <row r="6" spans="2:9" ht="38.25" x14ac:dyDescent="0.4">
      <c r="B6" s="16" t="s">
        <v>72</v>
      </c>
      <c r="C6" s="14" t="s">
        <v>14</v>
      </c>
      <c r="D6" s="31" t="s">
        <v>76</v>
      </c>
      <c r="E6" s="9" t="s">
        <v>40</v>
      </c>
      <c r="F6" s="14" t="s">
        <v>73</v>
      </c>
      <c r="G6" s="29">
        <v>5.3</v>
      </c>
      <c r="H6" s="31" t="s">
        <v>20</v>
      </c>
      <c r="I6" s="30" t="s">
        <v>92</v>
      </c>
    </row>
    <row r="7" spans="2:9" ht="25.5" x14ac:dyDescent="0.4">
      <c r="B7" s="16" t="s">
        <v>72</v>
      </c>
      <c r="C7" s="31" t="s">
        <v>14</v>
      </c>
      <c r="D7" s="29" t="s">
        <v>78</v>
      </c>
      <c r="E7" s="29" t="s">
        <v>75</v>
      </c>
      <c r="F7" s="31" t="s">
        <v>73</v>
      </c>
      <c r="G7" s="29">
        <v>0.5</v>
      </c>
      <c r="H7" s="31" t="s">
        <v>36</v>
      </c>
      <c r="I7" s="30" t="s">
        <v>99</v>
      </c>
    </row>
    <row r="8" spans="2:9" ht="25.5" x14ac:dyDescent="0.4">
      <c r="B8" s="16" t="s">
        <v>72</v>
      </c>
      <c r="C8" s="14" t="s">
        <v>14</v>
      </c>
      <c r="D8" s="29" t="s">
        <v>77</v>
      </c>
      <c r="E8" s="29" t="s">
        <v>75</v>
      </c>
      <c r="F8" s="31" t="s">
        <v>73</v>
      </c>
      <c r="G8" s="29">
        <v>2.2000000000000002</v>
      </c>
      <c r="H8" s="31" t="s">
        <v>20</v>
      </c>
      <c r="I8" s="30" t="s">
        <v>96</v>
      </c>
    </row>
    <row r="9" spans="2:9" ht="25.5" x14ac:dyDescent="0.4">
      <c r="B9" s="16" t="s">
        <v>72</v>
      </c>
      <c r="C9" s="14" t="s">
        <v>14</v>
      </c>
      <c r="D9" s="29" t="s">
        <v>79</v>
      </c>
      <c r="E9" s="29" t="s">
        <v>75</v>
      </c>
      <c r="F9" s="31" t="s">
        <v>73</v>
      </c>
      <c r="G9" s="29">
        <v>1.4</v>
      </c>
      <c r="H9" s="31" t="s">
        <v>20</v>
      </c>
      <c r="I9" s="30" t="s">
        <v>87</v>
      </c>
    </row>
    <row r="10" spans="2:9" ht="25.5" x14ac:dyDescent="0.4">
      <c r="B10" s="16" t="s">
        <v>72</v>
      </c>
      <c r="C10" s="14" t="s">
        <v>14</v>
      </c>
      <c r="D10" s="29" t="s">
        <v>89</v>
      </c>
      <c r="E10" s="29" t="s">
        <v>75</v>
      </c>
      <c r="F10" s="31" t="s">
        <v>73</v>
      </c>
      <c r="G10" s="29">
        <v>1</v>
      </c>
      <c r="H10" s="31" t="s">
        <v>20</v>
      </c>
      <c r="I10" s="30" t="s">
        <v>90</v>
      </c>
    </row>
    <row r="11" spans="2:9" ht="25.5" x14ac:dyDescent="0.4">
      <c r="B11" s="16" t="s">
        <v>72</v>
      </c>
      <c r="C11" s="14" t="s">
        <v>14</v>
      </c>
      <c r="D11" s="29" t="s">
        <v>80</v>
      </c>
      <c r="E11" s="29" t="s">
        <v>75</v>
      </c>
      <c r="F11" s="31" t="s">
        <v>73</v>
      </c>
      <c r="G11" s="29">
        <v>4.2</v>
      </c>
      <c r="H11" s="31" t="s">
        <v>20</v>
      </c>
      <c r="I11" s="30" t="s">
        <v>88</v>
      </c>
    </row>
    <row r="12" spans="2:9" ht="25.5" x14ac:dyDescent="0.4">
      <c r="B12" s="16" t="s">
        <v>72</v>
      </c>
      <c r="C12" s="14" t="s">
        <v>14</v>
      </c>
      <c r="D12" s="29" t="s">
        <v>81</v>
      </c>
      <c r="E12" s="29" t="s">
        <v>75</v>
      </c>
      <c r="F12" s="31" t="s">
        <v>73</v>
      </c>
      <c r="G12" s="29">
        <v>0.3</v>
      </c>
      <c r="H12" s="31" t="s">
        <v>25</v>
      </c>
      <c r="I12" s="30" t="s">
        <v>97</v>
      </c>
    </row>
    <row r="13" spans="2:9" ht="25.5" x14ac:dyDescent="0.4">
      <c r="B13" s="16" t="s">
        <v>72</v>
      </c>
      <c r="C13" s="14" t="s">
        <v>14</v>
      </c>
      <c r="D13" s="29" t="s">
        <v>82</v>
      </c>
      <c r="E13" s="29" t="s">
        <v>75</v>
      </c>
      <c r="F13" s="31" t="s">
        <v>73</v>
      </c>
      <c r="G13" s="29">
        <v>1.6</v>
      </c>
      <c r="H13" s="31" t="s">
        <v>20</v>
      </c>
      <c r="I13" s="30" t="s">
        <v>94</v>
      </c>
    </row>
    <row r="14" spans="2:9" ht="25.5" x14ac:dyDescent="0.4">
      <c r="B14" s="16" t="s">
        <v>72</v>
      </c>
      <c r="C14" s="14" t="s">
        <v>14</v>
      </c>
      <c r="D14" s="29" t="s">
        <v>83</v>
      </c>
      <c r="E14" s="29" t="s">
        <v>75</v>
      </c>
      <c r="F14" s="31" t="s">
        <v>73</v>
      </c>
      <c r="G14" s="29">
        <v>2.8</v>
      </c>
      <c r="H14" s="31" t="s">
        <v>36</v>
      </c>
      <c r="I14" s="30" t="s">
        <v>91</v>
      </c>
    </row>
    <row r="15" spans="2:9" ht="25.5" x14ac:dyDescent="0.4">
      <c r="B15" s="16" t="s">
        <v>72</v>
      </c>
      <c r="C15" s="14" t="s">
        <v>14</v>
      </c>
      <c r="D15" s="29" t="s">
        <v>84</v>
      </c>
      <c r="E15" s="29" t="s">
        <v>75</v>
      </c>
      <c r="F15" s="31" t="s">
        <v>73</v>
      </c>
      <c r="G15" s="29">
        <v>0.5</v>
      </c>
      <c r="H15" s="31" t="s">
        <v>20</v>
      </c>
      <c r="I15" s="30" t="s">
        <v>98</v>
      </c>
    </row>
    <row r="16" spans="2:9" ht="25.5" x14ac:dyDescent="0.4">
      <c r="B16" s="16" t="s">
        <v>72</v>
      </c>
      <c r="C16" s="14" t="s">
        <v>14</v>
      </c>
      <c r="D16" s="29" t="s">
        <v>85</v>
      </c>
      <c r="E16" s="29" t="s">
        <v>75</v>
      </c>
      <c r="F16" s="31" t="s">
        <v>73</v>
      </c>
      <c r="G16" s="29">
        <v>4.3</v>
      </c>
      <c r="H16" s="31" t="s">
        <v>36</v>
      </c>
      <c r="I16" s="30" t="s">
        <v>86</v>
      </c>
    </row>
    <row r="17" spans="2:9" x14ac:dyDescent="0.4">
      <c r="B17" s="16" t="s">
        <v>72</v>
      </c>
      <c r="C17" s="14" t="s">
        <v>18</v>
      </c>
      <c r="D17" s="29"/>
      <c r="E17" s="29" t="s">
        <v>66</v>
      </c>
      <c r="F17" s="31"/>
      <c r="G17" s="29">
        <v>2</v>
      </c>
      <c r="H17" s="31" t="s">
        <v>24</v>
      </c>
      <c r="I17" s="30"/>
    </row>
    <row r="18" spans="2:9" ht="25.5" x14ac:dyDescent="0.4">
      <c r="B18" s="16" t="s">
        <v>72</v>
      </c>
      <c r="C18" s="14" t="s">
        <v>18</v>
      </c>
      <c r="D18" s="29"/>
      <c r="E18" s="29" t="s">
        <v>66</v>
      </c>
      <c r="F18" s="31"/>
      <c r="G18" s="29">
        <v>1</v>
      </c>
      <c r="H18" s="31" t="s">
        <v>61</v>
      </c>
      <c r="I18" s="30"/>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33.700000000000003</v>
      </c>
      <c r="H24" s="36"/>
      <c r="I24" s="37"/>
    </row>
    <row r="25" spans="2:9" ht="14.25" thickBot="1" x14ac:dyDescent="0.45">
      <c r="B25" s="20"/>
      <c r="C25" s="21"/>
      <c r="D25" s="22"/>
      <c r="E25" s="22"/>
      <c r="F25" s="27" t="s">
        <v>68</v>
      </c>
      <c r="G25" s="32">
        <v>5</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17:F23 F4:F6" xr:uid="{B7A1F260-C374-4F12-B5D8-38763B9283E8}">
      <formula1>INDIRECT(E4)</formula1>
    </dataValidation>
    <dataValidation type="list" allowBlank="1" showInputMessage="1" showErrorMessage="1" sqref="F7:F16" xr:uid="{BB1B97F8-AC92-4AC2-ACAE-AB91E6B7812C}">
      <formula1>INDIRECT(#REF!)</formula1>
    </dataValidation>
    <dataValidation type="list" allowBlank="1" showInputMessage="1" showErrorMessage="1" sqref="H4:H23"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E19:E25 E4:E6</xm:sqref>
        </x14:dataValidation>
        <x14:dataValidation type="list" allowBlank="1" showInputMessage="1" showErrorMessage="1" xr:uid="{1BF3D93C-EBD2-4BC9-A981-9B9F7D94E140}">
          <x14:formula1>
            <xm:f>数据标签!$B$2:$H$2</xm:f>
          </x14:formula1>
          <xm:sqref>C4:C6 C8:C25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2025-08-05T09:12:04Z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