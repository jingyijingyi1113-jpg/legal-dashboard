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4F22CACC-6285-4AE3-BC9D-97DAAEC08EF3}"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<sst xmlns="http://schemas.openxmlformats.org/spreadsheetml/2006/main" count="244" uniqueCount="109">
  <si>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</si>
  <si>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</si>
  <si>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</si>
  <si>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</si>
  <si>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</si>
  <si>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</si>
  <si>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</si>
  <si>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</si>
  <si>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</si>
  <si>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</si>
  <si>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</si>
  <si>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</si>
  <si>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</si>
  <si>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</si>
  <si>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</si>
  <si>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</si>
  <si>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</si>
  <si>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</si>
  <si>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</si>
  <si>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</si>
  <si>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</si>
  <si>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</si>
  <si>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</si>
  <si>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</si>
  <si>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</si>
  <si>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</si>
  <si>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</si>
  <si>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</si>
  <si>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</si>
  <si>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</si>
  <si>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</si>
  <si>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</si>
  <si>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</si>
  <si>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</si>
  <si>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</si>
  <si>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</si>
  <si>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</si>
  <si>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</si>
  <si>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</si>
  <si>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</si>
  <si>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</si>
  <si>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</si>
  <si>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</si>
  <si>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</si>
  <si>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</si>
  <si>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</si>
  <si>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</si>
  <si>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</si>
  <si>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</si>
  <si>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</si>
  <si>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</si>
  <si>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</si>
  <si>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</si>
  <si>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</si>
  <si>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</si>
  <si>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</si>
  <si>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</si>
  <si>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</si>
  <si>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</si>
  <si>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</si>
  <si>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</si>
  <si>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</si>
  <si>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</si>
  <si>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</si>
  <si>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</si>
  <si>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</si>
  <si>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</si>
  <si>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</si>
  <si>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</si>
  <si>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</si>
  <si>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</si>
  <si>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</si>
  <si>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</si>
  <si>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</si>
  <si>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</si>
  <si>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BSC</t>
    <phoneticPr fontId="7" type="noConversion"/>
  </si>
  <si>
    <t>世纪华通</t>
    <phoneticPr fontId="7" type="noConversion"/>
  </si>
  <si>
    <t>Classin</t>
    <phoneticPr fontId="7" type="noConversion"/>
  </si>
  <si>
    <t>润梦</t>
    <phoneticPr fontId="7" type="noConversion"/>
  </si>
  <si>
    <t>Bitpanda</t>
    <phoneticPr fontId="7" type="noConversion"/>
  </si>
  <si>
    <t>J&amp;T</t>
    <phoneticPr fontId="7" type="noConversion"/>
  </si>
  <si>
    <t>CSIG教育科技</t>
    <phoneticPr fontId="7" type="noConversion"/>
  </si>
  <si>
    <t>游戏科学</t>
    <phoneticPr fontId="7" type="noConversion"/>
  </si>
  <si>
    <t>沟通工商变更流程，准备文件和签字页，和公司对接文件</t>
    <phoneticPr fontId="7" type="noConversion"/>
  </si>
  <si>
    <t>审阅及定稿交易文件</t>
    <phoneticPr fontId="7" type="noConversion"/>
  </si>
  <si>
    <t>泸溪河</t>
    <phoneticPr fontId="7" type="noConversion"/>
  </si>
  <si>
    <t>修改NDA</t>
    <phoneticPr fontId="7" type="noConversion"/>
  </si>
  <si>
    <t>呦尔哈</t>
    <phoneticPr fontId="7" type="noConversion"/>
  </si>
  <si>
    <t>潜在税务风险沟通，准备创始人承诺函</t>
    <phoneticPr fontId="7" type="noConversion"/>
  </si>
  <si>
    <t>黑岩</t>
    <phoneticPr fontId="7" type="noConversion"/>
  </si>
  <si>
    <t>审阅公司提供的初步材料，DD问题沟通</t>
    <phoneticPr fontId="7" type="noConversion"/>
  </si>
  <si>
    <t>Navigator</t>
    <phoneticPr fontId="7" type="noConversion"/>
  </si>
  <si>
    <t>华毅乐健</t>
    <phoneticPr fontId="7" type="noConversion"/>
  </si>
  <si>
    <t>审阅年度决议</t>
    <phoneticPr fontId="7" type="noConversion"/>
  </si>
  <si>
    <t>云畅</t>
    <phoneticPr fontId="7" type="noConversion"/>
  </si>
  <si>
    <t>无端</t>
    <phoneticPr fontId="7" type="noConversion"/>
  </si>
  <si>
    <t>讨论ESOP相关条款及历史审批情况</t>
    <phoneticPr fontId="7" type="noConversion"/>
  </si>
  <si>
    <t>第三方合作方案内部沟通可行性，回复SD对第三方合作方的问题，更新关于导流模式合规性的分析</t>
    <phoneticPr fontId="7" type="noConversion"/>
  </si>
  <si>
    <t>讨论转股退出变更为注销退出的风险，更新交易文件</t>
    <phoneticPr fontId="7" type="noConversion"/>
  </si>
  <si>
    <t>Little Freddie</t>
    <phoneticPr fontId="7" type="noConversion"/>
  </si>
  <si>
    <t>内部沟通并和创始人沟通回购方案，审阅其他投资人对回购方案的反馈</t>
    <phoneticPr fontId="7" type="noConversion"/>
  </si>
  <si>
    <t>审阅及沟通根据监管意见更新的说明</t>
    <phoneticPr fontId="7" type="noConversion"/>
  </si>
  <si>
    <t>非交易过户协议、份额转让协议及详式权益报告书审阅及内部沟通，讨论历史披露情况，和财务、律师沟通接股主体审计要求</t>
    <phoneticPr fontId="7" type="noConversion"/>
  </si>
  <si>
    <t>和PA沟通目前监管态度和主体问题，以及后续推动方向；向MA和财务同步项目进展</t>
    <phoneticPr fontId="7" type="noConversion"/>
  </si>
  <si>
    <t>沟通董事更新材料，准备董事核证版KYC文件</t>
    <phoneticPr fontId="7" type="noConversion"/>
  </si>
  <si>
    <t>cover Kelly，交接</t>
    <phoneticPr fontId="7" type="noConversion"/>
  </si>
  <si>
    <t>聘用境内外律师，交易背景、进度及文件沟通</t>
    <phoneticPr fontId="7" type="noConversion"/>
  </si>
  <si>
    <t>沟通其他股东股份司法拍卖潜在问题及我们可以采取的措施</t>
    <phoneticPr fontId="7" type="noConversion"/>
  </si>
  <si>
    <t>TB主体税务申报讨论及确认；内部沟通SPV性质及历史背景</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</si>
</sst>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11" zoomScale="70" zoomScaleNormal="70" workbookViewId="0">
      <selection activeCell="A22" sqref="A22:XFD22"/>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38.25" x14ac:dyDescent="0.4">
      <c r="B4" s="16" t="s">
        <v>72</v>
      </c>
      <c r="C4" s="14" t="s">
        <v>14</v>
      </c>
      <c r="D4" s="31" t="s">
        <v>74</v>
      </c>
      <c r="E4" s="9" t="s">
        <v>40</v>
      </c>
      <c r="F4" s="14" t="s">
        <v>73</v>
      </c>
      <c r="G4" s="29">
        <v>5.8</v>
      </c>
      <c r="H4" s="31" t="s">
        <v>20</v>
      </c>
      <c r="I4" s="30" t="s">
        <v>97</v>
      </c>
    </row>
    <row r="5" spans="2:9" ht="25.5" x14ac:dyDescent="0.4">
      <c r="B5" s="16" t="s">
        <v>72</v>
      </c>
      <c r="C5" s="14" t="s">
        <v>14</v>
      </c>
      <c r="D5" s="31" t="s">
        <v>74</v>
      </c>
      <c r="E5" s="9" t="s">
        <v>40</v>
      </c>
      <c r="F5" s="14" t="s">
        <v>73</v>
      </c>
      <c r="G5" s="29">
        <v>2.4</v>
      </c>
      <c r="H5" s="31" t="s">
        <v>36</v>
      </c>
      <c r="I5" s="30" t="s">
        <v>103</v>
      </c>
    </row>
    <row r="6" spans="2:9" ht="25.5" x14ac:dyDescent="0.4">
      <c r="B6" s="16" t="s">
        <v>72</v>
      </c>
      <c r="C6" s="14" t="s">
        <v>14</v>
      </c>
      <c r="D6" s="31" t="s">
        <v>76</v>
      </c>
      <c r="E6" s="9" t="s">
        <v>40</v>
      </c>
      <c r="F6" s="14" t="s">
        <v>73</v>
      </c>
      <c r="G6" s="29">
        <v>1.2</v>
      </c>
      <c r="H6" s="31" t="s">
        <v>32</v>
      </c>
      <c r="I6" s="30" t="s">
        <v>101</v>
      </c>
    </row>
    <row r="7" spans="2:9" ht="38.25" x14ac:dyDescent="0.4">
      <c r="B7" s="16" t="s">
        <v>72</v>
      </c>
      <c r="C7" s="14" t="s">
        <v>14</v>
      </c>
      <c r="D7" s="31" t="s">
        <v>76</v>
      </c>
      <c r="E7" s="9" t="s">
        <v>40</v>
      </c>
      <c r="F7" s="14" t="s">
        <v>73</v>
      </c>
      <c r="G7" s="29">
        <v>6</v>
      </c>
      <c r="H7" s="31" t="s">
        <v>20</v>
      </c>
      <c r="I7" s="30" t="s">
        <v>102</v>
      </c>
    </row>
    <row r="8" spans="2:9" ht="25.5" x14ac:dyDescent="0.4">
      <c r="B8" s="16" t="s">
        <v>72</v>
      </c>
      <c r="C8" s="14" t="s">
        <v>14</v>
      </c>
      <c r="D8" s="29" t="s">
        <v>77</v>
      </c>
      <c r="E8" s="29" t="s">
        <v>75</v>
      </c>
      <c r="F8" s="31" t="s">
        <v>73</v>
      </c>
      <c r="G8" s="29">
        <v>1.6</v>
      </c>
      <c r="H8" s="31" t="s">
        <v>20</v>
      </c>
      <c r="I8" s="30" t="s">
        <v>84</v>
      </c>
    </row>
    <row r="9" spans="2:9" ht="25.5" x14ac:dyDescent="0.4">
      <c r="B9" s="16" t="s">
        <v>72</v>
      </c>
      <c r="C9" s="14" t="s">
        <v>14</v>
      </c>
      <c r="D9" s="29" t="s">
        <v>78</v>
      </c>
      <c r="E9" s="29" t="s">
        <v>75</v>
      </c>
      <c r="F9" s="31" t="s">
        <v>73</v>
      </c>
      <c r="G9" s="29">
        <v>1.8</v>
      </c>
      <c r="H9" s="31" t="s">
        <v>20</v>
      </c>
      <c r="I9" s="30" t="s">
        <v>98</v>
      </c>
    </row>
    <row r="10" spans="2:9" ht="25.5" x14ac:dyDescent="0.4">
      <c r="B10" s="16" t="s">
        <v>72</v>
      </c>
      <c r="C10" s="14" t="s">
        <v>14</v>
      </c>
      <c r="D10" s="29" t="s">
        <v>79</v>
      </c>
      <c r="E10" s="29" t="s">
        <v>75</v>
      </c>
      <c r="F10" s="31" t="s">
        <v>73</v>
      </c>
      <c r="G10" s="29">
        <v>1.2</v>
      </c>
      <c r="H10" s="31" t="s">
        <v>25</v>
      </c>
      <c r="I10" s="30" t="s">
        <v>90</v>
      </c>
    </row>
    <row r="11" spans="2:9" ht="25.5" x14ac:dyDescent="0.4">
      <c r="B11" s="16" t="s">
        <v>72</v>
      </c>
      <c r="C11" s="14" t="s">
        <v>14</v>
      </c>
      <c r="D11" s="29" t="s">
        <v>80</v>
      </c>
      <c r="E11" s="29" t="s">
        <v>75</v>
      </c>
      <c r="F11" s="31" t="s">
        <v>73</v>
      </c>
      <c r="G11" s="29">
        <v>1.6</v>
      </c>
      <c r="H11" s="31" t="s">
        <v>20</v>
      </c>
      <c r="I11" s="30" t="s">
        <v>108</v>
      </c>
    </row>
    <row r="12" spans="2:9" ht="25.5" x14ac:dyDescent="0.4">
      <c r="B12" s="16" t="s">
        <v>72</v>
      </c>
      <c r="C12" s="14" t="s">
        <v>14</v>
      </c>
      <c r="D12" s="29" t="s">
        <v>81</v>
      </c>
      <c r="E12" s="29" t="s">
        <v>75</v>
      </c>
      <c r="F12" s="31" t="s">
        <v>73</v>
      </c>
      <c r="G12" s="29">
        <v>0.5</v>
      </c>
      <c r="H12" s="31" t="s">
        <v>20</v>
      </c>
      <c r="I12" s="30" t="s">
        <v>105</v>
      </c>
    </row>
    <row r="13" spans="2:9" ht="25.5" x14ac:dyDescent="0.4">
      <c r="B13" s="16" t="s">
        <v>72</v>
      </c>
      <c r="C13" s="14" t="s">
        <v>14</v>
      </c>
      <c r="D13" s="29" t="s">
        <v>82</v>
      </c>
      <c r="E13" s="29" t="s">
        <v>75</v>
      </c>
      <c r="F13" s="31" t="s">
        <v>73</v>
      </c>
      <c r="G13" s="29">
        <v>5.3</v>
      </c>
      <c r="H13" s="31" t="s">
        <v>20</v>
      </c>
      <c r="I13" s="30" t="s">
        <v>83</v>
      </c>
    </row>
    <row r="14" spans="2:9" ht="25.5" x14ac:dyDescent="0.4">
      <c r="B14" s="16" t="s">
        <v>72</v>
      </c>
      <c r="C14" s="14" t="s">
        <v>14</v>
      </c>
      <c r="D14" s="29" t="s">
        <v>85</v>
      </c>
      <c r="E14" s="29" t="s">
        <v>75</v>
      </c>
      <c r="F14" s="31" t="s">
        <v>73</v>
      </c>
      <c r="G14" s="29">
        <v>1.3</v>
      </c>
      <c r="H14" s="31" t="s">
        <v>20</v>
      </c>
      <c r="I14" s="30" t="s">
        <v>86</v>
      </c>
    </row>
    <row r="15" spans="2:9" ht="25.5" x14ac:dyDescent="0.4">
      <c r="B15" s="16" t="s">
        <v>72</v>
      </c>
      <c r="C15" s="14" t="s">
        <v>14</v>
      </c>
      <c r="D15" s="29" t="s">
        <v>87</v>
      </c>
      <c r="E15" s="29" t="s">
        <v>75</v>
      </c>
      <c r="F15" s="31" t="s">
        <v>73</v>
      </c>
      <c r="G15" s="29">
        <v>2.5</v>
      </c>
      <c r="H15" s="31" t="s">
        <v>20</v>
      </c>
      <c r="I15" s="30" t="s">
        <v>88</v>
      </c>
    </row>
    <row r="16" spans="2:9" ht="25.5" x14ac:dyDescent="0.4">
      <c r="B16" s="16" t="s">
        <v>72</v>
      </c>
      <c r="C16" s="14" t="s">
        <v>14</v>
      </c>
      <c r="D16" s="29" t="s">
        <v>89</v>
      </c>
      <c r="E16" s="29" t="s">
        <v>75</v>
      </c>
      <c r="F16" s="31" t="s">
        <v>73</v>
      </c>
      <c r="G16" s="29">
        <v>0.5</v>
      </c>
      <c r="H16" s="31" t="s">
        <v>20</v>
      </c>
      <c r="I16" s="30" t="s">
        <v>107</v>
      </c>
    </row>
    <row r="17" spans="2:9" ht="25.5" x14ac:dyDescent="0.4">
      <c r="B17" s="16" t="s">
        <v>72</v>
      </c>
      <c r="C17" s="14" t="s">
        <v>14</v>
      </c>
      <c r="D17" s="29" t="s">
        <v>91</v>
      </c>
      <c r="E17" s="29" t="s">
        <v>75</v>
      </c>
      <c r="F17" s="31" t="s">
        <v>73</v>
      </c>
      <c r="G17" s="29">
        <v>2</v>
      </c>
      <c r="H17" s="31" t="s">
        <v>36</v>
      </c>
      <c r="I17" s="30" t="s">
        <v>106</v>
      </c>
    </row>
    <row r="18" spans="2:9" ht="25.5" x14ac:dyDescent="0.4">
      <c r="B18" s="16" t="s">
        <v>72</v>
      </c>
      <c r="C18" s="14" t="s">
        <v>14</v>
      </c>
      <c r="D18" s="29" t="s">
        <v>92</v>
      </c>
      <c r="E18" s="29" t="s">
        <v>75</v>
      </c>
      <c r="F18" s="31" t="s">
        <v>73</v>
      </c>
      <c r="G18" s="29">
        <v>2.2000000000000002</v>
      </c>
      <c r="H18" s="31" t="s">
        <v>20</v>
      </c>
      <c r="I18" s="30" t="s">
        <v>104</v>
      </c>
    </row>
    <row r="19" spans="2:9" ht="25.5" x14ac:dyDescent="0.4">
      <c r="B19" s="16" t="s">
        <v>72</v>
      </c>
      <c r="C19" s="14" t="s">
        <v>14</v>
      </c>
      <c r="D19" s="29" t="s">
        <v>94</v>
      </c>
      <c r="E19" s="29" t="s">
        <v>75</v>
      </c>
      <c r="F19" s="31" t="s">
        <v>73</v>
      </c>
      <c r="G19" s="29">
        <v>1.2</v>
      </c>
      <c r="H19" s="31" t="s">
        <v>20</v>
      </c>
      <c r="I19" s="30" t="s">
        <v>93</v>
      </c>
    </row>
    <row r="20" spans="2:9" ht="25.5" x14ac:dyDescent="0.4">
      <c r="B20" s="16" t="s">
        <v>72</v>
      </c>
      <c r="C20" s="14" t="s">
        <v>14</v>
      </c>
      <c r="D20" s="29" t="s">
        <v>95</v>
      </c>
      <c r="E20" s="29" t="s">
        <v>75</v>
      </c>
      <c r="F20" s="31" t="s">
        <v>73</v>
      </c>
      <c r="G20" s="29">
        <v>1.5</v>
      </c>
      <c r="H20" s="31" t="s">
        <v>20</v>
      </c>
      <c r="I20" s="30" t="s">
        <v>96</v>
      </c>
    </row>
    <row r="21" spans="2:9" ht="25.5" x14ac:dyDescent="0.4">
      <c r="B21" s="16" t="s">
        <v>72</v>
      </c>
      <c r="C21" s="14" t="s">
        <v>14</v>
      </c>
      <c r="D21" s="29" t="s">
        <v>99</v>
      </c>
      <c r="E21" s="29" t="s">
        <v>75</v>
      </c>
      <c r="F21" s="31" t="s">
        <v>73</v>
      </c>
      <c r="G21" s="29">
        <v>2.2999999999999998</v>
      </c>
      <c r="H21" s="31" t="s">
        <v>20</v>
      </c>
      <c r="I21" s="30" t="s">
        <v>100</v>
      </c>
    </row>
    <row r="22" spans="2:9" ht="25.5" x14ac:dyDescent="0.4">
      <c r="B22" s="16" t="s">
        <v>72</v>
      </c>
      <c r="C22" s="14" t="s">
        <v>18</v>
      </c>
      <c r="D22" s="29"/>
      <c r="E22" s="29" t="s">
        <v>66</v>
      </c>
      <c r="F22" s="31"/>
      <c r="G22" s="29">
        <v>1.5</v>
      </c>
      <c r="H22" s="31" t="s">
        <v>61</v>
      </c>
      <c r="I22" s="30"/>
    </row>
    <row r="23" spans="2:9" x14ac:dyDescent="0.4">
      <c r="B23" s="8"/>
      <c r="C23" s="14"/>
      <c r="D23" s="9"/>
      <c r="E23" s="9"/>
      <c r="F23" s="14"/>
      <c r="G23" s="9"/>
      <c r="H23" s="14"/>
      <c r="I23" s="12"/>
    </row>
    <row r="24" spans="2:9" x14ac:dyDescent="0.4">
      <c r="B24" s="8"/>
      <c r="C24" s="14"/>
      <c r="D24" s="9"/>
      <c r="E24" s="9"/>
      <c r="F24" s="14"/>
      <c r="G24" s="9"/>
      <c r="H24" s="14"/>
      <c r="I24" s="12"/>
    </row>
    <row r="25" spans="2:9" x14ac:dyDescent="0.4">
      <c r="B25" s="8"/>
      <c r="C25" s="14"/>
      <c r="D25" s="9"/>
      <c r="E25" s="9"/>
      <c r="F25" s="14"/>
      <c r="G25" s="9"/>
      <c r="H25" s="14"/>
      <c r="I25" s="12"/>
    </row>
    <row r="26" spans="2:9" x14ac:dyDescent="0.4">
      <c r="B26" s="8"/>
      <c r="C26" s="14"/>
      <c r="D26" s="9"/>
      <c r="E26" s="9"/>
      <c r="F26" s="14"/>
      <c r="G26" s="9"/>
      <c r="H26" s="14"/>
      <c r="I26" s="12"/>
    </row>
    <row r="27" spans="2:9" x14ac:dyDescent="0.4">
      <c r="B27" s="8"/>
      <c r="C27" s="14"/>
      <c r="D27" s="9"/>
      <c r="E27" s="9"/>
      <c r="F27" s="14"/>
      <c r="G27" s="9"/>
      <c r="H27" s="14"/>
      <c r="I27" s="12"/>
    </row>
    <row r="28" spans="2:9" x14ac:dyDescent="0.4">
      <c r="B28" s="24"/>
      <c r="C28" s="25"/>
      <c r="D28" s="26"/>
      <c r="E28" s="26"/>
      <c r="F28" s="28" t="s">
        <v>67</v>
      </c>
      <c r="G28" s="35">
        <f>SUM(G3:G27)</f>
        <v>42.400000000000006</v>
      </c>
      <c r="H28" s="36"/>
      <c r="I28" s="37"/>
    </row>
    <row r="29" spans="2:9" ht="14.25" thickBot="1" x14ac:dyDescent="0.45">
      <c r="B29" s="20"/>
      <c r="C29" s="21"/>
      <c r="D29" s="22"/>
      <c r="E29" s="22"/>
      <c r="F29" s="27" t="s">
        <v>68</v>
      </c>
      <c r="G29" s="32">
        <v>5</v>
      </c>
      <c r="H29" s="33"/>
      <c r="I29" s="34"/>
    </row>
    <row r="30" spans="2:9" ht="14.25" thickTop="1" x14ac:dyDescent="0.4"/>
  </sheetData>
  <mergeCells count="2">
    <mergeCell ref="G29:I29"/>
    <mergeCell ref="G28:I28"/>
  </mergeCells>
  <phoneticPr fontId="7" type="noConversion"/>
  <dataValidations count="3">
    <dataValidation type="list" allowBlank="1" showInputMessage="1" showErrorMessage="1" sqref="F4:F7 F22:F27" xr:uid="{B7A1F260-C374-4F12-B5D8-38763B9283E8}">
      <formula1>INDIRECT(E4)</formula1>
    </dataValidation>
    <dataValidation type="list" allowBlank="1" showInputMessage="1" showErrorMessage="1" sqref="F8:F21" xr:uid="{BB1B97F8-AC92-4AC2-ACAE-AB91E6B7812C}">
      <formula1>INDIRECT(#REF!)</formula1>
    </dataValidation>
    <dataValidation type="list" allowBlank="1" showInputMessage="1" showErrorMessage="1" sqref="H4:H27" xr:uid="{D380BDC5-3DF7-4E67-A00D-6A31B34EAA75}">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33C6DF-BC76-481B-AA4B-5776259D63F3}">
          <x14:formula1>
            <xm:f>数据标签!$B$11:$D$11</xm:f>
          </x14:formula1>
          <xm:sqref>E23:E29 E4:E7</xm:sqref>
        </x14:dataValidation>
        <x14:dataValidation type="list" allowBlank="1" showInputMessage="1" showErrorMessage="1" xr:uid="{1BF3D93C-EBD2-4BC9-A981-9B9F7D94E14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2025-08-05T09:09:37Z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