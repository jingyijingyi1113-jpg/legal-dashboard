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qiannanhai/Desktop/"/>
    </mc:Choice>
  </mc:AlternateContent>
  <xr:revisionPtr revIDLastSave="0" documentId="13_ncr:1_{D677E873-3837-CA47-B9DF-37426CBE259E}" xr6:coauthVersionLast="47" xr6:coauthVersionMax="47" xr10:uidLastSave="{00000000-0000-0000-0000-000000000000}"/>
  <bookViews>
    <workbookView xWindow="0" yWindow="740" windowWidth="29400" windowHeight="173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<sst xmlns="http://schemas.openxmlformats.org/spreadsheetml/2006/main" count="219" uniqueCount="105">
  <si>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</si>
  <si>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</si>
  <si>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</si>
  <si>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</si>
  <si>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</si>
  <si>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</si>
  <si>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</si>
  <si>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</si>
  <si>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</si>
  <si>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</si>
  <si>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</si>
  <si>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</si>
  <si>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</si>
  <si>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</si>
  <si>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</si>
  <si>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</si>
  <si>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</si>
  <si>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</si>
  <si>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</si>
  <si>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</si>
  <si>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</si>
  <si>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</si>
  <si>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</si>
  <si>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</si>
  <si>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</si>
  <si>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</si>
  <si>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</si>
  <si>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</si>
  <si>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</si>
  <si>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</si>
  <si>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</si>
  <si>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</si>
  <si>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</si>
  <si>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</si>
  <si>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</si>
  <si>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</si>
  <si>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</si>
  <si>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</si>
  <si>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</si>
  <si>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</si>
  <si>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</si>
  <si>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</si>
  <si>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</si>
  <si>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</si>
  <si>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</si>
  <si>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</si>
  <si>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</si>
  <si>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</si>
  <si>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</si>
  <si>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</si>
  <si>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</si>
  <si>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</si>
  <si>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</si>
  <si>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</si>
  <si>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</si>
  <si>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</si>
  <si>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</si>
  <si>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</si>
  <si>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</si>
  <si>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</si>
  <si>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</si>
  <si>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</si>
  <si>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</si>
  <si>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</si>
  <si>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</si>
  <si>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</si>
  <si>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</si>
  <si>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</si>
  <si>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</si>
  <si>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</si>
  <si>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</si>
  <si>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</si>
  <si>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</si>
  <si>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</si>
  <si>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</si>
  <si>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</si>
  <si>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审阅及反馈董事会决议，和财务、IEG沟通关联交易相关议案，安排签字及释放签字页</t>
    <phoneticPr fontId="7" type="noConversion"/>
  </si>
  <si>
    <t>审阅及沟通还款协议</t>
    <phoneticPr fontId="7" type="noConversion"/>
  </si>
  <si>
    <t>胖布丁</t>
    <phoneticPr fontId="7" type="noConversion"/>
  </si>
  <si>
    <t>和deal team沟通子公司层面新融资的影响</t>
    <phoneticPr fontId="7" type="noConversion"/>
  </si>
  <si>
    <t>极兔中东南美</t>
    <phoneticPr fontId="7" type="noConversion"/>
  </si>
  <si>
    <t>和公司电话沟通上翻新方案，进一步反馈</t>
    <phoneticPr fontId="7" type="noConversion"/>
  </si>
  <si>
    <t>Bitpanda</t>
    <phoneticPr fontId="7" type="noConversion"/>
  </si>
  <si>
    <t>审阅待wyntekk签署的confirmation letter，跟进签署打款及交割确认进度，发出kyc文件</t>
    <phoneticPr fontId="7" type="noConversion"/>
  </si>
  <si>
    <t>qiannanhai</t>
    <phoneticPr fontId="7" type="noConversion"/>
  </si>
  <si>
    <t>宝可拉</t>
    <phoneticPr fontId="7" type="noConversion"/>
  </si>
  <si>
    <t>审阅及反馈scopely修改的TS，和deal team内部讨论修改意见并进一步更新</t>
    <phoneticPr fontId="7" type="noConversion"/>
  </si>
  <si>
    <t>Gruby</t>
    <phoneticPr fontId="7" type="noConversion"/>
  </si>
  <si>
    <t>审阅公司发出的key terms，内部与janet沟通新投资人类似投资安排，deal team讨论交易架构</t>
    <phoneticPr fontId="7" type="noConversion"/>
  </si>
  <si>
    <t>卡布姆</t>
    <phoneticPr fontId="7" type="noConversion"/>
  </si>
  <si>
    <t>沟通新融资背景，卷入律师审阅交易文件</t>
    <phoneticPr fontId="7" type="noConversion"/>
  </si>
  <si>
    <t>重庆东金</t>
    <phoneticPr fontId="7" type="noConversion"/>
  </si>
  <si>
    <t>讨论自然人合资方案及fusure相关补充材料</t>
    <phoneticPr fontId="7" type="noConversion"/>
  </si>
  <si>
    <t>游戏科学</t>
    <phoneticPr fontId="7" type="noConversion"/>
  </si>
  <si>
    <t>沟通工商变更情况，审阅相关文件，跟进各方签字页进度</t>
    <phoneticPr fontId="7" type="noConversion"/>
  </si>
  <si>
    <t>呦尔哈</t>
    <phoneticPr fontId="7" type="noConversion"/>
  </si>
  <si>
    <t>审阅提前付尾款的分析邮件，并和律师沟通进行调整，回复给deal team并内部讨论</t>
    <phoneticPr fontId="7" type="noConversion"/>
  </si>
  <si>
    <t>小药药</t>
    <phoneticPr fontId="7" type="noConversion"/>
  </si>
  <si>
    <t>和MA讨论调查背景及退出诉求，沟通后续回购通知的发送安排</t>
    <phoneticPr fontId="7" type="noConversion"/>
  </si>
  <si>
    <t>光启元</t>
    <phoneticPr fontId="7" type="noConversion"/>
  </si>
  <si>
    <t>和业务、律师沟通公司注销后腾讯的潜在责任，目前协议的违约情况以及后续付款处理方式</t>
    <phoneticPr fontId="7" type="noConversion"/>
  </si>
  <si>
    <t>云畅</t>
    <phoneticPr fontId="7" type="noConversion"/>
  </si>
  <si>
    <t>沟通回购条件是否触发以及商业退出诉求</t>
    <phoneticPr fontId="7" type="noConversion"/>
  </si>
  <si>
    <t xml:space="preserve"> </t>
  </si>
  <si>
    <t>Recording/reviewing deals updates/weekly time reports/other team summaries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</si>
</sst>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0" fillId="0" borderId="4" xfId="0" applyBorder="1">
      <alignment vertical="center"/>
    </xf>
    <xf numFmtId="0" fontId="9" fillId="0" borderId="16" xfId="0" applyFont="1" applyBorder="1" applyAlignment="1">
      <alignment vertical="center" wrapText="1"/>
    </xf>
    <xf numFmtId="0" fontId="9" fillId="0" borderId="16" xfId="0" applyFont="1" applyBorder="1">
      <alignment vertical="center"/>
    </xf>
    <xf numFmtId="0" fontId="9"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90" zoomScaleNormal="90" workbookViewId="0">
      <selection activeCell="H15" sqref="H15"/>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84</v>
      </c>
      <c r="C4" s="14" t="s">
        <v>12</v>
      </c>
      <c r="D4" s="27" t="s">
        <v>75</v>
      </c>
      <c r="E4" s="9" t="s">
        <v>37</v>
      </c>
      <c r="F4" s="14" t="s">
        <v>70</v>
      </c>
      <c r="G4" s="9">
        <v>2.1</v>
      </c>
      <c r="H4" s="14" t="s">
        <v>66</v>
      </c>
      <c r="I4" s="28" t="s">
        <v>76</v>
      </c>
    </row>
    <row r="5" spans="2:9" ht="28">
      <c r="B5" s="16" t="s">
        <v>84</v>
      </c>
      <c r="C5" s="14" t="s">
        <v>12</v>
      </c>
      <c r="D5" s="27" t="s">
        <v>75</v>
      </c>
      <c r="E5" s="9" t="s">
        <v>37</v>
      </c>
      <c r="F5" s="14" t="s">
        <v>70</v>
      </c>
      <c r="G5" s="30">
        <v>7.7</v>
      </c>
      <c r="H5" s="14" t="s">
        <v>66</v>
      </c>
      <c r="I5" s="28" t="s">
        <v>77</v>
      </c>
    </row>
    <row r="6" spans="2:9" ht="28">
      <c r="B6" s="16" t="s">
        <v>84</v>
      </c>
      <c r="C6" s="14" t="s">
        <v>12</v>
      </c>
      <c r="D6" s="27" t="s">
        <v>78</v>
      </c>
      <c r="E6" s="9" t="s">
        <v>37</v>
      </c>
      <c r="F6" s="14" t="s">
        <v>70</v>
      </c>
      <c r="G6" s="30">
        <v>1.2</v>
      </c>
      <c r="H6" s="14" t="s">
        <v>68</v>
      </c>
      <c r="I6" s="28" t="s">
        <v>79</v>
      </c>
    </row>
    <row r="7" spans="2:9" ht="28">
      <c r="B7" s="16" t="s">
        <v>84</v>
      </c>
      <c r="C7" s="14" t="s">
        <v>12</v>
      </c>
      <c r="D7" s="27" t="s">
        <v>80</v>
      </c>
      <c r="E7" s="9" t="s">
        <v>37</v>
      </c>
      <c r="F7" s="14" t="s">
        <v>70</v>
      </c>
      <c r="G7" s="27">
        <v>2.6</v>
      </c>
      <c r="H7" s="14" t="s">
        <v>68</v>
      </c>
      <c r="I7" s="28" t="s">
        <v>81</v>
      </c>
    </row>
    <row r="8" spans="2:9" ht="28">
      <c r="B8" s="16" t="s">
        <v>84</v>
      </c>
      <c r="C8" s="14" t="s">
        <v>12</v>
      </c>
      <c r="D8" s="27" t="s">
        <v>82</v>
      </c>
      <c r="E8" s="9" t="s">
        <v>37</v>
      </c>
      <c r="F8" s="14" t="s">
        <v>70</v>
      </c>
      <c r="G8" s="9">
        <v>2.9</v>
      </c>
      <c r="H8" s="14" t="s">
        <v>68</v>
      </c>
      <c r="I8" s="28" t="s">
        <v>83</v>
      </c>
    </row>
    <row r="9" spans="2:9" ht="28">
      <c r="B9" s="16" t="s">
        <v>84</v>
      </c>
      <c r="C9" s="14" t="s">
        <v>12</v>
      </c>
      <c r="D9" s="27" t="s">
        <v>85</v>
      </c>
      <c r="E9" s="9" t="s">
        <v>37</v>
      </c>
      <c r="F9" s="14" t="s">
        <v>70</v>
      </c>
      <c r="G9" s="9">
        <v>2.8</v>
      </c>
      <c r="H9" s="14" t="s">
        <v>66</v>
      </c>
      <c r="I9" s="28" t="s">
        <v>86</v>
      </c>
    </row>
    <row r="10" spans="2:9" ht="28">
      <c r="B10" s="16" t="s">
        <v>84</v>
      </c>
      <c r="C10" s="31" t="s">
        <v>12</v>
      </c>
      <c r="D10" s="32" t="s">
        <v>87</v>
      </c>
      <c r="E10" s="32" t="s">
        <v>37</v>
      </c>
      <c r="F10" s="31" t="s">
        <v>70</v>
      </c>
      <c r="G10" s="32">
        <v>1.7</v>
      </c>
      <c r="H10" s="31" t="s">
        <v>68</v>
      </c>
      <c r="I10" s="33" t="s">
        <v>88</v>
      </c>
    </row>
    <row r="11" spans="2:9" ht="28">
      <c r="B11" s="16" t="s">
        <v>84</v>
      </c>
      <c r="C11" s="31" t="s">
        <v>12</v>
      </c>
      <c r="D11" s="32" t="s">
        <v>89</v>
      </c>
      <c r="E11" s="32" t="s">
        <v>37</v>
      </c>
      <c r="F11" s="31" t="s">
        <v>70</v>
      </c>
      <c r="G11" s="32">
        <v>0.8</v>
      </c>
      <c r="H11" s="31" t="s">
        <v>68</v>
      </c>
      <c r="I11" s="33" t="s">
        <v>90</v>
      </c>
    </row>
    <row r="12" spans="2:9" ht="28">
      <c r="B12" s="16" t="s">
        <v>84</v>
      </c>
      <c r="C12" s="31" t="s">
        <v>12</v>
      </c>
      <c r="D12" s="32" t="s">
        <v>91</v>
      </c>
      <c r="E12" s="32" t="s">
        <v>37</v>
      </c>
      <c r="F12" s="31" t="s">
        <v>70</v>
      </c>
      <c r="G12" s="32">
        <v>1.5</v>
      </c>
      <c r="H12" s="14" t="s">
        <v>33</v>
      </c>
      <c r="I12" s="33" t="s">
        <v>92</v>
      </c>
    </row>
    <row r="13" spans="2:9" ht="28">
      <c r="B13" s="16" t="s">
        <v>84</v>
      </c>
      <c r="C13" s="31" t="s">
        <v>12</v>
      </c>
      <c r="D13" s="32" t="s">
        <v>93</v>
      </c>
      <c r="E13" s="32" t="s">
        <v>37</v>
      </c>
      <c r="F13" s="31" t="s">
        <v>70</v>
      </c>
      <c r="G13" s="32">
        <v>2.4</v>
      </c>
      <c r="H13" s="31" t="s">
        <v>68</v>
      </c>
      <c r="I13" s="33" t="s">
        <v>94</v>
      </c>
    </row>
    <row r="14" spans="2:9" ht="28">
      <c r="B14" s="16" t="s">
        <v>84</v>
      </c>
      <c r="C14" s="31" t="s">
        <v>12</v>
      </c>
      <c r="D14" s="32" t="s">
        <v>95</v>
      </c>
      <c r="E14" s="32" t="s">
        <v>37</v>
      </c>
      <c r="F14" s="31" t="s">
        <v>70</v>
      </c>
      <c r="G14" s="32">
        <v>1.3</v>
      </c>
      <c r="H14" s="31" t="s">
        <v>68</v>
      </c>
      <c r="I14" s="33" t="s">
        <v>96</v>
      </c>
    </row>
    <row r="15" spans="2:9" ht="28">
      <c r="B15" s="16" t="s">
        <v>84</v>
      </c>
      <c r="C15" s="14" t="s">
        <v>14</v>
      </c>
      <c r="D15" s="32" t="s">
        <v>97</v>
      </c>
      <c r="E15" s="32" t="s">
        <v>37</v>
      </c>
      <c r="F15" s="31" t="s">
        <v>70</v>
      </c>
      <c r="G15" s="32">
        <v>0.7</v>
      </c>
      <c r="H15" s="14" t="s">
        <v>33</v>
      </c>
      <c r="I15" s="33" t="s">
        <v>98</v>
      </c>
    </row>
    <row r="16" spans="2:9" ht="28">
      <c r="B16" s="16" t="s">
        <v>84</v>
      </c>
      <c r="C16" s="14" t="s">
        <v>14</v>
      </c>
      <c r="D16" s="32" t="s">
        <v>99</v>
      </c>
      <c r="E16" s="32" t="s">
        <v>37</v>
      </c>
      <c r="F16" s="31" t="s">
        <v>70</v>
      </c>
      <c r="G16" s="32">
        <v>2.5</v>
      </c>
      <c r="H16" s="14" t="s">
        <v>68</v>
      </c>
      <c r="I16" s="33" t="s">
        <v>100</v>
      </c>
    </row>
    <row r="17" spans="2:9" ht="28">
      <c r="B17" s="16" t="s">
        <v>84</v>
      </c>
      <c r="C17" s="14" t="s">
        <v>14</v>
      </c>
      <c r="D17" s="27" t="s">
        <v>101</v>
      </c>
      <c r="E17" s="9" t="s">
        <v>37</v>
      </c>
      <c r="F17" s="14" t="s">
        <v>70</v>
      </c>
      <c r="G17" s="9">
        <v>1.2</v>
      </c>
      <c r="H17" s="14" t="s">
        <v>68</v>
      </c>
      <c r="I17" s="28" t="s">
        <v>102</v>
      </c>
    </row>
    <row r="18" spans="2:9" ht="28">
      <c r="B18" s="16" t="s">
        <v>84</v>
      </c>
      <c r="C18" s="14" t="s">
        <v>16</v>
      </c>
      <c r="D18" s="27"/>
      <c r="E18" s="9" t="s">
        <v>24</v>
      </c>
      <c r="F18" s="14" t="s">
        <v>103</v>
      </c>
      <c r="G18" s="9">
        <v>1</v>
      </c>
      <c r="H18" s="14" t="s">
        <v>104</v>
      </c>
      <c r="I18" s="28"/>
    </row>
    <row r="19" spans="2:9">
      <c r="B19" s="8"/>
      <c r="C19" s="14"/>
      <c r="D19" s="9"/>
      <c r="E19" s="9"/>
      <c r="F19" s="14"/>
      <c r="G19" s="9"/>
      <c r="H19" s="14"/>
      <c r="I19" s="29"/>
    </row>
    <row r="20" spans="2:9">
      <c r="B20" s="8"/>
      <c r="C20" s="14"/>
      <c r="D20" s="9"/>
      <c r="E20" s="9"/>
      <c r="F20" s="14"/>
      <c r="G20" s="9"/>
      <c r="H20" s="14"/>
      <c r="I20" s="12"/>
    </row>
    <row r="21" spans="2:9">
      <c r="B21" s="8"/>
      <c r="C21" s="14"/>
      <c r="D21" s="9"/>
      <c r="E21" s="9"/>
      <c r="F21" s="14"/>
      <c r="G21" s="9"/>
      <c r="H21" s="14"/>
      <c r="I21" s="12"/>
    </row>
    <row r="22" spans="2:9">
      <c r="B22" s="22"/>
      <c r="C22" s="23"/>
      <c r="D22" s="24"/>
      <c r="E22" s="24"/>
      <c r="F22" s="26" t="s">
        <v>61</v>
      </c>
      <c r="G22" s="37">
        <f>SUM(G4:G21)</f>
        <v>32.4</v>
      </c>
      <c r="H22" s="38"/>
      <c r="I22" s="39"/>
    </row>
    <row r="23" spans="2:9" ht="16" thickBot="1">
      <c r="B23" s="19"/>
      <c r="C23" s="20"/>
      <c r="D23" s="21"/>
      <c r="E23" s="21"/>
      <c r="F23" s="25" t="s">
        <v>62</v>
      </c>
      <c r="G23" s="34">
        <v>4.5</v>
      </c>
      <c r="H23" s="35"/>
      <c r="I23" s="36"/>
    </row>
    <row r="24" spans="2:9" ht="16" thickTop="1"/>
  </sheetData>
  <mergeCells count="2">
    <mergeCell ref="G23:I23"/>
    <mergeCell ref="G22:I22"/>
  </mergeCells>
  <phoneticPr fontId="7" type="noConversion"/>
  <dataValidations count="2">
    <dataValidation type="list" allowBlank="1" showInputMessage="1" showErrorMessage="1" sqref="H4:H9 H15:H21 H12" xr:uid="{00000000-0002-0000-0000-000000000000}">
      <formula1>hh</formula1>
    </dataValidation>
    <dataValidation type="list" allowBlank="1" showInputMessage="1" showErrorMessage="1" sqref="F4:F9 F17: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C4:C9 C15:C23</xm:sqref>
        </x14:dataValidation>
        <x14:dataValidation type="list" allowBlank="1" showInputMessage="1" showErrorMessage="1" xr:uid="{00000000-0002-0000-0000-000003000000}">
          <x14:formula1>
            <xm:f>数据标签!$B$12:$C$12</xm:f>
          </x14:formula1>
          <xm:sqref>E4:E9 E17:E23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2025-11-05T03:08:07Z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