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552FA0D8-2217-4A79-AC50-5018E2EF8C6D}"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<sst xmlns="http://schemas.openxmlformats.org/spreadsheetml/2006/main" count="200" uniqueCount="101">
  <si>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</si>
  <si>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</si>
  <si>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</si>
  <si>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</si>
  <si>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</si>
  <si>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</si>
  <si>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</si>
  <si>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</si>
  <si>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</si>
  <si>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</si>
  <si>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</si>
  <si>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</si>
  <si>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</si>
  <si>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</si>
  <si>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</si>
  <si>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</si>
  <si>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</si>
  <si>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</si>
  <si>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</si>
  <si>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</si>
  <si>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</si>
  <si>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</si>
  <si>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</si>
  <si>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</si>
  <si>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</si>
  <si>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</si>
  <si>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</si>
  <si>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</si>
  <si>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</si>
  <si>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</si>
  <si>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</si>
  <si>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</si>
  <si>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</si>
  <si>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</si>
  <si>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</si>
  <si>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</si>
  <si>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</si>
  <si>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</si>
  <si>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</si>
  <si>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</si>
  <si>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</si>
  <si>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</si>
  <si>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</si>
  <si>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</si>
  <si>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</si>
  <si>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</si>
  <si>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</si>
  <si>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</si>
  <si>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</si>
  <si>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</si>
  <si>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</si>
  <si>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</si>
  <si>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</si>
  <si>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</si>
  <si>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</si>
  <si>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</si>
  <si>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</si>
  <si>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</si>
  <si>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</si>
  <si>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</si>
  <si>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</si>
  <si>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</si>
  <si>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</si>
  <si>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</si>
  <si>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</si>
  <si>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</si>
  <si>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</si>
  <si>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</si>
  <si>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</si>
  <si>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</si>
  <si>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</si>
  <si>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</si>
  <si>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</si>
  <si>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</si>
  <si>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灵游坊</t>
    <phoneticPr fontId="7" type="noConversion"/>
  </si>
  <si>
    <t>证券投资咨询牌照收购</t>
    <phoneticPr fontId="7" type="noConversion"/>
  </si>
  <si>
    <t>极兔</t>
    <phoneticPr fontId="7" type="noConversion"/>
  </si>
  <si>
    <t>Recording/reviewing deals updates/weekly time reports/other team summaries</t>
  </si>
  <si>
    <t>Investment Related - M&amp;A Deal</t>
    <phoneticPr fontId="7" type="noConversion"/>
  </si>
  <si>
    <t>BSC</t>
    <phoneticPr fontId="7" type="noConversion"/>
  </si>
  <si>
    <t>TT语音</t>
    <phoneticPr fontId="7" type="noConversion"/>
  </si>
  <si>
    <t>无端</t>
    <phoneticPr fontId="7" type="noConversion"/>
  </si>
  <si>
    <t>Investment Related - Corporate Matter</t>
    <phoneticPr fontId="7" type="noConversion"/>
  </si>
  <si>
    <t>魔方MCN</t>
    <phoneticPr fontId="7" type="noConversion"/>
  </si>
  <si>
    <t>Recording deals updates and weekly time reports</t>
    <phoneticPr fontId="7" type="noConversion"/>
  </si>
  <si>
    <t>众乐童乐</t>
    <phoneticPr fontId="7" type="noConversion"/>
  </si>
  <si>
    <t>考虫</t>
    <phoneticPr fontId="7" type="noConversion"/>
  </si>
  <si>
    <t>arranging signing for AMR documents; discussing with external counsel and deal team re KYC documents</t>
    <phoneticPr fontId="7" type="noConversion"/>
  </si>
  <si>
    <t>Updating the application documents per request of local regulatory; discussing the same with business team, PA and deal team; reviewing and commenting of LF revised by company; discussing with deal team re LF; con-call with company's counsel re LF</t>
    <phoneticPr fontId="7" type="noConversion"/>
  </si>
  <si>
    <t>Discussing with Maples and CO for payment of invoices</t>
    <phoneticPr fontId="7" type="noConversion"/>
  </si>
  <si>
    <t>Reviewing the revised tax clauses, discussing the same with tax team and external counsel; discussing with company re issues list; discussing with deal team and external counsel re risk of SL</t>
    <phoneticPr fontId="7" type="noConversion"/>
  </si>
  <si>
    <t>Revising and finalizing the resolutions, releasing signature pages</t>
    <phoneticPr fontId="7" type="noConversion"/>
  </si>
  <si>
    <t>Reviewing the share transfer agreement, discussing with external counsel re the same</t>
    <phoneticPr fontId="7" type="noConversion"/>
  </si>
  <si>
    <t>云图动漫</t>
    <phoneticPr fontId="7" type="noConversion"/>
  </si>
  <si>
    <t>Reviewing and commenting on resolutions re investment and change of director</t>
    <phoneticPr fontId="7" type="noConversion"/>
  </si>
  <si>
    <t>广州秒可</t>
    <phoneticPr fontId="7" type="noConversion"/>
  </si>
  <si>
    <t>Reviewing and commenting on share transfer documents and resolutions; discussing the same with business team</t>
    <phoneticPr fontId="7" type="noConversion"/>
  </si>
  <si>
    <t>Arranging signing for AMR documents</t>
    <phoneticPr fontId="7" type="noConversion"/>
  </si>
  <si>
    <t>Reviewing and commenting on AoA, following up on tax filing status, releasing signature pages</t>
    <phoneticPr fontId="7" type="noConversion"/>
  </si>
  <si>
    <t>TGIF 共感</t>
    <phoneticPr fontId="7" type="noConversion"/>
  </si>
  <si>
    <t>Reviewing and commenting on the revised share transfer agreement; discussing pending issues with external counsel and deal team</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</si>
</sst>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6" zoomScale="80" zoomScaleNormal="80" workbookViewId="0">
      <selection activeCell="G12" sqref="G12"/>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38.25" x14ac:dyDescent="0.4">
      <c r="B4" s="16" t="s">
        <v>72</v>
      </c>
      <c r="C4" s="14" t="s">
        <v>14</v>
      </c>
      <c r="D4" s="29" t="s">
        <v>74</v>
      </c>
      <c r="E4" s="9" t="s">
        <v>40</v>
      </c>
      <c r="F4" s="14" t="s">
        <v>73</v>
      </c>
      <c r="G4" s="29">
        <v>1.3</v>
      </c>
      <c r="H4" s="14" t="s">
        <v>20</v>
      </c>
      <c r="I4" s="30" t="s">
        <v>87</v>
      </c>
    </row>
    <row r="5" spans="2:9" ht="76.5" x14ac:dyDescent="0.4">
      <c r="B5" s="16" t="s">
        <v>72</v>
      </c>
      <c r="C5" s="14" t="s">
        <v>14</v>
      </c>
      <c r="D5" s="31" t="s">
        <v>75</v>
      </c>
      <c r="E5" s="9" t="s">
        <v>40</v>
      </c>
      <c r="F5" s="14" t="s">
        <v>73</v>
      </c>
      <c r="G5" s="29">
        <v>11.8</v>
      </c>
      <c r="H5" s="14" t="s">
        <v>20</v>
      </c>
      <c r="I5" s="30" t="s">
        <v>88</v>
      </c>
    </row>
    <row r="6" spans="2:9" ht="25.5" x14ac:dyDescent="0.4">
      <c r="B6" s="16" t="s">
        <v>72</v>
      </c>
      <c r="C6" s="14" t="s">
        <v>14</v>
      </c>
      <c r="D6" s="29" t="s">
        <v>76</v>
      </c>
      <c r="E6" s="9" t="s">
        <v>40</v>
      </c>
      <c r="F6" s="14" t="s">
        <v>73</v>
      </c>
      <c r="G6" s="29">
        <v>2.2000000000000002</v>
      </c>
      <c r="H6" s="14" t="s">
        <v>20</v>
      </c>
      <c r="I6" s="30" t="s">
        <v>89</v>
      </c>
    </row>
    <row r="7" spans="2:9" ht="51" x14ac:dyDescent="0.4">
      <c r="B7" s="16" t="s">
        <v>72</v>
      </c>
      <c r="C7" s="31" t="s">
        <v>78</v>
      </c>
      <c r="D7" s="29" t="s">
        <v>80</v>
      </c>
      <c r="E7" s="29" t="s">
        <v>79</v>
      </c>
      <c r="F7" s="31" t="s">
        <v>73</v>
      </c>
      <c r="G7" s="29">
        <v>3.5</v>
      </c>
      <c r="H7" s="31" t="s">
        <v>20</v>
      </c>
      <c r="I7" s="30" t="s">
        <v>90</v>
      </c>
    </row>
    <row r="8" spans="2:9" ht="25.5" x14ac:dyDescent="0.4">
      <c r="B8" s="16" t="s">
        <v>72</v>
      </c>
      <c r="C8" s="31" t="s">
        <v>78</v>
      </c>
      <c r="D8" s="29" t="s">
        <v>83</v>
      </c>
      <c r="E8" s="29" t="s">
        <v>79</v>
      </c>
      <c r="F8" s="31" t="s">
        <v>73</v>
      </c>
      <c r="G8" s="29">
        <v>1.6</v>
      </c>
      <c r="H8" s="31" t="s">
        <v>20</v>
      </c>
      <c r="I8" s="30" t="s">
        <v>98</v>
      </c>
    </row>
    <row r="9" spans="2:9" ht="25.5" x14ac:dyDescent="0.4">
      <c r="B9" s="16" t="s">
        <v>72</v>
      </c>
      <c r="C9" s="31" t="s">
        <v>82</v>
      </c>
      <c r="D9" s="29" t="s">
        <v>81</v>
      </c>
      <c r="E9" s="29" t="s">
        <v>79</v>
      </c>
      <c r="F9" s="31" t="s">
        <v>73</v>
      </c>
      <c r="G9" s="29">
        <v>1.5</v>
      </c>
      <c r="H9" s="31" t="s">
        <v>20</v>
      </c>
      <c r="I9" s="30" t="s">
        <v>91</v>
      </c>
    </row>
    <row r="10" spans="2:9" ht="25.5" x14ac:dyDescent="0.4">
      <c r="B10" s="16" t="s">
        <v>72</v>
      </c>
      <c r="C10" s="14" t="s">
        <v>14</v>
      </c>
      <c r="D10" s="29" t="s">
        <v>85</v>
      </c>
      <c r="E10" s="29" t="s">
        <v>79</v>
      </c>
      <c r="F10" s="31" t="s">
        <v>73</v>
      </c>
      <c r="G10" s="29">
        <v>2</v>
      </c>
      <c r="H10" s="31" t="s">
        <v>20</v>
      </c>
      <c r="I10" s="30" t="s">
        <v>92</v>
      </c>
    </row>
    <row r="11" spans="2:9" ht="38.25" x14ac:dyDescent="0.4">
      <c r="B11" s="16" t="s">
        <v>72</v>
      </c>
      <c r="C11" s="31" t="s">
        <v>14</v>
      </c>
      <c r="D11" s="29" t="s">
        <v>99</v>
      </c>
      <c r="E11" s="29" t="s">
        <v>79</v>
      </c>
      <c r="F11" s="31" t="s">
        <v>73</v>
      </c>
      <c r="G11" s="29">
        <v>1.3</v>
      </c>
      <c r="H11" s="31" t="s">
        <v>20</v>
      </c>
      <c r="I11" s="30" t="s">
        <v>100</v>
      </c>
    </row>
    <row r="12" spans="2:9" ht="25.5" x14ac:dyDescent="0.4">
      <c r="B12" s="16" t="s">
        <v>72</v>
      </c>
      <c r="C12" s="14" t="s">
        <v>16</v>
      </c>
      <c r="D12" s="29" t="s">
        <v>93</v>
      </c>
      <c r="E12" s="29" t="s">
        <v>79</v>
      </c>
      <c r="F12" s="31" t="s">
        <v>73</v>
      </c>
      <c r="G12" s="29">
        <v>0.7</v>
      </c>
      <c r="H12" s="31" t="s">
        <v>20</v>
      </c>
      <c r="I12" s="30" t="s">
        <v>94</v>
      </c>
    </row>
    <row r="13" spans="2:9" ht="38.25" x14ac:dyDescent="0.4">
      <c r="B13" s="16" t="s">
        <v>72</v>
      </c>
      <c r="C13" s="14" t="s">
        <v>16</v>
      </c>
      <c r="D13" s="29" t="s">
        <v>95</v>
      </c>
      <c r="E13" s="29" t="s">
        <v>79</v>
      </c>
      <c r="F13" s="31" t="s">
        <v>73</v>
      </c>
      <c r="G13" s="29">
        <v>1.5</v>
      </c>
      <c r="H13" s="31" t="s">
        <v>20</v>
      </c>
      <c r="I13" s="30" t="s">
        <v>96</v>
      </c>
    </row>
    <row r="14" spans="2:9" ht="25.5" x14ac:dyDescent="0.4">
      <c r="B14" s="16" t="s">
        <v>72</v>
      </c>
      <c r="C14" s="14" t="s">
        <v>14</v>
      </c>
      <c r="D14" s="29" t="s">
        <v>86</v>
      </c>
      <c r="E14" s="29" t="s">
        <v>79</v>
      </c>
      <c r="F14" s="31" t="s">
        <v>73</v>
      </c>
      <c r="G14" s="29">
        <v>0.3</v>
      </c>
      <c r="H14" s="31" t="s">
        <v>20</v>
      </c>
      <c r="I14" s="30" t="s">
        <v>97</v>
      </c>
    </row>
    <row r="15" spans="2:9" ht="25.5" x14ac:dyDescent="0.4">
      <c r="B15" s="16" t="s">
        <v>72</v>
      </c>
      <c r="C15" s="14" t="s">
        <v>18</v>
      </c>
      <c r="D15" s="9"/>
      <c r="E15" s="9" t="s">
        <v>27</v>
      </c>
      <c r="F15" s="14"/>
      <c r="G15" s="9">
        <v>1</v>
      </c>
      <c r="H15" s="14" t="s">
        <v>77</v>
      </c>
      <c r="I15" s="30" t="s">
        <v>84</v>
      </c>
    </row>
    <row r="16" spans="2:9" x14ac:dyDescent="0.4">
      <c r="B16" s="16" t="s">
        <v>72</v>
      </c>
      <c r="C16" s="14" t="s">
        <v>18</v>
      </c>
      <c r="D16" s="9"/>
      <c r="E16" s="9" t="s">
        <v>27</v>
      </c>
      <c r="F16" s="14"/>
      <c r="G16" s="9">
        <v>1.6</v>
      </c>
      <c r="H16" s="14" t="s">
        <v>24</v>
      </c>
      <c r="I16" s="12"/>
    </row>
    <row r="17" spans="2:9" x14ac:dyDescent="0.4">
      <c r="B17" s="8"/>
      <c r="C17" s="14"/>
      <c r="D17" s="9"/>
      <c r="E17" s="9"/>
      <c r="F17" s="14"/>
      <c r="G17" s="9"/>
      <c r="H17" s="14"/>
      <c r="I17" s="12"/>
    </row>
    <row r="18" spans="2:9" x14ac:dyDescent="0.4">
      <c r="B18" s="8"/>
      <c r="C18" s="14"/>
      <c r="D18" s="9"/>
      <c r="E18" s="9"/>
      <c r="F18" s="14"/>
      <c r="G18" s="9"/>
      <c r="H18" s="14"/>
      <c r="I18" s="12"/>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24"/>
      <c r="C22" s="25"/>
      <c r="D22" s="26"/>
      <c r="E22" s="26"/>
      <c r="F22" s="28" t="s">
        <v>67</v>
      </c>
      <c r="G22" s="35">
        <f>SUM(G3:G21)</f>
        <v>30.300000000000004</v>
      </c>
      <c r="H22" s="36"/>
      <c r="I22" s="37"/>
    </row>
    <row r="23" spans="2:9" ht="14.25" thickBot="1" x14ac:dyDescent="0.45">
      <c r="B23" s="20"/>
      <c r="C23" s="21"/>
      <c r="D23" s="22"/>
      <c r="E23" s="22"/>
      <c r="F23" s="27" t="s">
        <v>68</v>
      </c>
      <c r="G23" s="32">
        <v>5</v>
      </c>
      <c r="H23" s="33"/>
      <c r="I23" s="34"/>
    </row>
    <row r="24" spans="2:9" ht="14.25" thickTop="1" x14ac:dyDescent="0.4"/>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E4:E6 E15:E23</xm:sqref>
        </x14:dataValidation>
        <x14:dataValidation type="list" allowBlank="1" showInputMessage="1" showErrorMessage="1" xr:uid="{00000000-0002-0000-0000-000002000000}">
          <x14:formula1>
            <xm:f>数据标签!$B$2:$H$2</xm:f>
          </x14:formula1>
          <xm:sqref>C4:C6 C10 C12:C23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2025-03-04T18:22:54Z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