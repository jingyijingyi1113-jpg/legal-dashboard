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657D119C-50D5-4EA9-AA42-15742E37CB84}"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<sst xmlns="http://schemas.openxmlformats.org/spreadsheetml/2006/main" count="213" uniqueCount="102">
  <si>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</si>
  <si>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</si>
  <si>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</si>
  <si>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</si>
  <si>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</si>
  <si>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</si>
  <si>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</si>
  <si>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</si>
  <si>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</si>
  <si>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</si>
  <si>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</si>
  <si>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</si>
  <si>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</si>
  <si>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</si>
  <si>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</si>
  <si>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</si>
  <si>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</si>
  <si>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</si>
  <si>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</si>
  <si>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</si>
  <si>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</si>
  <si>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</si>
  <si>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</si>
  <si>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</si>
  <si>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</si>
  <si>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</si>
  <si>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</si>
  <si>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</si>
  <si>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</si>
  <si>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</si>
  <si>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</si>
  <si>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</si>
  <si>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</si>
  <si>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</si>
  <si>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</si>
  <si>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</si>
  <si>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</si>
  <si>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</si>
  <si>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</si>
  <si>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</si>
  <si>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</si>
  <si>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</si>
  <si>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</si>
  <si>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</si>
  <si>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</si>
  <si>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</si>
  <si>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</si>
  <si>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</si>
  <si>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</si>
  <si>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</si>
  <si>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</si>
  <si>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</si>
  <si>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</si>
  <si>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</si>
  <si>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</si>
  <si>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</si>
  <si>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</si>
  <si>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</si>
  <si>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</si>
  <si>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</si>
  <si>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</si>
  <si>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</si>
  <si>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</si>
  <si>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</si>
  <si>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</si>
  <si>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</si>
  <si>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</si>
  <si>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</si>
  <si>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</si>
  <si>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</si>
  <si>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</si>
  <si>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</si>
  <si>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</si>
  <si>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</si>
  <si>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</si>
  <si>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</si>
  <si>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</si>
  <si>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</si>
  <si>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Classin</t>
    <phoneticPr fontId="7" type="noConversion"/>
  </si>
  <si>
    <t>TGIF掌梦</t>
    <phoneticPr fontId="7" type="noConversion"/>
  </si>
  <si>
    <t>灵游坊</t>
    <phoneticPr fontId="7" type="noConversion"/>
  </si>
  <si>
    <t>润梦</t>
    <phoneticPr fontId="7" type="noConversion"/>
  </si>
  <si>
    <t>Public - Knowledge Accumulation &amp; Sharing</t>
  </si>
  <si>
    <t>参加关于股票电子化和投票的培训</t>
    <phoneticPr fontId="7" type="noConversion"/>
  </si>
  <si>
    <t>收集Q2律师费情况</t>
    <phoneticPr fontId="7" type="noConversion"/>
  </si>
  <si>
    <t>慧算账</t>
    <phoneticPr fontId="7" type="noConversion"/>
  </si>
  <si>
    <t>和deal team沟通回购权效力问题</t>
    <phoneticPr fontId="7" type="noConversion"/>
  </si>
  <si>
    <t>跟进增资协议的签署，和公司沟通变更进度，发出签署指示</t>
    <phoneticPr fontId="7" type="noConversion"/>
  </si>
  <si>
    <t>TGIF共感</t>
    <phoneticPr fontId="7" type="noConversion"/>
  </si>
  <si>
    <t>和team沟通交割日，整理closing bidner</t>
    <phoneticPr fontId="7" type="noConversion"/>
  </si>
  <si>
    <t>准备KYC文件并发出</t>
    <phoneticPr fontId="7" type="noConversion"/>
  </si>
  <si>
    <t>魔方MCN</t>
    <phoneticPr fontId="7" type="noConversion"/>
  </si>
  <si>
    <t>确认CP满足，内部沟通交割日</t>
    <phoneticPr fontId="7" type="noConversion"/>
  </si>
  <si>
    <t>确认定稿版决议及ESOP plan，安排签署</t>
    <phoneticPr fontId="7" type="noConversion"/>
  </si>
  <si>
    <t>税务相关问题讨论，沟通交易文件定稿待定事项，沟通SPV分配问题</t>
    <phoneticPr fontId="7" type="noConversion"/>
  </si>
  <si>
    <t>水果堂</t>
    <phoneticPr fontId="7" type="noConversion"/>
  </si>
  <si>
    <t>内部讨论现有退出权利条款</t>
    <phoneticPr fontId="7" type="noConversion"/>
  </si>
  <si>
    <t>审阅转股协议其他工商文件，和团队讨论待确认事项和意见；反馈团队意见</t>
    <phoneticPr fontId="7" type="noConversion"/>
  </si>
  <si>
    <t>填写CFIUS项目统计表、time reports和deals update、排查Gruby项目红线事项</t>
    <phoneticPr fontId="7" type="noConversion"/>
  </si>
  <si>
    <t>深圳差旅，和公司董秘、监管沟通抵债方案的可行性</t>
    <phoneticPr fontId="7" type="noConversion"/>
  </si>
  <si>
    <t>和team讨论新方案，准备汇报邮件，更新分析和方案小结，和team、PA及外部律师预沟通监管口径，沟通后同步信息并安排后续说明内容</t>
    <phoneticPr fontId="7" type="noConversion"/>
  </si>
  <si>
    <t>和PA沟通监管侧进展，和SD沟通业务后续开展思路和对策，内部讨论各种方案（控股、参股、业务合作）的优劣性；和MA同步进展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</si>
</sst>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6" zoomScale="70" zoomScaleNormal="70" workbookViewId="0">
      <selection activeCell="G13" sqref="G13"/>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2.8</v>
      </c>
      <c r="H4" s="31" t="s">
        <v>36</v>
      </c>
      <c r="I4" s="30" t="s">
        <v>101</v>
      </c>
    </row>
    <row r="5" spans="2:9" ht="25.5" x14ac:dyDescent="0.4">
      <c r="B5" s="16" t="s">
        <v>72</v>
      </c>
      <c r="C5" s="14" t="s">
        <v>14</v>
      </c>
      <c r="D5" s="31" t="s">
        <v>76</v>
      </c>
      <c r="E5" s="9" t="s">
        <v>40</v>
      </c>
      <c r="F5" s="14" t="s">
        <v>73</v>
      </c>
      <c r="G5" s="29">
        <v>9.5</v>
      </c>
      <c r="H5" s="31" t="s">
        <v>32</v>
      </c>
      <c r="I5" s="30" t="s">
        <v>99</v>
      </c>
    </row>
    <row r="6" spans="2:9" ht="38.25" x14ac:dyDescent="0.4">
      <c r="B6" s="16" t="s">
        <v>72</v>
      </c>
      <c r="C6" s="14" t="s">
        <v>14</v>
      </c>
      <c r="D6" s="31" t="s">
        <v>76</v>
      </c>
      <c r="E6" s="9" t="s">
        <v>40</v>
      </c>
      <c r="F6" s="14" t="s">
        <v>73</v>
      </c>
      <c r="G6" s="29">
        <v>6.8</v>
      </c>
      <c r="H6" s="31" t="s">
        <v>20</v>
      </c>
      <c r="I6" s="30" t="s">
        <v>100</v>
      </c>
    </row>
    <row r="7" spans="2:9" ht="25.5" x14ac:dyDescent="0.4">
      <c r="B7" s="16" t="s">
        <v>72</v>
      </c>
      <c r="C7" s="14" t="s">
        <v>14</v>
      </c>
      <c r="D7" s="29" t="s">
        <v>77</v>
      </c>
      <c r="E7" s="29" t="s">
        <v>75</v>
      </c>
      <c r="F7" s="31" t="s">
        <v>73</v>
      </c>
      <c r="G7" s="29">
        <v>0.5</v>
      </c>
      <c r="H7" s="31" t="s">
        <v>20</v>
      </c>
      <c r="I7" s="30" t="s">
        <v>87</v>
      </c>
    </row>
    <row r="8" spans="2:9" ht="25.5" x14ac:dyDescent="0.4">
      <c r="B8" s="16" t="s">
        <v>72</v>
      </c>
      <c r="C8" s="14" t="s">
        <v>14</v>
      </c>
      <c r="D8" s="29" t="s">
        <v>78</v>
      </c>
      <c r="E8" s="29" t="s">
        <v>75</v>
      </c>
      <c r="F8" s="31" t="s">
        <v>73</v>
      </c>
      <c r="G8" s="29">
        <v>1.8</v>
      </c>
      <c r="H8" s="31" t="s">
        <v>20</v>
      </c>
      <c r="I8" s="30" t="s">
        <v>94</v>
      </c>
    </row>
    <row r="9" spans="2:9" ht="25.5" x14ac:dyDescent="0.4">
      <c r="B9" s="16" t="s">
        <v>72</v>
      </c>
      <c r="C9" s="14" t="s">
        <v>14</v>
      </c>
      <c r="D9" s="29" t="s">
        <v>81</v>
      </c>
      <c r="E9" s="29" t="s">
        <v>75</v>
      </c>
      <c r="F9" s="31" t="s">
        <v>73</v>
      </c>
      <c r="G9" s="29">
        <v>3.9</v>
      </c>
      <c r="H9" s="31" t="s">
        <v>20</v>
      </c>
      <c r="I9" s="30" t="s">
        <v>97</v>
      </c>
    </row>
    <row r="10" spans="2:9" ht="25.5" x14ac:dyDescent="0.4">
      <c r="B10" s="16" t="s">
        <v>72</v>
      </c>
      <c r="C10" s="14" t="s">
        <v>16</v>
      </c>
      <c r="D10" s="29" t="s">
        <v>79</v>
      </c>
      <c r="E10" s="29" t="s">
        <v>75</v>
      </c>
      <c r="F10" s="31" t="s">
        <v>73</v>
      </c>
      <c r="G10" s="29">
        <v>0.4</v>
      </c>
      <c r="H10" s="31" t="s">
        <v>36</v>
      </c>
      <c r="I10" s="30" t="s">
        <v>90</v>
      </c>
    </row>
    <row r="11" spans="2:9" ht="25.5" x14ac:dyDescent="0.4">
      <c r="B11" s="16" t="s">
        <v>72</v>
      </c>
      <c r="C11" s="14" t="s">
        <v>16</v>
      </c>
      <c r="D11" s="29" t="s">
        <v>80</v>
      </c>
      <c r="E11" s="29" t="s">
        <v>75</v>
      </c>
      <c r="F11" s="31" t="s">
        <v>73</v>
      </c>
      <c r="G11" s="29">
        <v>0.6</v>
      </c>
      <c r="H11" s="31" t="s">
        <v>20</v>
      </c>
      <c r="I11" s="30" t="s">
        <v>93</v>
      </c>
    </row>
    <row r="12" spans="2:9" ht="25.5" x14ac:dyDescent="0.4">
      <c r="B12" s="16" t="s">
        <v>72</v>
      </c>
      <c r="C12" s="14" t="s">
        <v>14</v>
      </c>
      <c r="D12" s="29" t="s">
        <v>88</v>
      </c>
      <c r="E12" s="29" t="s">
        <v>75</v>
      </c>
      <c r="F12" s="31" t="s">
        <v>73</v>
      </c>
      <c r="G12" s="29">
        <v>0.8</v>
      </c>
      <c r="H12" s="31" t="s">
        <v>20</v>
      </c>
      <c r="I12" s="30" t="s">
        <v>89</v>
      </c>
    </row>
    <row r="13" spans="2:9" ht="25.5" x14ac:dyDescent="0.4">
      <c r="B13" s="16" t="s">
        <v>72</v>
      </c>
      <c r="C13" s="14" t="s">
        <v>16</v>
      </c>
      <c r="D13" s="29" t="s">
        <v>85</v>
      </c>
      <c r="E13" s="29" t="s">
        <v>75</v>
      </c>
      <c r="F13" s="31" t="s">
        <v>73</v>
      </c>
      <c r="G13" s="29">
        <v>0.4</v>
      </c>
      <c r="H13" s="31" t="s">
        <v>36</v>
      </c>
      <c r="I13" s="30" t="s">
        <v>86</v>
      </c>
    </row>
    <row r="14" spans="2:9" ht="25.5" x14ac:dyDescent="0.4">
      <c r="B14" s="16" t="s">
        <v>72</v>
      </c>
      <c r="C14" s="14" t="s">
        <v>14</v>
      </c>
      <c r="D14" s="29" t="s">
        <v>91</v>
      </c>
      <c r="E14" s="29" t="s">
        <v>75</v>
      </c>
      <c r="F14" s="31" t="s">
        <v>73</v>
      </c>
      <c r="G14" s="29">
        <v>1</v>
      </c>
      <c r="H14" s="31" t="s">
        <v>20</v>
      </c>
      <c r="I14" s="30" t="s">
        <v>92</v>
      </c>
    </row>
    <row r="15" spans="2:9" ht="25.5" x14ac:dyDescent="0.4">
      <c r="B15" s="16" t="s">
        <v>72</v>
      </c>
      <c r="C15" s="14" t="s">
        <v>14</v>
      </c>
      <c r="D15" s="29" t="s">
        <v>95</v>
      </c>
      <c r="E15" s="29" t="s">
        <v>75</v>
      </c>
      <c r="F15" s="31" t="s">
        <v>73</v>
      </c>
      <c r="G15" s="29">
        <v>0.8</v>
      </c>
      <c r="H15" s="31" t="s">
        <v>36</v>
      </c>
      <c r="I15" s="30" t="s">
        <v>96</v>
      </c>
    </row>
    <row r="16" spans="2:9" ht="25.5" x14ac:dyDescent="0.4">
      <c r="B16" s="16" t="s">
        <v>72</v>
      </c>
      <c r="C16" s="14" t="s">
        <v>18</v>
      </c>
      <c r="D16" s="29"/>
      <c r="E16" s="29" t="s">
        <v>66</v>
      </c>
      <c r="F16" s="31"/>
      <c r="G16" s="29">
        <v>0.8</v>
      </c>
      <c r="H16" s="31" t="s">
        <v>38</v>
      </c>
      <c r="I16" s="30" t="s">
        <v>84</v>
      </c>
    </row>
    <row r="17" spans="2:9" ht="25.5" x14ac:dyDescent="0.4">
      <c r="B17" s="16" t="s">
        <v>72</v>
      </c>
      <c r="C17" s="14" t="s">
        <v>18</v>
      </c>
      <c r="D17" s="29"/>
      <c r="E17" s="29" t="s">
        <v>66</v>
      </c>
      <c r="F17" s="31"/>
      <c r="G17" s="29">
        <v>2.2000000000000002</v>
      </c>
      <c r="H17" s="31" t="s">
        <v>61</v>
      </c>
      <c r="I17" s="30" t="s">
        <v>98</v>
      </c>
    </row>
    <row r="18" spans="2:9" ht="25.5" x14ac:dyDescent="0.4">
      <c r="B18" s="16" t="s">
        <v>72</v>
      </c>
      <c r="C18" s="14" t="s">
        <v>82</v>
      </c>
      <c r="D18" s="29"/>
      <c r="E18" s="29" t="s">
        <v>66</v>
      </c>
      <c r="F18" s="31"/>
      <c r="G18" s="29">
        <v>1.5</v>
      </c>
      <c r="H18" s="31" t="s">
        <v>34</v>
      </c>
      <c r="I18" s="30" t="s">
        <v>83</v>
      </c>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33.800000000000004</v>
      </c>
      <c r="H24" s="36"/>
      <c r="I24" s="37"/>
    </row>
    <row r="25" spans="2:9" ht="14.25" thickBot="1" x14ac:dyDescent="0.45">
      <c r="B25" s="20"/>
      <c r="C25" s="21"/>
      <c r="D25" s="22"/>
      <c r="E25" s="22"/>
      <c r="F25" s="27" t="s">
        <v>68</v>
      </c>
      <c r="G25" s="32">
        <v>5</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16:F23 F4:F6" xr:uid="{B7A1F260-C374-4F12-B5D8-38763B9283E8}">
      <formula1>INDIRECT(E4)</formula1>
    </dataValidation>
    <dataValidation type="list" allowBlank="1" showInputMessage="1" showErrorMessage="1" sqref="F7:F15" xr:uid="{BB1B97F8-AC92-4AC2-ACAE-AB91E6B7812C}">
      <formula1>INDIRECT(#REF!)</formula1>
    </dataValidation>
    <dataValidation type="list" allowBlank="1" showInputMessage="1" showErrorMessage="1" sqref="H4:H23"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E19:E25 E4:E6</xm:sqref>
        </x14:dataValidation>
        <x14:dataValidation type="list" allowBlank="1" showInputMessage="1" showErrorMessage="1" xr:uid="{1BF3D93C-EBD2-4BC9-A981-9B9F7D94E14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2025-07-07T14:28:02Z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