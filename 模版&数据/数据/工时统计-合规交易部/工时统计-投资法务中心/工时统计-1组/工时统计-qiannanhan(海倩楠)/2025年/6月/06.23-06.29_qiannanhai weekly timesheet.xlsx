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B32BD7B9-789E-47F7-9ACA-9740A9EC9EFC}"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<sst xmlns="http://schemas.openxmlformats.org/spreadsheetml/2006/main" count="186" uniqueCount="95">
  <si>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</si>
  <si>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</si>
  <si>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</si>
  <si>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</si>
  <si>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</si>
  <si>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</si>
  <si>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</si>
  <si>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</si>
  <si>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</si>
  <si>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</si>
  <si>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</si>
  <si>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</si>
  <si>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</si>
  <si>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</si>
  <si>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</si>
  <si>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</si>
  <si>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</si>
  <si>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</si>
  <si>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</si>
  <si>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</si>
  <si>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</si>
  <si>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</si>
  <si>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</si>
  <si>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</si>
  <si>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</si>
  <si>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</si>
  <si>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</si>
  <si>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</si>
  <si>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</si>
  <si>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</si>
  <si>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</si>
  <si>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</si>
  <si>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</si>
  <si>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</si>
  <si>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</si>
  <si>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</si>
  <si>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</si>
  <si>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</si>
  <si>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</si>
  <si>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</si>
  <si>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</si>
  <si>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</si>
  <si>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</si>
  <si>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</si>
  <si>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</si>
  <si>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</si>
  <si>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</si>
  <si>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</si>
  <si>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</si>
  <si>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</si>
  <si>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</si>
  <si>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</si>
  <si>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</si>
  <si>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</si>
  <si>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</si>
  <si>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</si>
  <si>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</si>
  <si>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</si>
  <si>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</si>
  <si>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</si>
  <si>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</si>
  <si>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</si>
  <si>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</si>
  <si>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</si>
  <si>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</si>
  <si>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</si>
  <si>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</si>
  <si>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</si>
  <si>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</si>
  <si>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</si>
  <si>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</si>
  <si>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</si>
  <si>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</si>
  <si>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</si>
  <si>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</si>
  <si>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</si>
  <si>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</si>
  <si>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世纪华通</t>
    <phoneticPr fontId="7" type="noConversion"/>
  </si>
  <si>
    <t>曦智</t>
    <phoneticPr fontId="7" type="noConversion"/>
  </si>
  <si>
    <t>Classin</t>
    <phoneticPr fontId="7" type="noConversion"/>
  </si>
  <si>
    <t>Voxelcloud</t>
    <phoneticPr fontId="7" type="noConversion"/>
  </si>
  <si>
    <t>TGIF掌梦</t>
    <phoneticPr fontId="7" type="noConversion"/>
  </si>
  <si>
    <t>和MA、公司、董办沟通香港开户KYC文件的提供</t>
    <phoneticPr fontId="7" type="noConversion"/>
  </si>
  <si>
    <t>Frontier</t>
    <phoneticPr fontId="7" type="noConversion"/>
  </si>
  <si>
    <t>审阅share buyback相关决议文件</t>
    <phoneticPr fontId="7" type="noConversion"/>
  </si>
  <si>
    <t>和律师、SD、PA评估通过参股/通过关联方从事现有业务的方案，准备小结；和PA、律师沟通腾富主体汇报口径</t>
    <phoneticPr fontId="7" type="noConversion"/>
  </si>
  <si>
    <t>沟通香港董事变更方案及退出方向，加入律师，沟通回购背景并发出现有交易文件</t>
    <phoneticPr fontId="7" type="noConversion"/>
  </si>
  <si>
    <t>灵游坊</t>
    <phoneticPr fontId="7" type="noConversion"/>
  </si>
  <si>
    <t>审阅公司更新的决议及ESOP plan，与deal team及律师沟通待确认事项</t>
    <phoneticPr fontId="7" type="noConversion"/>
  </si>
  <si>
    <t>准备证券投顾项目费用申请，和内部、律师i沟通律师费</t>
    <phoneticPr fontId="7" type="noConversion"/>
  </si>
  <si>
    <t>内部讨论pending issues，根据team意见反馈公司；内部讨论提前退出方案与未能QIPO退出方案的优劣</t>
    <phoneticPr fontId="7" type="noConversion"/>
  </si>
  <si>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phoneticPr fontId="7" type="noConversion"/>
  </si>
  <si>
    <t>跟进增资协议的签署，和公司沟通变更进度</t>
    <phoneticPr fontId="7" type="noConversion"/>
  </si>
  <si>
    <t>润梦</t>
    <phoneticPr fontId="7" type="noConversion"/>
  </si>
  <si>
    <t>内部讨论退出方案及要求；加入律师并同步退出背景及协议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</si>
</sst>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70" zoomScaleNormal="70" workbookViewId="0">
      <selection activeCell="G10" sqref="G1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4.8</v>
      </c>
      <c r="H4" s="31" t="s">
        <v>36</v>
      </c>
      <c r="I4" s="30" t="s">
        <v>85</v>
      </c>
    </row>
    <row r="5" spans="2:9" ht="63.75" x14ac:dyDescent="0.4">
      <c r="B5" s="16" t="s">
        <v>72</v>
      </c>
      <c r="C5" s="14" t="s">
        <v>14</v>
      </c>
      <c r="D5" s="31" t="s">
        <v>77</v>
      </c>
      <c r="E5" s="9" t="s">
        <v>40</v>
      </c>
      <c r="F5" s="14" t="s">
        <v>73</v>
      </c>
      <c r="G5" s="29">
        <v>12.7</v>
      </c>
      <c r="H5" s="31" t="s">
        <v>20</v>
      </c>
      <c r="I5" s="30" t="s">
        <v>91</v>
      </c>
    </row>
    <row r="6" spans="2:9" ht="25.5" x14ac:dyDescent="0.4">
      <c r="B6" s="16" t="s">
        <v>72</v>
      </c>
      <c r="C6" s="14" t="s">
        <v>14</v>
      </c>
      <c r="D6" s="29" t="s">
        <v>78</v>
      </c>
      <c r="E6" s="29" t="s">
        <v>76</v>
      </c>
      <c r="F6" s="31" t="s">
        <v>73</v>
      </c>
      <c r="G6" s="29">
        <v>0.6</v>
      </c>
      <c r="H6" s="31" t="s">
        <v>20</v>
      </c>
      <c r="I6" s="30" t="s">
        <v>92</v>
      </c>
    </row>
    <row r="7" spans="2:9" ht="38.25" x14ac:dyDescent="0.4">
      <c r="B7" s="16" t="s">
        <v>72</v>
      </c>
      <c r="C7" s="14" t="s">
        <v>14</v>
      </c>
      <c r="D7" s="29" t="s">
        <v>79</v>
      </c>
      <c r="E7" s="29" t="s">
        <v>76</v>
      </c>
      <c r="F7" s="31" t="s">
        <v>73</v>
      </c>
      <c r="G7" s="29">
        <v>2.2999999999999998</v>
      </c>
      <c r="H7" s="31" t="s">
        <v>20</v>
      </c>
      <c r="I7" s="30" t="s">
        <v>90</v>
      </c>
    </row>
    <row r="8" spans="2:9" ht="25.5" x14ac:dyDescent="0.4">
      <c r="B8" s="16" t="s">
        <v>72</v>
      </c>
      <c r="C8" s="14" t="s">
        <v>14</v>
      </c>
      <c r="D8" s="29" t="s">
        <v>93</v>
      </c>
      <c r="E8" s="29" t="s">
        <v>76</v>
      </c>
      <c r="F8" s="31" t="s">
        <v>73</v>
      </c>
      <c r="G8" s="29">
        <v>1.7</v>
      </c>
      <c r="H8" s="31" t="s">
        <v>20</v>
      </c>
      <c r="I8" s="30" t="s">
        <v>94</v>
      </c>
    </row>
    <row r="9" spans="2:9" ht="25.5" x14ac:dyDescent="0.4">
      <c r="B9" s="16" t="s">
        <v>72</v>
      </c>
      <c r="C9" s="14" t="s">
        <v>14</v>
      </c>
      <c r="D9" s="29" t="s">
        <v>80</v>
      </c>
      <c r="E9" s="29" t="s">
        <v>76</v>
      </c>
      <c r="F9" s="31" t="s">
        <v>73</v>
      </c>
      <c r="G9" s="29">
        <v>2.8</v>
      </c>
      <c r="H9" s="31" t="s">
        <v>20</v>
      </c>
      <c r="I9" s="30" t="s">
        <v>86</v>
      </c>
    </row>
    <row r="10" spans="2:9" ht="25.5" x14ac:dyDescent="0.4">
      <c r="B10" s="16" t="s">
        <v>72</v>
      </c>
      <c r="C10" s="14" t="s">
        <v>16</v>
      </c>
      <c r="D10" s="29" t="s">
        <v>81</v>
      </c>
      <c r="E10" s="29" t="s">
        <v>76</v>
      </c>
      <c r="F10" s="31" t="s">
        <v>73</v>
      </c>
      <c r="G10" s="29">
        <v>0.3</v>
      </c>
      <c r="H10" s="31" t="s">
        <v>36</v>
      </c>
      <c r="I10" s="30" t="s">
        <v>82</v>
      </c>
    </row>
    <row r="11" spans="2:9" ht="25.5" x14ac:dyDescent="0.4">
      <c r="B11" s="16" t="s">
        <v>72</v>
      </c>
      <c r="C11" s="14" t="s">
        <v>16</v>
      </c>
      <c r="D11" s="29" t="s">
        <v>87</v>
      </c>
      <c r="E11" s="29" t="s">
        <v>76</v>
      </c>
      <c r="F11" s="31" t="s">
        <v>73</v>
      </c>
      <c r="G11" s="29">
        <v>1.8</v>
      </c>
      <c r="H11" s="31" t="s">
        <v>20</v>
      </c>
      <c r="I11" s="30" t="s">
        <v>88</v>
      </c>
    </row>
    <row r="12" spans="2:9" ht="25.5" x14ac:dyDescent="0.4">
      <c r="B12" s="16" t="s">
        <v>72</v>
      </c>
      <c r="C12" s="14" t="s">
        <v>16</v>
      </c>
      <c r="D12" s="29" t="s">
        <v>83</v>
      </c>
      <c r="E12" s="29" t="s">
        <v>76</v>
      </c>
      <c r="F12" s="31" t="s">
        <v>73</v>
      </c>
      <c r="G12" s="29">
        <v>1.2</v>
      </c>
      <c r="H12" s="31" t="s">
        <v>36</v>
      </c>
      <c r="I12" s="30" t="s">
        <v>84</v>
      </c>
    </row>
    <row r="13" spans="2:9" ht="25.5" x14ac:dyDescent="0.4">
      <c r="B13" s="16" t="s">
        <v>72</v>
      </c>
      <c r="C13" s="14" t="s">
        <v>18</v>
      </c>
      <c r="D13" s="29"/>
      <c r="E13" s="29" t="s">
        <v>66</v>
      </c>
      <c r="F13" s="31"/>
      <c r="G13" s="29">
        <v>1.4</v>
      </c>
      <c r="H13" s="31" t="s">
        <v>38</v>
      </c>
      <c r="I13" s="30" t="s">
        <v>89</v>
      </c>
    </row>
    <row r="14" spans="2:9" ht="25.5" x14ac:dyDescent="0.4">
      <c r="B14" s="16" t="s">
        <v>72</v>
      </c>
      <c r="C14" s="14" t="s">
        <v>18</v>
      </c>
      <c r="D14" s="29"/>
      <c r="E14" s="29" t="s">
        <v>66</v>
      </c>
      <c r="F14" s="31"/>
      <c r="G14" s="29">
        <v>1</v>
      </c>
      <c r="H14" s="31" t="s">
        <v>75</v>
      </c>
      <c r="I14" s="30"/>
    </row>
    <row r="15" spans="2:9" x14ac:dyDescent="0.4">
      <c r="B15" s="8"/>
      <c r="C15" s="14"/>
      <c r="D15" s="9"/>
      <c r="E15" s="9"/>
      <c r="F15" s="14"/>
      <c r="G15" s="9"/>
      <c r="H15" s="14"/>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24"/>
      <c r="C20" s="25"/>
      <c r="D20" s="26"/>
      <c r="E20" s="26"/>
      <c r="F20" s="28" t="s">
        <v>67</v>
      </c>
      <c r="G20" s="35">
        <f>SUM(G3:G19)</f>
        <v>30.6</v>
      </c>
      <c r="H20" s="36"/>
      <c r="I20" s="37"/>
    </row>
    <row r="21" spans="2:9" ht="14.25" thickBot="1" x14ac:dyDescent="0.45">
      <c r="B21" s="20"/>
      <c r="C21" s="21"/>
      <c r="D21" s="22"/>
      <c r="E21" s="22"/>
      <c r="F21" s="27" t="s">
        <v>68</v>
      </c>
      <c r="G21" s="32">
        <v>5</v>
      </c>
      <c r="H21" s="33"/>
      <c r="I21" s="34"/>
    </row>
    <row r="22" spans="2:9" ht="14.25" thickTop="1" x14ac:dyDescent="0.4"/>
  </sheetData>
  <mergeCells count="2">
    <mergeCell ref="G21:I21"/>
    <mergeCell ref="G20:I20"/>
  </mergeCells>
  <phoneticPr fontId="7" type="noConversion"/>
  <dataValidations count="3">
    <dataValidation type="list" allowBlank="1" showInputMessage="1" showErrorMessage="1" sqref="F13:F19 F4:F5" xr:uid="{B7A1F260-C374-4F12-B5D8-38763B9283E8}">
      <formula1>INDIRECT(E4)</formula1>
    </dataValidation>
    <dataValidation type="list" allowBlank="1" showInputMessage="1" showErrorMessage="1" sqref="F6:F12" xr:uid="{BB1B97F8-AC92-4AC2-ACAE-AB91E6B7812C}">
      <formula1>INDIRECT(#REF!)</formula1>
    </dataValidation>
    <dataValidation type="list" allowBlank="1" showInputMessage="1" showErrorMessage="1" sqref="H4:H19"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E15:E21 E4:E5</xm:sqref>
        </x14:dataValidation>
        <x14:dataValidation type="list" allowBlank="1" showInputMessage="1" showErrorMessage="1" xr:uid="{1BF3D93C-EBD2-4BC9-A981-9B9F7D94E14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2025-07-07T13:25:13Z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