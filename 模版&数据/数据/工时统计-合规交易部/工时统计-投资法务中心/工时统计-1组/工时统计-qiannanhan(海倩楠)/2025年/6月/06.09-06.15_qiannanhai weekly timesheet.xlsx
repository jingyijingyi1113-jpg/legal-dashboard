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05C5821D-7D03-40E4-8B3F-6942315D67F7}"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<sst xmlns="http://schemas.openxmlformats.org/spreadsheetml/2006/main" count="221" uniqueCount="105">
  <si>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</si>
  <si>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</si>
  <si>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</si>
  <si>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</si>
  <si>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</si>
  <si>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</si>
  <si>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</si>
  <si>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</si>
  <si>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</si>
  <si>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</si>
  <si>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</si>
  <si>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</si>
  <si>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</si>
  <si>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</si>
  <si>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</si>
  <si>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</si>
  <si>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</si>
  <si>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</si>
  <si>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</si>
  <si>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</si>
  <si>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</si>
  <si>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</si>
  <si>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</si>
  <si>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</si>
  <si>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</si>
  <si>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</si>
  <si>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</si>
  <si>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</si>
  <si>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</si>
  <si>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</si>
  <si>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</si>
  <si>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</si>
  <si>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</si>
  <si>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</si>
  <si>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</si>
  <si>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</si>
  <si>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</si>
  <si>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</si>
  <si>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</si>
  <si>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</si>
  <si>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</si>
  <si>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</si>
  <si>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</si>
  <si>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</si>
  <si>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</si>
  <si>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</si>
  <si>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</si>
  <si>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</si>
  <si>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</si>
  <si>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</si>
  <si>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</si>
  <si>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</si>
  <si>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</si>
  <si>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</si>
  <si>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</si>
  <si>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</si>
  <si>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</si>
  <si>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</si>
  <si>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</si>
  <si>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</si>
  <si>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</si>
  <si>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</si>
  <si>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</si>
  <si>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</si>
  <si>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</si>
  <si>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</si>
  <si>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</si>
  <si>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</si>
  <si>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</si>
  <si>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</si>
  <si>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</si>
  <si>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</si>
  <si>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</si>
  <si>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</si>
  <si>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证券投资咨询牌照收购</t>
    <phoneticPr fontId="7" type="noConversion"/>
  </si>
  <si>
    <t>Recording/reviewing deals updates/weekly time reports/other team summaries</t>
  </si>
  <si>
    <t>BSC</t>
    <phoneticPr fontId="7" type="noConversion"/>
  </si>
  <si>
    <t>Drafting/reviewing/negotiating legal documents</t>
    <phoneticPr fontId="7" type="noConversion"/>
  </si>
  <si>
    <t>世纪华通</t>
    <phoneticPr fontId="7" type="noConversion"/>
  </si>
  <si>
    <t>曦智</t>
    <phoneticPr fontId="7" type="noConversion"/>
  </si>
  <si>
    <t>临腾</t>
    <phoneticPr fontId="7" type="noConversion"/>
  </si>
  <si>
    <t>Stratifyd, Inc.</t>
    <phoneticPr fontId="7" type="noConversion"/>
  </si>
  <si>
    <t>更新关于THL实控人的相关说明，和PA、内部讨论说明内容并进一步修改</t>
    <phoneticPr fontId="7" type="noConversion"/>
  </si>
  <si>
    <t>审阅公司对deal team问题的回复</t>
    <phoneticPr fontId="7" type="noConversion"/>
  </si>
  <si>
    <t>Classin</t>
    <phoneticPr fontId="7" type="noConversion"/>
  </si>
  <si>
    <t>准备核证版KYC文件</t>
    <phoneticPr fontId="7" type="noConversion"/>
  </si>
  <si>
    <t>海云</t>
    <phoneticPr fontId="7" type="noConversion"/>
  </si>
  <si>
    <t>稿定</t>
    <phoneticPr fontId="7" type="noConversion"/>
  </si>
  <si>
    <t>审阅董事会和股东大会决议</t>
    <phoneticPr fontId="7" type="noConversion"/>
  </si>
  <si>
    <t>审阅及和财务沟通股改相关报告；和MA、公司沟通股改文件反馈</t>
    <phoneticPr fontId="7" type="noConversion"/>
  </si>
  <si>
    <t>和MA讨论公司失联情况及存续状态</t>
    <phoneticPr fontId="7" type="noConversion"/>
  </si>
  <si>
    <t>审阅董事会决议（包括预算、决算、股权转让、关联交易、章程修改等）及公司更新的版本；审阅股东大会决议；和财务沟通预算情况</t>
    <phoneticPr fontId="7" type="noConversion"/>
  </si>
  <si>
    <t>无端</t>
    <phoneticPr fontId="7" type="noConversion"/>
  </si>
  <si>
    <t>炎央文化</t>
    <phoneticPr fontId="7" type="noConversion"/>
  </si>
  <si>
    <t>审阅公司ESOP plan及模板授予协议、授予方案及相关决议，和MA讨论相关事项</t>
    <phoneticPr fontId="7" type="noConversion"/>
  </si>
  <si>
    <t>内部讨论历史ESOP相关承诺及文件存档</t>
    <phoneticPr fontId="7" type="noConversion"/>
  </si>
  <si>
    <t>申请大丰组织文件，准备大丰主体说明；沟通签字页及签署情况；准备证券投股外资持股情况说明及公募基金外资持股情况说明</t>
    <phoneticPr fontId="7" type="noConversion"/>
  </si>
  <si>
    <t>Public - Knowledge Accumulation &amp; Sharing</t>
  </si>
  <si>
    <t>和PA、SD、财务、业务沟通潜在可备选主体、其他非控股方案及相关法规要求；内部讨论700控制权</t>
    <phoneticPr fontId="7" type="noConversion"/>
  </si>
  <si>
    <t>TGIF暗星</t>
    <phoneticPr fontId="7" type="noConversion"/>
  </si>
  <si>
    <t>和财务沟通腾讯实缴情况</t>
    <phoneticPr fontId="7" type="noConversion"/>
  </si>
  <si>
    <t>Voxelcloud</t>
    <phoneticPr fontId="7" type="noConversion"/>
  </si>
  <si>
    <t>审阅公司董事更换决议以及要求的KYC材料，与MA沟通公司要求合理性</t>
    <phoneticPr fontId="7" type="noConversion"/>
  </si>
  <si>
    <t>和MA沟通最新债务处置方案，准备腾讯接股的相关分析，加入反垄断团队沟通方案并回复相关问题，梳理历史表决情况</t>
    <phoneticPr fontId="7" type="noConversion"/>
  </si>
  <si>
    <t>参加培训-香港上市规则《企业管制守则》和汉坤S交易</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</si>
</sst>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A3" zoomScale="70" zoomScaleNormal="70" workbookViewId="0">
      <selection activeCell="H15" sqref="H15"/>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38.25" x14ac:dyDescent="0.4">
      <c r="B4" s="16" t="s">
        <v>72</v>
      </c>
      <c r="C4" s="14" t="s">
        <v>14</v>
      </c>
      <c r="D4" s="31" t="s">
        <v>74</v>
      </c>
      <c r="E4" s="9" t="s">
        <v>40</v>
      </c>
      <c r="F4" s="14" t="s">
        <v>73</v>
      </c>
      <c r="G4" s="29">
        <v>3.8</v>
      </c>
      <c r="H4" s="31" t="s">
        <v>77</v>
      </c>
      <c r="I4" s="30" t="s">
        <v>96</v>
      </c>
    </row>
    <row r="5" spans="2:9" ht="25.5" x14ac:dyDescent="0.4">
      <c r="B5" s="16" t="s">
        <v>72</v>
      </c>
      <c r="C5" s="14" t="s">
        <v>14</v>
      </c>
      <c r="D5" s="31" t="s">
        <v>74</v>
      </c>
      <c r="E5" s="9" t="s">
        <v>40</v>
      </c>
      <c r="F5" s="14" t="s">
        <v>73</v>
      </c>
      <c r="G5" s="29">
        <v>2.7</v>
      </c>
      <c r="H5" s="31" t="s">
        <v>32</v>
      </c>
      <c r="I5" s="30" t="s">
        <v>82</v>
      </c>
    </row>
    <row r="6" spans="2:9" ht="38.25" x14ac:dyDescent="0.4">
      <c r="B6" s="16" t="s">
        <v>72</v>
      </c>
      <c r="C6" s="14" t="s">
        <v>14</v>
      </c>
      <c r="D6" s="31" t="s">
        <v>74</v>
      </c>
      <c r="E6" s="9" t="s">
        <v>40</v>
      </c>
      <c r="F6" s="14" t="s">
        <v>73</v>
      </c>
      <c r="G6" s="29">
        <v>4.2</v>
      </c>
      <c r="H6" s="31" t="s">
        <v>36</v>
      </c>
      <c r="I6" s="30" t="s">
        <v>98</v>
      </c>
    </row>
    <row r="7" spans="2:9" ht="25.5" x14ac:dyDescent="0.4">
      <c r="B7" s="16" t="s">
        <v>72</v>
      </c>
      <c r="C7" s="14" t="s">
        <v>16</v>
      </c>
      <c r="D7" s="31" t="s">
        <v>87</v>
      </c>
      <c r="E7" s="9" t="s">
        <v>40</v>
      </c>
      <c r="F7" s="14" t="s">
        <v>73</v>
      </c>
      <c r="G7" s="29">
        <v>2.2000000000000002</v>
      </c>
      <c r="H7" s="31" t="s">
        <v>20</v>
      </c>
      <c r="I7" s="30" t="s">
        <v>88</v>
      </c>
    </row>
    <row r="8" spans="2:9" ht="38.25" x14ac:dyDescent="0.4">
      <c r="B8" s="16" t="s">
        <v>72</v>
      </c>
      <c r="C8" s="14" t="s">
        <v>14</v>
      </c>
      <c r="D8" s="31" t="s">
        <v>78</v>
      </c>
      <c r="E8" s="9" t="s">
        <v>40</v>
      </c>
      <c r="F8" s="14" t="s">
        <v>73</v>
      </c>
      <c r="G8" s="29">
        <v>4.9000000000000004</v>
      </c>
      <c r="H8" s="31" t="s">
        <v>36</v>
      </c>
      <c r="I8" s="30" t="s">
        <v>103</v>
      </c>
    </row>
    <row r="9" spans="2:9" ht="25.5" x14ac:dyDescent="0.4">
      <c r="B9" s="16" t="s">
        <v>72</v>
      </c>
      <c r="C9" s="14" t="s">
        <v>14</v>
      </c>
      <c r="D9" s="29" t="s">
        <v>92</v>
      </c>
      <c r="E9" s="29" t="s">
        <v>76</v>
      </c>
      <c r="F9" s="31" t="s">
        <v>73</v>
      </c>
      <c r="G9" s="29">
        <v>0.6</v>
      </c>
      <c r="H9" s="31" t="s">
        <v>36</v>
      </c>
      <c r="I9" s="30" t="s">
        <v>95</v>
      </c>
    </row>
    <row r="10" spans="2:9" ht="25.5" x14ac:dyDescent="0.4">
      <c r="B10" s="16" t="s">
        <v>72</v>
      </c>
      <c r="C10" s="14" t="s">
        <v>14</v>
      </c>
      <c r="D10" s="29" t="s">
        <v>81</v>
      </c>
      <c r="E10" s="29" t="s">
        <v>76</v>
      </c>
      <c r="F10" s="31" t="s">
        <v>73</v>
      </c>
      <c r="G10" s="29">
        <v>0.8</v>
      </c>
      <c r="H10" s="31" t="s">
        <v>36</v>
      </c>
      <c r="I10" s="30" t="s">
        <v>90</v>
      </c>
    </row>
    <row r="11" spans="2:9" ht="25.5" x14ac:dyDescent="0.4">
      <c r="B11" s="16" t="s">
        <v>72</v>
      </c>
      <c r="C11" s="14" t="s">
        <v>14</v>
      </c>
      <c r="D11" s="29" t="s">
        <v>79</v>
      </c>
      <c r="E11" s="29" t="s">
        <v>76</v>
      </c>
      <c r="F11" s="31" t="s">
        <v>73</v>
      </c>
      <c r="G11" s="29">
        <v>1.9</v>
      </c>
      <c r="H11" s="31" t="s">
        <v>20</v>
      </c>
      <c r="I11" s="30" t="s">
        <v>89</v>
      </c>
    </row>
    <row r="12" spans="2:9" ht="38.25" x14ac:dyDescent="0.4">
      <c r="B12" s="16" t="s">
        <v>72</v>
      </c>
      <c r="C12" s="14" t="s">
        <v>16</v>
      </c>
      <c r="D12" s="29" t="s">
        <v>86</v>
      </c>
      <c r="E12" s="29" t="s">
        <v>76</v>
      </c>
      <c r="F12" s="31" t="s">
        <v>73</v>
      </c>
      <c r="G12" s="29">
        <v>3.6</v>
      </c>
      <c r="H12" s="31" t="s">
        <v>20</v>
      </c>
      <c r="I12" s="30" t="s">
        <v>91</v>
      </c>
    </row>
    <row r="13" spans="2:9" ht="25.5" x14ac:dyDescent="0.4">
      <c r="B13" s="16" t="s">
        <v>72</v>
      </c>
      <c r="C13" s="14" t="s">
        <v>14</v>
      </c>
      <c r="D13" s="29" t="s">
        <v>84</v>
      </c>
      <c r="E13" s="29" t="s">
        <v>76</v>
      </c>
      <c r="F13" s="31" t="s">
        <v>73</v>
      </c>
      <c r="G13" s="29">
        <v>0.8</v>
      </c>
      <c r="H13" s="31" t="s">
        <v>20</v>
      </c>
      <c r="I13" s="30" t="s">
        <v>85</v>
      </c>
    </row>
    <row r="14" spans="2:9" ht="25.5" x14ac:dyDescent="0.4">
      <c r="B14" s="16" t="s">
        <v>72</v>
      </c>
      <c r="C14" s="14" t="s">
        <v>16</v>
      </c>
      <c r="D14" s="29" t="s">
        <v>80</v>
      </c>
      <c r="E14" s="29" t="s">
        <v>76</v>
      </c>
      <c r="F14" s="31" t="s">
        <v>73</v>
      </c>
      <c r="G14" s="29">
        <v>0.4</v>
      </c>
      <c r="H14" s="31" t="s">
        <v>20</v>
      </c>
      <c r="I14" s="30" t="s">
        <v>83</v>
      </c>
    </row>
    <row r="15" spans="2:9" ht="25.5" x14ac:dyDescent="0.4">
      <c r="B15" s="16" t="s">
        <v>72</v>
      </c>
      <c r="C15" s="14" t="s">
        <v>16</v>
      </c>
      <c r="D15" s="29" t="s">
        <v>93</v>
      </c>
      <c r="E15" s="29" t="s">
        <v>76</v>
      </c>
      <c r="F15" s="31" t="s">
        <v>73</v>
      </c>
      <c r="G15" s="29">
        <v>3.6</v>
      </c>
      <c r="H15" s="31" t="s">
        <v>20</v>
      </c>
      <c r="I15" s="30" t="s">
        <v>94</v>
      </c>
    </row>
    <row r="16" spans="2:9" ht="25.5" x14ac:dyDescent="0.4">
      <c r="B16" s="16" t="s">
        <v>72</v>
      </c>
      <c r="C16" s="14" t="s">
        <v>16</v>
      </c>
      <c r="D16" s="29" t="s">
        <v>101</v>
      </c>
      <c r="E16" s="29" t="s">
        <v>76</v>
      </c>
      <c r="F16" s="31" t="s">
        <v>73</v>
      </c>
      <c r="G16" s="29">
        <v>1.5</v>
      </c>
      <c r="H16" s="31" t="s">
        <v>20</v>
      </c>
      <c r="I16" s="30" t="s">
        <v>102</v>
      </c>
    </row>
    <row r="17" spans="2:9" ht="25.5" x14ac:dyDescent="0.4">
      <c r="B17" s="16" t="s">
        <v>72</v>
      </c>
      <c r="C17" s="14" t="s">
        <v>14</v>
      </c>
      <c r="D17" s="29" t="s">
        <v>99</v>
      </c>
      <c r="E17" s="29" t="s">
        <v>66</v>
      </c>
      <c r="F17" s="31" t="s">
        <v>73</v>
      </c>
      <c r="G17" s="29">
        <v>0.4</v>
      </c>
      <c r="H17" s="31" t="s">
        <v>36</v>
      </c>
      <c r="I17" s="30" t="s">
        <v>100</v>
      </c>
    </row>
    <row r="18" spans="2:9" ht="25.5" x14ac:dyDescent="0.4">
      <c r="B18" s="16" t="s">
        <v>72</v>
      </c>
      <c r="C18" s="14" t="s">
        <v>97</v>
      </c>
      <c r="D18" s="29"/>
      <c r="E18" s="29" t="s">
        <v>66</v>
      </c>
      <c r="F18" s="31"/>
      <c r="G18" s="29">
        <v>3</v>
      </c>
      <c r="H18" s="31" t="s">
        <v>34</v>
      </c>
      <c r="I18" s="30" t="s">
        <v>104</v>
      </c>
    </row>
    <row r="19" spans="2:9" ht="25.5" x14ac:dyDescent="0.4">
      <c r="B19" s="16" t="s">
        <v>72</v>
      </c>
      <c r="C19" s="14" t="s">
        <v>18</v>
      </c>
      <c r="D19" s="29"/>
      <c r="E19" s="29" t="s">
        <v>66</v>
      </c>
      <c r="F19" s="31"/>
      <c r="G19" s="29">
        <v>1</v>
      </c>
      <c r="H19" s="31" t="s">
        <v>75</v>
      </c>
      <c r="I19" s="30"/>
    </row>
    <row r="20" spans="2:9" x14ac:dyDescent="0.4">
      <c r="B20" s="8"/>
      <c r="C20" s="14"/>
      <c r="D20" s="9"/>
      <c r="E20" s="9"/>
      <c r="F20" s="14"/>
      <c r="G20" s="9"/>
      <c r="H20" s="14"/>
      <c r="I20" s="12"/>
    </row>
    <row r="21" spans="2:9" x14ac:dyDescent="0.4">
      <c r="B21" s="8"/>
      <c r="C21" s="14"/>
      <c r="D21" s="9"/>
      <c r="E21" s="9"/>
      <c r="F21" s="14"/>
      <c r="G21" s="9"/>
      <c r="H21" s="14"/>
      <c r="I21" s="12"/>
    </row>
    <row r="22" spans="2:9" x14ac:dyDescent="0.4">
      <c r="B22" s="8"/>
      <c r="C22" s="14"/>
      <c r="D22" s="9"/>
      <c r="E22" s="9"/>
      <c r="F22" s="14"/>
      <c r="G22" s="9"/>
      <c r="H22" s="14"/>
      <c r="I22" s="12"/>
    </row>
    <row r="23" spans="2:9" x14ac:dyDescent="0.4">
      <c r="B23" s="8"/>
      <c r="C23" s="14"/>
      <c r="D23" s="9"/>
      <c r="E23" s="9"/>
      <c r="F23" s="14"/>
      <c r="G23" s="9"/>
      <c r="H23" s="14"/>
      <c r="I23" s="12"/>
    </row>
    <row r="24" spans="2:9" x14ac:dyDescent="0.4">
      <c r="B24" s="8"/>
      <c r="C24" s="14"/>
      <c r="D24" s="9"/>
      <c r="E24" s="9"/>
      <c r="F24" s="14"/>
      <c r="G24" s="9"/>
      <c r="H24" s="14"/>
      <c r="I24" s="12"/>
    </row>
    <row r="25" spans="2:9" x14ac:dyDescent="0.4">
      <c r="B25" s="24"/>
      <c r="C25" s="25"/>
      <c r="D25" s="26"/>
      <c r="E25" s="26"/>
      <c r="F25" s="28" t="s">
        <v>67</v>
      </c>
      <c r="G25" s="35">
        <f>SUM(G3:G24)</f>
        <v>35.4</v>
      </c>
      <c r="H25" s="36"/>
      <c r="I25" s="37"/>
    </row>
    <row r="26" spans="2:9" ht="14.25" thickBot="1" x14ac:dyDescent="0.45">
      <c r="B26" s="20"/>
      <c r="C26" s="21"/>
      <c r="D26" s="22"/>
      <c r="E26" s="22"/>
      <c r="F26" s="27" t="s">
        <v>68</v>
      </c>
      <c r="G26" s="32">
        <v>5</v>
      </c>
      <c r="H26" s="33"/>
      <c r="I26" s="34"/>
    </row>
    <row r="27" spans="2:9" ht="14.25" thickTop="1" x14ac:dyDescent="0.4"/>
  </sheetData>
  <mergeCells count="2">
    <mergeCell ref="G26:I26"/>
    <mergeCell ref="G25:I25"/>
  </mergeCells>
  <phoneticPr fontId="7" type="noConversion"/>
  <dataValidations count="3">
    <dataValidation type="list" allowBlank="1" showInputMessage="1" showErrorMessage="1" sqref="F4:F9 F18:F24" xr:uid="{B7A1F260-C374-4F12-B5D8-38763B9283E8}">
      <formula1>INDIRECT(E4)</formula1>
    </dataValidation>
    <dataValidation type="list" allowBlank="1" showInputMessage="1" showErrorMessage="1" sqref="F10:F17" xr:uid="{BB1B97F8-AC92-4AC2-ACAE-AB91E6B7812C}">
      <formula1>INDIRECT(#REF!)</formula1>
    </dataValidation>
    <dataValidation type="list" allowBlank="1" showInputMessage="1" showErrorMessage="1" sqref="H4:H24" xr:uid="{D380BDC5-3DF7-4E67-A00D-6A31B34EAA75}">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33C6DF-BC76-481B-AA4B-5776259D63F3}">
          <x14:formula1>
            <xm:f>数据标签!$B$11:$D$11</xm:f>
          </x14:formula1>
          <xm:sqref>E20:E26 E4:E8</xm:sqref>
        </x14:dataValidation>
        <x14:dataValidation type="list" allowBlank="1" showInputMessage="1" showErrorMessage="1" xr:uid="{1BF3D93C-EBD2-4BC9-A981-9B9F7D94E140}">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2025-07-07T13:23:32Z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