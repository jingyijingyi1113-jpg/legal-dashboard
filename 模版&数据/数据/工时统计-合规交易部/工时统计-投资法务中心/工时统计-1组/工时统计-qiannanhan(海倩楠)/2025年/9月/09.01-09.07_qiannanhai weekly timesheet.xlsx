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971AC602-A23B-4408-B999-E156691EF5C7}"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<sst xmlns="http://schemas.openxmlformats.org/spreadsheetml/2006/main" count="200" uniqueCount="98">
  <si>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</si>
  <si>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</si>
  <si>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</si>
  <si>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</si>
  <si>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</si>
  <si>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</si>
  <si>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</si>
  <si>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</si>
  <si>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</si>
  <si>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</si>
  <si>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</si>
  <si>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</si>
  <si>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</si>
  <si>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</si>
  <si>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</si>
  <si>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</si>
  <si>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</si>
  <si>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</si>
  <si>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</si>
  <si>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</si>
  <si>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</si>
  <si>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</si>
  <si>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</si>
  <si>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</si>
  <si>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</si>
  <si>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</si>
  <si>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</si>
  <si>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</si>
  <si>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</si>
  <si>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</si>
  <si>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</si>
  <si>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</si>
  <si>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</si>
  <si>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</si>
  <si>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</si>
  <si>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</si>
  <si>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</si>
  <si>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</si>
  <si>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</si>
  <si>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</si>
  <si>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</si>
  <si>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</si>
  <si>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</si>
  <si>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</si>
  <si>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</si>
  <si>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</si>
  <si>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</si>
  <si>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</si>
  <si>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</si>
  <si>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</si>
  <si>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</si>
  <si>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</si>
  <si>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</si>
  <si>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</si>
  <si>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</si>
  <si>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</si>
  <si>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</si>
  <si>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</si>
  <si>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</si>
  <si>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</si>
  <si>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</si>
  <si>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</si>
  <si>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</si>
  <si>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</si>
  <si>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</si>
  <si>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</si>
  <si>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</si>
  <si>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</si>
  <si>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</si>
  <si>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</si>
  <si>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</si>
  <si>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</si>
  <si>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</si>
  <si>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</si>
  <si>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</si>
  <si>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</si>
  <si>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</si>
  <si>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</si>
  <si>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润梦</t>
    <phoneticPr fontId="7" type="noConversion"/>
  </si>
  <si>
    <t>Bitpanda</t>
    <phoneticPr fontId="7" type="noConversion"/>
  </si>
  <si>
    <t>Navigator</t>
    <phoneticPr fontId="7" type="noConversion"/>
  </si>
  <si>
    <t>Drafting/reviewing/negotiating legal documents</t>
    <phoneticPr fontId="7" type="noConversion"/>
  </si>
  <si>
    <t>审阅修改果子股东合作相关的情况说明，内部及与PA、业务团队会议讨论国资合作潜在障碍及应对方案；沟通协议及准备FuSure作为主体的材料</t>
    <phoneticPr fontId="7" type="noConversion"/>
  </si>
  <si>
    <t>内部讨论转股涉及税负问题，以及潜在应对方案；内部沟通中证登可行性及风险；更新合伙份额转让协议并审阅现金还款协议，沟通质押问题；和公司董秘/律师开会讨论协议相关问题，审阅WJ发出的情况说明</t>
    <phoneticPr fontId="7" type="noConversion"/>
  </si>
  <si>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</si>
  <si>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</si>
  <si>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</si>
  <si>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审阅修改ICM，内部沟通及汇报</t>
    <phoneticPr fontId="7" type="noConversion"/>
  </si>
  <si>
    <t>讨论FDD提出的问题并回复，审阅及与律师、deal team沟通LDDR</t>
    <phoneticPr fontId="7" type="noConversion"/>
  </si>
  <si>
    <t>Classin</t>
    <phoneticPr fontId="7" type="noConversion"/>
  </si>
  <si>
    <t>定稿及签署回购文件</t>
    <phoneticPr fontId="7" type="noConversion"/>
  </si>
  <si>
    <t>星海互娱</t>
    <phoneticPr fontId="7" type="noConversion"/>
  </si>
  <si>
    <t>和MA沟通最新退出进度，同步转股文件及先前与公司沟通情况</t>
    <phoneticPr fontId="7" type="noConversion"/>
  </si>
  <si>
    <t>海云</t>
    <phoneticPr fontId="7" type="noConversion"/>
  </si>
  <si>
    <t xml:space="preserve">审阅董事会决议，沟通新增议案问题 </t>
  </si>
  <si>
    <t>沟通董事KYC材料</t>
  </si>
  <si>
    <t>Voxelcloud</t>
    <phoneticPr fontId="7" type="noConversion"/>
  </si>
  <si>
    <t>重点公司风险评审会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</si>
</sst>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8" zoomScale="70" zoomScaleNormal="70" workbookViewId="0">
      <selection activeCell="G17" sqref="G1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6.2</v>
      </c>
      <c r="H4" s="31" t="s">
        <v>20</v>
      </c>
      <c r="I4" s="30" t="s">
        <v>82</v>
      </c>
    </row>
    <row r="5" spans="2:9" ht="69" customHeight="1" x14ac:dyDescent="0.4">
      <c r="B5" s="16" t="s">
        <v>72</v>
      </c>
      <c r="C5" s="14" t="s">
        <v>14</v>
      </c>
      <c r="D5" s="31" t="s">
        <v>76</v>
      </c>
      <c r="E5" s="9" t="s">
        <v>40</v>
      </c>
      <c r="F5" s="14" t="s">
        <v>73</v>
      </c>
      <c r="G5" s="29">
        <v>9.3000000000000007</v>
      </c>
      <c r="H5" s="31" t="s">
        <v>20</v>
      </c>
      <c r="I5" s="30" t="s">
        <v>83</v>
      </c>
    </row>
    <row r="6" spans="2:9" ht="25.5" x14ac:dyDescent="0.4">
      <c r="B6" s="16" t="s">
        <v>72</v>
      </c>
      <c r="C6" s="14" t="s">
        <v>14</v>
      </c>
      <c r="D6" s="29" t="s">
        <v>77</v>
      </c>
      <c r="E6" s="29" t="s">
        <v>75</v>
      </c>
      <c r="F6" s="31" t="s">
        <v>73</v>
      </c>
      <c r="G6" s="29">
        <v>8.4</v>
      </c>
      <c r="H6" s="31" t="s">
        <v>81</v>
      </c>
      <c r="I6" s="30" t="s">
        <v>84</v>
      </c>
    </row>
    <row r="7" spans="2:9" ht="25.5" x14ac:dyDescent="0.4">
      <c r="B7" s="16" t="s">
        <v>72</v>
      </c>
      <c r="C7" s="14" t="s">
        <v>14</v>
      </c>
      <c r="D7" s="29" t="s">
        <v>78</v>
      </c>
      <c r="E7" s="29" t="s">
        <v>75</v>
      </c>
      <c r="F7" s="31" t="s">
        <v>73</v>
      </c>
      <c r="G7" s="29">
        <v>0.8</v>
      </c>
      <c r="H7" s="31" t="s">
        <v>20</v>
      </c>
      <c r="I7" s="30" t="s">
        <v>85</v>
      </c>
    </row>
    <row r="8" spans="2:9" ht="69.400000000000006" customHeight="1" x14ac:dyDescent="0.4">
      <c r="B8" s="16" t="s">
        <v>72</v>
      </c>
      <c r="C8" s="14" t="s">
        <v>14</v>
      </c>
      <c r="D8" s="29" t="s">
        <v>79</v>
      </c>
      <c r="E8" s="29" t="s">
        <v>75</v>
      </c>
      <c r="F8" s="31" t="s">
        <v>73</v>
      </c>
      <c r="G8" s="29">
        <v>9.6</v>
      </c>
      <c r="H8" s="31" t="s">
        <v>20</v>
      </c>
      <c r="I8" s="30" t="s">
        <v>86</v>
      </c>
    </row>
    <row r="9" spans="2:9" ht="25.5" x14ac:dyDescent="0.4">
      <c r="B9" s="16" t="s">
        <v>72</v>
      </c>
      <c r="C9" s="14" t="s">
        <v>14</v>
      </c>
      <c r="D9" s="29" t="s">
        <v>79</v>
      </c>
      <c r="E9" s="29" t="s">
        <v>75</v>
      </c>
      <c r="F9" s="31" t="s">
        <v>73</v>
      </c>
      <c r="G9" s="29">
        <v>6.6</v>
      </c>
      <c r="H9" s="31" t="s">
        <v>25</v>
      </c>
      <c r="I9" s="30" t="s">
        <v>88</v>
      </c>
    </row>
    <row r="10" spans="2:9" ht="25.5" x14ac:dyDescent="0.4">
      <c r="B10" s="16" t="s">
        <v>72</v>
      </c>
      <c r="C10" s="31" t="s">
        <v>14</v>
      </c>
      <c r="D10" s="29" t="s">
        <v>80</v>
      </c>
      <c r="E10" s="29" t="s">
        <v>75</v>
      </c>
      <c r="F10" s="31" t="s">
        <v>73</v>
      </c>
      <c r="G10" s="32">
        <v>5.5</v>
      </c>
      <c r="H10" s="31" t="s">
        <v>81</v>
      </c>
      <c r="I10" s="30" t="s">
        <v>87</v>
      </c>
    </row>
    <row r="11" spans="2:9" ht="25.5" x14ac:dyDescent="0.4">
      <c r="B11" s="16" t="s">
        <v>72</v>
      </c>
      <c r="C11" s="31" t="s">
        <v>14</v>
      </c>
      <c r="D11" s="29" t="s">
        <v>89</v>
      </c>
      <c r="E11" s="29" t="s">
        <v>75</v>
      </c>
      <c r="F11" s="31" t="s">
        <v>73</v>
      </c>
      <c r="G11" s="29">
        <v>1.2</v>
      </c>
      <c r="H11" s="31" t="s">
        <v>20</v>
      </c>
      <c r="I11" s="30" t="s">
        <v>90</v>
      </c>
    </row>
    <row r="12" spans="2:9" ht="25.5" x14ac:dyDescent="0.4">
      <c r="B12" s="16" t="s">
        <v>72</v>
      </c>
      <c r="C12" s="31" t="s">
        <v>14</v>
      </c>
      <c r="D12" s="29" t="s">
        <v>91</v>
      </c>
      <c r="E12" s="29" t="s">
        <v>75</v>
      </c>
      <c r="F12" s="31" t="s">
        <v>73</v>
      </c>
      <c r="G12" s="29">
        <v>0.6</v>
      </c>
      <c r="H12" s="31" t="s">
        <v>36</v>
      </c>
      <c r="I12" s="30" t="s">
        <v>92</v>
      </c>
    </row>
    <row r="13" spans="2:9" ht="25.5" x14ac:dyDescent="0.4">
      <c r="B13" s="16" t="s">
        <v>72</v>
      </c>
      <c r="C13" s="31" t="s">
        <v>14</v>
      </c>
      <c r="D13" s="29" t="s">
        <v>93</v>
      </c>
      <c r="E13" s="29" t="s">
        <v>75</v>
      </c>
      <c r="F13" s="31" t="s">
        <v>73</v>
      </c>
      <c r="G13" s="29">
        <v>1</v>
      </c>
      <c r="H13" s="31" t="s">
        <v>20</v>
      </c>
      <c r="I13" s="30" t="s">
        <v>94</v>
      </c>
    </row>
    <row r="14" spans="2:9" ht="25.5" x14ac:dyDescent="0.4">
      <c r="B14" s="16" t="s">
        <v>72</v>
      </c>
      <c r="C14" s="31" t="s">
        <v>14</v>
      </c>
      <c r="D14" s="29" t="s">
        <v>96</v>
      </c>
      <c r="E14" s="29" t="s">
        <v>75</v>
      </c>
      <c r="F14" s="31" t="s">
        <v>73</v>
      </c>
      <c r="G14" s="29">
        <v>0.4</v>
      </c>
      <c r="H14" s="31" t="s">
        <v>20</v>
      </c>
      <c r="I14" s="30" t="s">
        <v>95</v>
      </c>
    </row>
    <row r="15" spans="2:9" ht="25.5" x14ac:dyDescent="0.4">
      <c r="B15" s="16" t="s">
        <v>72</v>
      </c>
      <c r="C15" s="14" t="s">
        <v>18</v>
      </c>
      <c r="D15" s="29"/>
      <c r="E15" s="29" t="s">
        <v>66</v>
      </c>
      <c r="F15" s="31"/>
      <c r="G15" s="29">
        <v>1</v>
      </c>
      <c r="H15" s="31" t="s">
        <v>61</v>
      </c>
      <c r="I15" s="30"/>
    </row>
    <row r="16" spans="2:9" x14ac:dyDescent="0.4">
      <c r="B16" s="16" t="s">
        <v>72</v>
      </c>
      <c r="C16" s="14" t="s">
        <v>18</v>
      </c>
      <c r="D16" s="29"/>
      <c r="E16" s="29" t="s">
        <v>66</v>
      </c>
      <c r="F16" s="31"/>
      <c r="G16" s="29">
        <v>2</v>
      </c>
      <c r="H16" s="31" t="s">
        <v>24</v>
      </c>
      <c r="I16" s="30" t="s">
        <v>97</v>
      </c>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24"/>
      <c r="C21" s="25"/>
      <c r="D21" s="26"/>
      <c r="E21" s="26"/>
      <c r="F21" s="28" t="s">
        <v>67</v>
      </c>
      <c r="G21" s="36">
        <f>SUM(G3:G20)</f>
        <v>52.6</v>
      </c>
      <c r="H21" s="37"/>
      <c r="I21" s="38"/>
    </row>
    <row r="22" spans="2:9" ht="14.25" thickBot="1" x14ac:dyDescent="0.45">
      <c r="B22" s="20"/>
      <c r="C22" s="21"/>
      <c r="D22" s="22"/>
      <c r="E22" s="22"/>
      <c r="F22" s="27" t="s">
        <v>68</v>
      </c>
      <c r="G22" s="33">
        <v>5</v>
      </c>
      <c r="H22" s="34"/>
      <c r="I22" s="35"/>
    </row>
    <row r="23" spans="2:9" ht="14.25" thickTop="1" x14ac:dyDescent="0.4"/>
  </sheetData>
  <mergeCells count="2">
    <mergeCell ref="G22:I22"/>
    <mergeCell ref="G21:I21"/>
  </mergeCells>
  <phoneticPr fontId="7" type="noConversion"/>
  <dataValidations count="3">
    <dataValidation type="list" allowBlank="1" showInputMessage="1" showErrorMessage="1" sqref="F4:F5 F15:F20" xr:uid="{4D312F40-A074-4ABF-976C-C19F9AA3ED7C}">
      <formula1>INDIRECT(E4)</formula1>
    </dataValidation>
    <dataValidation type="list" allowBlank="1" showInputMessage="1" showErrorMessage="1" sqref="F6:F14" xr:uid="{7941E90A-E456-43ED-BB76-0DBB309CC050}">
      <formula1>INDIRECT(#REF!)</formula1>
    </dataValidation>
    <dataValidation type="list" allowBlank="1" showInputMessage="1" showErrorMessage="1" sqref="H4:H20"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E4:E5 E17:E22</xm:sqref>
        </x14:dataValidation>
        <x14:dataValidation type="list" allowBlank="1" showInputMessage="1" showErrorMessage="1" xr:uid="{B2D1C4B7-2204-4546-A576-47074F2DD7B2}">
          <x14:formula1>
            <xm:f>数据标签!$B$2:$H$2</xm:f>
          </x14:formula1>
          <xm:sqref>C4:C9 C15:C22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2025-10-09T05:47:15Z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