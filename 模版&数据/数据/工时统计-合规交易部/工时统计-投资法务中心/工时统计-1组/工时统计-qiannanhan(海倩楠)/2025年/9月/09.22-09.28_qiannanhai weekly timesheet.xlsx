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8AFFE3C9-E850-4C70-9535-BAFBF99DF19B}" xr6:coauthVersionLast="47" xr6:coauthVersionMax="47" xr10:uidLastSave="{00000000-0000-0000-0000-000000000000}"/>
  <bookViews>
    <workbookView xWindow="-98" yWindow="-98" windowWidth="19396" windowHeight="1039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<sst xmlns="http://schemas.openxmlformats.org/spreadsheetml/2006/main" count="192" uniqueCount="95">
  <si>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</si>
  <si>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</si>
  <si>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</si>
  <si>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</si>
  <si>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</si>
  <si>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</si>
  <si>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</si>
  <si>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</si>
  <si>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</si>
  <si>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</si>
  <si>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</si>
  <si>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</si>
  <si>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</si>
  <si>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</si>
  <si>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</si>
  <si>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</si>
  <si>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</si>
  <si>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</si>
  <si>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</si>
  <si>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</si>
  <si>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</si>
  <si>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</si>
  <si>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</si>
  <si>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</si>
  <si>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</si>
  <si>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</si>
  <si>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</si>
  <si>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</si>
  <si>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</si>
  <si>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</si>
  <si>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</si>
  <si>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</si>
  <si>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</si>
  <si>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</si>
  <si>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</si>
  <si>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</si>
  <si>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</si>
  <si>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</si>
  <si>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</si>
  <si>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</si>
  <si>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</si>
  <si>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</si>
  <si>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</si>
  <si>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</si>
  <si>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</si>
  <si>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</si>
  <si>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</si>
  <si>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</si>
  <si>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</si>
  <si>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</si>
  <si>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</si>
  <si>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</si>
  <si>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</si>
  <si>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</si>
  <si>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</si>
  <si>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</si>
  <si>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</si>
  <si>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</si>
  <si>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</si>
  <si>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</si>
  <si>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</si>
  <si>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</si>
  <si>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</si>
  <si>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</si>
  <si>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</si>
  <si>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</si>
  <si>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</si>
  <si>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</si>
  <si>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</si>
  <si>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</si>
  <si>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</si>
  <si>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</si>
  <si>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</si>
  <si>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投资项目全流程法务支持 Full-process legal support for investments</t>
  </si>
  <si>
    <t>证券投资咨询牌照收购</t>
    <phoneticPr fontId="7" type="noConversion"/>
  </si>
  <si>
    <t>BSC</t>
    <phoneticPr fontId="7" type="noConversion"/>
  </si>
  <si>
    <t>世纪华通</t>
    <phoneticPr fontId="7" type="noConversion"/>
  </si>
  <si>
    <t>曦智</t>
    <phoneticPr fontId="7" type="noConversion"/>
  </si>
  <si>
    <t>Bitpanda</t>
    <phoneticPr fontId="7" type="noConversion"/>
  </si>
  <si>
    <t>Drafting/reviewing/negotiating legal documents</t>
    <phoneticPr fontId="7" type="noConversion"/>
  </si>
  <si>
    <t>小药药</t>
    <phoneticPr fontId="7" type="noConversion"/>
  </si>
  <si>
    <t>海云</t>
    <phoneticPr fontId="7" type="noConversion"/>
  </si>
  <si>
    <t>上游动漫</t>
    <phoneticPr fontId="7" type="noConversion"/>
  </si>
  <si>
    <t>宝可拉</t>
    <phoneticPr fontId="7" type="noConversion"/>
  </si>
  <si>
    <t xml:space="preserve"> 审阅及修改诉讼团队准备的第二次律师函，诉讼讨论（包括诉讼进度及流程、公告及潜在争议等），审阅CM准备的诉讼材料及诉讼团队准备的诉讼材料</t>
  </si>
  <si>
    <t>安排董事会/股东会决议补签</t>
    <phoneticPr fontId="7" type="noConversion"/>
  </si>
  <si>
    <t>和公司讨论股东调查表/招股书说明剩余问题，并确认定稿，回复中介关于历史协议相关问题</t>
  </si>
  <si>
    <t xml:space="preserve">审阅反馈各卖方更新的SPA，和deal team沟通pending issues并反馈，和deal team/公司沟通剩余问题并确认定稿，协调签字页、KYC文件  、签约及交割流程 </t>
  </si>
  <si>
    <t>审阅及与deal team讨论公司对分拆转股相关问题的回复</t>
    <phoneticPr fontId="7" type="noConversion"/>
  </si>
  <si>
    <t>审阅转股决议，修改承诺函</t>
  </si>
  <si>
    <t>番糖</t>
    <phoneticPr fontId="7" type="noConversion"/>
  </si>
  <si>
    <t>审阅借款及担保决议，和MA沟通现有章程对应条款</t>
  </si>
  <si>
    <t xml:space="preserve">审阅调查协议及方案书，内部讨论   </t>
  </si>
  <si>
    <t>根据team反馈进一步修改TS并准备反馈给公司/新投资人版本</t>
    <phoneticPr fontId="7" type="noConversion"/>
  </si>
  <si>
    <t>电话讨论政府沟通反馈及诉求，与律师讨论，审阅更新后的实控人说明，与PA/业务、内部法务讨论说明递交对象和必要性，审阅PA准备的证监会沟通参阅材料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</si>
</sst>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8" zoomScale="70" zoomScaleNormal="70" workbookViewId="0">
      <selection activeCell="H15" sqref="H15"/>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58.15" customHeight="1" x14ac:dyDescent="0.4">
      <c r="B4" s="16" t="s">
        <v>72</v>
      </c>
      <c r="C4" s="14" t="s">
        <v>14</v>
      </c>
      <c r="D4" s="31" t="s">
        <v>74</v>
      </c>
      <c r="E4" s="9" t="s">
        <v>40</v>
      </c>
      <c r="F4" s="14" t="s">
        <v>73</v>
      </c>
      <c r="G4" s="29">
        <v>7</v>
      </c>
      <c r="H4" s="31" t="s">
        <v>20</v>
      </c>
      <c r="I4" s="30" t="s">
        <v>94</v>
      </c>
    </row>
    <row r="5" spans="2:9" ht="58.9" customHeight="1" x14ac:dyDescent="0.4">
      <c r="B5" s="16" t="s">
        <v>72</v>
      </c>
      <c r="C5" s="14" t="s">
        <v>14</v>
      </c>
      <c r="D5" s="31" t="s">
        <v>76</v>
      </c>
      <c r="E5" s="9" t="s">
        <v>40</v>
      </c>
      <c r="F5" s="14" t="s">
        <v>73</v>
      </c>
      <c r="G5" s="29">
        <v>7.3</v>
      </c>
      <c r="H5" s="31" t="s">
        <v>20</v>
      </c>
      <c r="I5" s="30" t="s">
        <v>84</v>
      </c>
    </row>
    <row r="6" spans="2:9" ht="35.65" customHeight="1" x14ac:dyDescent="0.4">
      <c r="B6" s="16" t="s">
        <v>72</v>
      </c>
      <c r="C6" s="14" t="s">
        <v>14</v>
      </c>
      <c r="D6" s="31" t="s">
        <v>76</v>
      </c>
      <c r="E6" s="9" t="s">
        <v>40</v>
      </c>
      <c r="F6" s="14" t="s">
        <v>73</v>
      </c>
      <c r="G6" s="29">
        <v>0.4</v>
      </c>
      <c r="H6" s="31" t="s">
        <v>36</v>
      </c>
      <c r="I6" s="30" t="s">
        <v>85</v>
      </c>
    </row>
    <row r="7" spans="2:9" ht="25.5" x14ac:dyDescent="0.4">
      <c r="B7" s="16" t="s">
        <v>72</v>
      </c>
      <c r="C7" s="14" t="s">
        <v>14</v>
      </c>
      <c r="D7" s="29" t="s">
        <v>77</v>
      </c>
      <c r="E7" s="29" t="s">
        <v>75</v>
      </c>
      <c r="F7" s="31" t="s">
        <v>73</v>
      </c>
      <c r="G7" s="29">
        <v>5.2</v>
      </c>
      <c r="H7" s="31" t="s">
        <v>79</v>
      </c>
      <c r="I7" s="30" t="s">
        <v>86</v>
      </c>
    </row>
    <row r="8" spans="2:9" ht="58.15" customHeight="1" x14ac:dyDescent="0.4">
      <c r="B8" s="16" t="s">
        <v>72</v>
      </c>
      <c r="C8" s="14" t="s">
        <v>14</v>
      </c>
      <c r="D8" s="29" t="s">
        <v>78</v>
      </c>
      <c r="E8" s="29" t="s">
        <v>75</v>
      </c>
      <c r="F8" s="31" t="s">
        <v>73</v>
      </c>
      <c r="G8" s="29">
        <v>9.6999999999999993</v>
      </c>
      <c r="H8" s="31" t="s">
        <v>20</v>
      </c>
      <c r="I8" s="30" t="s">
        <v>87</v>
      </c>
    </row>
    <row r="9" spans="2:9" ht="25.5" x14ac:dyDescent="0.4">
      <c r="B9" s="16" t="s">
        <v>72</v>
      </c>
      <c r="C9" s="31" t="s">
        <v>14</v>
      </c>
      <c r="D9" s="29" t="s">
        <v>82</v>
      </c>
      <c r="E9" s="29" t="s">
        <v>75</v>
      </c>
      <c r="F9" s="31" t="s">
        <v>73</v>
      </c>
      <c r="G9" s="29">
        <v>1.8</v>
      </c>
      <c r="H9" s="31" t="s">
        <v>20</v>
      </c>
      <c r="I9" s="30" t="s">
        <v>89</v>
      </c>
    </row>
    <row r="10" spans="2:9" ht="25.5" x14ac:dyDescent="0.4">
      <c r="B10" s="16" t="s">
        <v>72</v>
      </c>
      <c r="C10" s="31" t="s">
        <v>14</v>
      </c>
      <c r="D10" s="29" t="s">
        <v>83</v>
      </c>
      <c r="E10" s="29" t="s">
        <v>75</v>
      </c>
      <c r="F10" s="31" t="s">
        <v>73</v>
      </c>
      <c r="G10" s="29">
        <v>4.2</v>
      </c>
      <c r="H10" s="31" t="s">
        <v>20</v>
      </c>
      <c r="I10" s="30" t="s">
        <v>93</v>
      </c>
    </row>
    <row r="11" spans="2:9" ht="25.5" x14ac:dyDescent="0.4">
      <c r="B11" s="16" t="s">
        <v>72</v>
      </c>
      <c r="C11" s="31" t="s">
        <v>14</v>
      </c>
      <c r="D11" s="29" t="s">
        <v>81</v>
      </c>
      <c r="E11" s="29" t="s">
        <v>75</v>
      </c>
      <c r="F11" s="31" t="s">
        <v>73</v>
      </c>
      <c r="G11" s="29">
        <v>3.7</v>
      </c>
      <c r="H11" s="31" t="s">
        <v>20</v>
      </c>
      <c r="I11" s="30" t="s">
        <v>88</v>
      </c>
    </row>
    <row r="12" spans="2:9" ht="25.5" x14ac:dyDescent="0.4">
      <c r="B12" s="16" t="s">
        <v>72</v>
      </c>
      <c r="C12" s="31" t="s">
        <v>14</v>
      </c>
      <c r="D12" s="29" t="s">
        <v>90</v>
      </c>
      <c r="E12" s="29" t="s">
        <v>75</v>
      </c>
      <c r="F12" s="31" t="s">
        <v>73</v>
      </c>
      <c r="G12" s="29">
        <v>1.9</v>
      </c>
      <c r="H12" s="31" t="s">
        <v>20</v>
      </c>
      <c r="I12" s="30" t="s">
        <v>91</v>
      </c>
    </row>
    <row r="13" spans="2:9" ht="25.5" x14ac:dyDescent="0.4">
      <c r="B13" s="16" t="s">
        <v>72</v>
      </c>
      <c r="C13" s="31" t="s">
        <v>14</v>
      </c>
      <c r="D13" s="29" t="s">
        <v>80</v>
      </c>
      <c r="E13" s="29" t="s">
        <v>75</v>
      </c>
      <c r="F13" s="31" t="s">
        <v>73</v>
      </c>
      <c r="G13" s="29">
        <v>1.7</v>
      </c>
      <c r="H13" s="31" t="s">
        <v>20</v>
      </c>
      <c r="I13" s="30" t="s">
        <v>92</v>
      </c>
    </row>
    <row r="14" spans="2:9" ht="25.5" x14ac:dyDescent="0.4">
      <c r="B14" s="16" t="s">
        <v>72</v>
      </c>
      <c r="C14" s="14" t="s">
        <v>18</v>
      </c>
      <c r="D14" s="29"/>
      <c r="E14" s="29" t="s">
        <v>66</v>
      </c>
      <c r="F14" s="31"/>
      <c r="G14" s="29">
        <v>1</v>
      </c>
      <c r="H14" s="31" t="s">
        <v>61</v>
      </c>
      <c r="I14" s="30"/>
    </row>
    <row r="15" spans="2:9" x14ac:dyDescent="0.4">
      <c r="B15" s="16" t="s">
        <v>72</v>
      </c>
      <c r="C15" s="14" t="s">
        <v>18</v>
      </c>
      <c r="D15" s="29"/>
      <c r="E15" s="29" t="s">
        <v>66</v>
      </c>
      <c r="F15" s="31"/>
      <c r="G15" s="29">
        <v>1.5</v>
      </c>
      <c r="H15" s="31" t="s">
        <v>24</v>
      </c>
      <c r="I15" s="30"/>
    </row>
    <row r="16" spans="2:9" x14ac:dyDescent="0.4">
      <c r="B16" s="8"/>
      <c r="C16" s="14"/>
      <c r="D16" s="9"/>
      <c r="E16" s="9"/>
      <c r="F16" s="14"/>
      <c r="G16" s="9"/>
      <c r="H16" s="14"/>
      <c r="I16" s="12"/>
    </row>
    <row r="17" spans="2:9" x14ac:dyDescent="0.4">
      <c r="B17" s="8"/>
      <c r="C17" s="14"/>
      <c r="D17" s="9"/>
      <c r="E17" s="9"/>
      <c r="F17" s="14"/>
      <c r="G17" s="9"/>
      <c r="H17" s="14"/>
      <c r="I17" s="12"/>
    </row>
    <row r="18" spans="2:9" x14ac:dyDescent="0.4">
      <c r="B18" s="8"/>
      <c r="C18" s="14"/>
      <c r="D18" s="9"/>
      <c r="E18" s="9"/>
      <c r="F18" s="14"/>
      <c r="G18" s="9"/>
      <c r="H18" s="14"/>
      <c r="I18" s="12"/>
    </row>
    <row r="19" spans="2:9" x14ac:dyDescent="0.4">
      <c r="B19" s="8"/>
      <c r="C19" s="14"/>
      <c r="D19" s="9"/>
      <c r="E19" s="9"/>
      <c r="F19" s="14"/>
      <c r="G19" s="9"/>
      <c r="H19" s="14"/>
      <c r="I19" s="12"/>
    </row>
    <row r="20" spans="2:9" x14ac:dyDescent="0.4">
      <c r="B20" s="24"/>
      <c r="C20" s="25"/>
      <c r="D20" s="26"/>
      <c r="E20" s="26"/>
      <c r="F20" s="28" t="s">
        <v>67</v>
      </c>
      <c r="G20" s="35">
        <f>SUM(G3:G19)</f>
        <v>45.400000000000006</v>
      </c>
      <c r="H20" s="36"/>
      <c r="I20" s="37"/>
    </row>
    <row r="21" spans="2:9" ht="14.25" thickBot="1" x14ac:dyDescent="0.45">
      <c r="B21" s="20"/>
      <c r="C21" s="21"/>
      <c r="D21" s="22"/>
      <c r="E21" s="22"/>
      <c r="F21" s="27" t="s">
        <v>68</v>
      </c>
      <c r="G21" s="32">
        <v>5</v>
      </c>
      <c r="H21" s="33"/>
      <c r="I21" s="34"/>
    </row>
    <row r="22" spans="2:9" ht="14.25" thickTop="1" x14ac:dyDescent="0.4"/>
  </sheetData>
  <mergeCells count="2">
    <mergeCell ref="G21:I21"/>
    <mergeCell ref="G20:I20"/>
  </mergeCells>
  <phoneticPr fontId="7" type="noConversion"/>
  <dataValidations count="3">
    <dataValidation type="list" allowBlank="1" showInputMessage="1" showErrorMessage="1" sqref="F4:F6 F14:F19" xr:uid="{4D312F40-A074-4ABF-976C-C19F9AA3ED7C}">
      <formula1>INDIRECT(E4)</formula1>
    </dataValidation>
    <dataValidation type="list" allowBlank="1" showInputMessage="1" showErrorMessage="1" sqref="F7:F13" xr:uid="{7941E90A-E456-43ED-BB76-0DBB309CC050}">
      <formula1>INDIRECT(#REF!)</formula1>
    </dataValidation>
    <dataValidation type="list" allowBlank="1" showInputMessage="1" showErrorMessage="1" sqref="H4:H19" xr:uid="{0430C74B-CCCE-4366-BF01-C21E45E960AE}">
      <formula1>hh</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9DB55C1B-8CB9-4866-97F1-FA652D2C5BB0}">
          <x14:formula1>
            <xm:f>数据标签!$B$11:$D$11</xm:f>
          </x14:formula1>
          <xm:sqref>E4:E6 E16:E21</xm:sqref>
        </x14:dataValidation>
        <x14:dataValidation type="list" allowBlank="1" showInputMessage="1" showErrorMessage="1" xr:uid="{B2D1C4B7-2204-4546-A576-47074F2DD7B2}">
          <x14:formula1>
            <xm:f>数据标签!$B$2:$H$2</xm:f>
          </x14:formula1>
          <xm:sqref>C4:C8 C14:C21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7" workbookViewId="0">
      <selection activeCell="B16" sqref="B16"/>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2025-10-09T05:45:50Z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