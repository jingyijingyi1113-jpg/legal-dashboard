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7C532B0D-687F-4043-BFB8-1BAE241A9265}"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<sst xmlns="http://schemas.openxmlformats.org/spreadsheetml/2006/main" count="146" uniqueCount="84">
  <si>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</si>
  <si>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</si>
  <si>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</si>
  <si>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</si>
  <si>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</si>
  <si>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</si>
  <si>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</si>
  <si>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</si>
  <si>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</si>
  <si>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</si>
  <si>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</si>
  <si>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</si>
  <si>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</si>
  <si>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</si>
  <si>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</si>
  <si>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</si>
  <si>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</si>
  <si>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</si>
  <si>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</si>
  <si>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</si>
  <si>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</si>
  <si>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</si>
  <si>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</si>
  <si>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</si>
  <si>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</si>
  <si>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</si>
  <si>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</si>
  <si>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</si>
  <si>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</si>
  <si>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</si>
  <si>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</si>
  <si>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</si>
  <si>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</si>
  <si>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</si>
  <si>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</si>
  <si>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</si>
  <si>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</si>
  <si>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</si>
  <si>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</si>
  <si>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</si>
  <si>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</si>
  <si>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</si>
  <si>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</si>
  <si>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</si>
  <si>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</si>
  <si>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</si>
  <si>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</si>
  <si>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</si>
  <si>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</si>
  <si>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</si>
  <si>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</si>
  <si>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</si>
  <si>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</si>
  <si>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</si>
  <si>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</si>
  <si>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</si>
  <si>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</si>
  <si>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</si>
  <si>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</si>
  <si>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</si>
  <si>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</si>
  <si>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</si>
  <si>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</si>
  <si>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</si>
  <si>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</si>
  <si>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</si>
  <si>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</si>
  <si>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</si>
  <si>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</si>
  <si>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</si>
  <si>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</si>
  <si>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</si>
  <si>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</si>
  <si>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</si>
  <si>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BSC</t>
    <phoneticPr fontId="7" type="noConversion"/>
  </si>
  <si>
    <t>世纪华通</t>
    <phoneticPr fontId="7" type="noConversion"/>
  </si>
  <si>
    <t>曦智</t>
    <phoneticPr fontId="7" type="noConversion"/>
  </si>
  <si>
    <t>Bitpanda</t>
    <phoneticPr fontId="7" type="noConversion"/>
  </si>
  <si>
    <t>Navigator</t>
    <phoneticPr fontId="7" type="noConversion"/>
  </si>
  <si>
    <t>Drafting/reviewing/negotiating legal documents</t>
    <phoneticPr fontId="7" type="noConversion"/>
  </si>
  <si>
    <t>审阅公司反馈的SPA，和deal team电话讨论pending issues，沟通支付汇率及卖方银行账户问题</t>
  </si>
  <si>
    <t>审阅反馈MS修改的DDQ及CIA</t>
    <phoneticPr fontId="7" type="noConversion"/>
  </si>
  <si>
    <t>审阅公司反馈的上市文件并讨论剩余问题</t>
  </si>
  <si>
    <t>和export control团队沟通公司股权架构及历史决议情况</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</si>
</sst>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70" zoomScaleNormal="70" workbookViewId="0">
      <selection activeCell="G9" sqref="G9"/>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69" customHeight="1" x14ac:dyDescent="0.4">
      <c r="B4" s="16" t="s">
        <v>72</v>
      </c>
      <c r="C4" s="14" t="s">
        <v>14</v>
      </c>
      <c r="D4" s="31" t="s">
        <v>75</v>
      </c>
      <c r="E4" s="9" t="s">
        <v>40</v>
      </c>
      <c r="F4" s="14" t="s">
        <v>73</v>
      </c>
      <c r="G4" s="29">
        <v>0.5</v>
      </c>
      <c r="H4" s="31" t="s">
        <v>20</v>
      </c>
      <c r="I4" s="30" t="s">
        <v>83</v>
      </c>
    </row>
    <row r="5" spans="2:9" ht="25.5" x14ac:dyDescent="0.4">
      <c r="B5" s="16" t="s">
        <v>72</v>
      </c>
      <c r="C5" s="14" t="s">
        <v>14</v>
      </c>
      <c r="D5" s="29" t="s">
        <v>76</v>
      </c>
      <c r="E5" s="29" t="s">
        <v>74</v>
      </c>
      <c r="F5" s="31" t="s">
        <v>73</v>
      </c>
      <c r="G5" s="29">
        <v>2.2000000000000002</v>
      </c>
      <c r="H5" s="31" t="s">
        <v>79</v>
      </c>
      <c r="I5" s="30" t="s">
        <v>82</v>
      </c>
    </row>
    <row r="6" spans="2:9" ht="69.400000000000006" customHeight="1" x14ac:dyDescent="0.4">
      <c r="B6" s="16" t="s">
        <v>72</v>
      </c>
      <c r="C6" s="14" t="s">
        <v>14</v>
      </c>
      <c r="D6" s="29" t="s">
        <v>77</v>
      </c>
      <c r="E6" s="29" t="s">
        <v>74</v>
      </c>
      <c r="F6" s="31" t="s">
        <v>73</v>
      </c>
      <c r="G6" s="29">
        <v>2.8</v>
      </c>
      <c r="H6" s="31" t="s">
        <v>20</v>
      </c>
      <c r="I6" s="30" t="s">
        <v>80</v>
      </c>
    </row>
    <row r="7" spans="2:9" ht="25.5" x14ac:dyDescent="0.4">
      <c r="B7" s="16" t="s">
        <v>72</v>
      </c>
      <c r="C7" s="31" t="s">
        <v>14</v>
      </c>
      <c r="D7" s="29" t="s">
        <v>78</v>
      </c>
      <c r="E7" s="29" t="s">
        <v>74</v>
      </c>
      <c r="F7" s="31" t="s">
        <v>73</v>
      </c>
      <c r="G7" s="32">
        <v>2.6</v>
      </c>
      <c r="H7" s="31" t="s">
        <v>79</v>
      </c>
      <c r="I7" s="30" t="s">
        <v>81</v>
      </c>
    </row>
    <row r="8" spans="2:9" ht="25.5" x14ac:dyDescent="0.4">
      <c r="B8" s="16" t="s">
        <v>72</v>
      </c>
      <c r="C8" s="14" t="s">
        <v>18</v>
      </c>
      <c r="D8" s="29"/>
      <c r="E8" s="29" t="s">
        <v>66</v>
      </c>
      <c r="F8" s="31"/>
      <c r="G8" s="29">
        <v>0.2</v>
      </c>
      <c r="H8" s="31" t="s">
        <v>61</v>
      </c>
      <c r="I8" s="30"/>
    </row>
    <row r="9" spans="2:9" x14ac:dyDescent="0.4">
      <c r="B9" s="8"/>
      <c r="C9" s="14"/>
      <c r="D9" s="9"/>
      <c r="E9" s="9"/>
      <c r="F9" s="14"/>
      <c r="G9" s="9"/>
      <c r="H9" s="14"/>
      <c r="I9" s="12"/>
    </row>
    <row r="10" spans="2:9" x14ac:dyDescent="0.4">
      <c r="B10" s="8"/>
      <c r="C10" s="14"/>
      <c r="D10" s="9"/>
      <c r="E10" s="9"/>
      <c r="F10" s="14"/>
      <c r="G10" s="9"/>
      <c r="H10" s="14"/>
      <c r="I10" s="12"/>
    </row>
    <row r="11" spans="2:9" x14ac:dyDescent="0.4">
      <c r="B11" s="8"/>
      <c r="C11" s="14"/>
      <c r="D11" s="9"/>
      <c r="E11" s="9"/>
      <c r="F11" s="14"/>
      <c r="G11" s="9"/>
      <c r="H11" s="14"/>
      <c r="I11" s="12"/>
    </row>
    <row r="12" spans="2:9" x14ac:dyDescent="0.4">
      <c r="B12" s="8"/>
      <c r="C12" s="14"/>
      <c r="D12" s="9"/>
      <c r="E12" s="9"/>
      <c r="F12" s="14"/>
      <c r="G12" s="9"/>
      <c r="H12" s="14"/>
      <c r="I12" s="12"/>
    </row>
    <row r="13" spans="2:9" x14ac:dyDescent="0.4">
      <c r="B13" s="8"/>
      <c r="C13" s="14"/>
      <c r="D13" s="9"/>
      <c r="E13" s="9"/>
      <c r="F13" s="14"/>
      <c r="G13" s="9"/>
      <c r="H13" s="14"/>
      <c r="I13" s="12"/>
    </row>
    <row r="14" spans="2:9" x14ac:dyDescent="0.4">
      <c r="B14" s="24"/>
      <c r="C14" s="25"/>
      <c r="D14" s="26"/>
      <c r="E14" s="26"/>
      <c r="F14" s="28" t="s">
        <v>67</v>
      </c>
      <c r="G14" s="36">
        <f>SUM(G3:G13)</f>
        <v>8.2999999999999989</v>
      </c>
      <c r="H14" s="37"/>
      <c r="I14" s="38"/>
    </row>
    <row r="15" spans="2:9" ht="14.25" thickBot="1" x14ac:dyDescent="0.45">
      <c r="B15" s="20"/>
      <c r="C15" s="21"/>
      <c r="D15" s="22"/>
      <c r="E15" s="22"/>
      <c r="F15" s="27" t="s">
        <v>68</v>
      </c>
      <c r="G15" s="33">
        <v>3</v>
      </c>
      <c r="H15" s="34"/>
      <c r="I15" s="35"/>
    </row>
    <row r="16" spans="2:9" ht="14.25" thickTop="1" x14ac:dyDescent="0.4"/>
  </sheetData>
  <mergeCells count="2">
    <mergeCell ref="G15:I15"/>
    <mergeCell ref="G14:I14"/>
  </mergeCells>
  <phoneticPr fontId="7" type="noConversion"/>
  <dataValidations count="3">
    <dataValidation type="list" allowBlank="1" showInputMessage="1" showErrorMessage="1" sqref="F8:F13 F4" xr:uid="{4D312F40-A074-4ABF-976C-C19F9AA3ED7C}">
      <formula1>INDIRECT(E4)</formula1>
    </dataValidation>
    <dataValidation type="list" allowBlank="1" showInputMessage="1" showErrorMessage="1" sqref="F5:F7" xr:uid="{7941E90A-E456-43ED-BB76-0DBB309CC050}">
      <formula1>INDIRECT(#REF!)</formula1>
    </dataValidation>
    <dataValidation type="list" allowBlank="1" showInputMessage="1" showErrorMessage="1" sqref="H4:H13" xr:uid="{0430C74B-CCCE-4366-BF01-C21E45E960AE}">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DB55C1B-8CB9-4866-97F1-FA652D2C5BB0}">
          <x14:formula1>
            <xm:f>数据标签!$B$11:$D$11</xm:f>
          </x14:formula1>
          <xm:sqref>E9:E15 E4</xm:sqref>
        </x14:dataValidation>
        <x14:dataValidation type="list" allowBlank="1" showInputMessage="1" showErrorMessage="1" xr:uid="{B2D1C4B7-2204-4546-A576-47074F2DD7B2}">
          <x14:formula1>
            <xm:f>数据标签!$B$2:$H$2</xm:f>
          </x14:formula1>
          <xm:sqref>C8:C15 C4:C6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16" sqref="B16"/>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2025-10-07T20:17:26Z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