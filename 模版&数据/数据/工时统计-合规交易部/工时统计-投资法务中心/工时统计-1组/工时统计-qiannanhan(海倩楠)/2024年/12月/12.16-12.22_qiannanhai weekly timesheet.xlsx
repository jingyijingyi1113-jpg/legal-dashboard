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46473F6A-AB79-4716-AAF8-BAAA97CC6212}"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G16" i="1"/>
  <c r="G14" i="1"/>
  <c r="G10" i="1"/>
  <c r="G8" i="1"/>
  <c r="G7" i="1"/>
  <c r="G29" i="1" l="1"/>
</calcChain>
</file>

<file path=xl/sharedStrings.xml><?xml version="1.0" encoding="utf-8"?>
<sst xmlns="http://schemas.openxmlformats.org/spreadsheetml/2006/main" count="201" uniqueCount="97">
  <si>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</si>
  <si>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</si>
  <si>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</si>
  <si>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</si>
  <si>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</si>
  <si>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</si>
  <si>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</si>
  <si>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</si>
  <si>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</si>
  <si>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</si>
  <si>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</si>
  <si>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</si>
  <si>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</si>
  <si>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</si>
  <si>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</si>
  <si>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</si>
  <si>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</si>
  <si>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</si>
  <si>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</si>
  <si>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</si>
  <si>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</si>
  <si>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</si>
  <si>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</si>
  <si>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</si>
  <si>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</si>
  <si>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</si>
  <si>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</si>
  <si>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</si>
  <si>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</si>
  <si>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</si>
  <si>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</si>
  <si>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</si>
  <si>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</si>
  <si>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</si>
  <si>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</si>
  <si>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</si>
  <si>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</si>
  <si>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</si>
  <si>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</si>
  <si>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</si>
  <si>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</si>
  <si>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</si>
  <si>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</si>
  <si>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</si>
  <si>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</si>
  <si>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</si>
  <si>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</si>
  <si>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</si>
  <si>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</si>
  <si>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</si>
  <si>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</si>
  <si>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</si>
  <si>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</si>
  <si>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</si>
  <si>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</si>
  <si>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</si>
  <si>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</si>
  <si>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</si>
  <si>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</si>
  <si>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</si>
  <si>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</si>
  <si>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</si>
  <si>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</si>
  <si>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</si>
  <si>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</si>
  <si>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</si>
  <si>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</si>
  <si>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</si>
  <si>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</si>
  <si>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</si>
  <si>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</si>
  <si>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</si>
  <si>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</si>
  <si>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宝可拉</t>
    <phoneticPr fontId="7" type="noConversion"/>
  </si>
  <si>
    <t>投资项目全流程法务支持 Full-process legal support for investments</t>
  </si>
  <si>
    <t>Reviewing and commenting on TS provided by IDG, discussing key terms with deal team and external counsel</t>
    <phoneticPr fontId="7" type="noConversion"/>
  </si>
  <si>
    <t>Omi</t>
    <phoneticPr fontId="7" type="noConversion"/>
  </si>
  <si>
    <t>Spiderling</t>
    <phoneticPr fontId="7" type="noConversion"/>
  </si>
  <si>
    <t>灵游坊</t>
    <phoneticPr fontId="7" type="noConversion"/>
  </si>
  <si>
    <t>证券投资咨询牌照收购</t>
    <phoneticPr fontId="7" type="noConversion"/>
  </si>
  <si>
    <t>极兔</t>
    <phoneticPr fontId="7" type="noConversion"/>
  </si>
  <si>
    <t>Reviewing and preparing certified documents for change of registered office of two TB entities, discuss the same with deal team and external counsel</t>
    <phoneticPr fontId="7" type="noConversion"/>
  </si>
  <si>
    <t>Reviewing and commenting on the LF revised by company and KIL prepared by external counsel; con-call with deal team to discuss the key issues</t>
    <phoneticPr fontId="7" type="noConversion"/>
  </si>
  <si>
    <t>Reviewing and commenting on TS provided by IDG; concall with deal team re key issues under TS; releasing executed NRL</t>
    <phoneticPr fontId="7" type="noConversion"/>
  </si>
  <si>
    <t>Public - Knowledge Accumulation &amp; Sharing</t>
  </si>
  <si>
    <t>魔方收购MCN</t>
    <phoneticPr fontId="7" type="noConversion"/>
  </si>
  <si>
    <t>Arrange signing and reviewing closing documents</t>
    <phoneticPr fontId="7" type="noConversion"/>
  </si>
  <si>
    <t xml:space="preserve">Discussing with deal team re pending issues under LF; reviewing LW's CFIUS analysis and side letter, discussing CFIUS issues and side letter with internal legal team, MA and company; reviewing and commenting on the updated LF and DS; arranging signing </t>
    <phoneticPr fontId="7" type="noConversion"/>
  </si>
  <si>
    <t>Discussing the BCA issues with IEG team; coordinating filing for stamp duty; reviewing the LF revised by company and commenting on pending issues; discussing the pending issues and PSC registration with deal team and external counsel; reverting to questions re raised by finance team; finalizing the LF; reviewing and finalizing the closing document, arrange signing</t>
    <phoneticPr fontId="7" type="noConversion"/>
  </si>
  <si>
    <t>呦尔哈</t>
    <phoneticPr fontId="7" type="noConversion"/>
  </si>
  <si>
    <t>Discussing with deal team and agent re AMR registration status</t>
    <phoneticPr fontId="7" type="noConversion"/>
  </si>
  <si>
    <t>曦智</t>
    <phoneticPr fontId="7" type="noConversion"/>
  </si>
  <si>
    <t>Reviewing and commenting on the C4 round financing documents; discussing issues under LF with deal team and reverting to company</t>
    <phoneticPr fontId="7" type="noConversion"/>
  </si>
  <si>
    <t>晓多</t>
    <phoneticPr fontId="7" type="noConversion"/>
  </si>
  <si>
    <t>Discussing with company re revised AoA</t>
    <phoneticPr fontId="7" type="noConversion"/>
  </si>
  <si>
    <t>Discussing with CSIG team re naming of customers; consulting with external counsel</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</si>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</sst>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60" zoomScaleNormal="60" workbookViewId="0">
      <selection activeCell="G7" sqref="G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29" t="s">
        <v>73</v>
      </c>
      <c r="E4" s="9" t="s">
        <v>40</v>
      </c>
      <c r="F4" s="14" t="s">
        <v>74</v>
      </c>
      <c r="G4" s="9">
        <v>3.2</v>
      </c>
      <c r="H4" s="14" t="s">
        <v>20</v>
      </c>
      <c r="I4" s="30" t="s">
        <v>75</v>
      </c>
    </row>
    <row r="5" spans="2:9" ht="76.5" x14ac:dyDescent="0.4">
      <c r="B5" s="16" t="s">
        <v>72</v>
      </c>
      <c r="C5" s="14" t="s">
        <v>14</v>
      </c>
      <c r="D5" s="29" t="s">
        <v>76</v>
      </c>
      <c r="E5" s="9" t="s">
        <v>40</v>
      </c>
      <c r="F5" s="14" t="s">
        <v>74</v>
      </c>
      <c r="G5" s="9">
        <f>1.2+0.8+1.6+3.2+1.9+0.8</f>
        <v>9.5000000000000018</v>
      </c>
      <c r="H5" s="14" t="s">
        <v>20</v>
      </c>
      <c r="I5" s="30" t="s">
        <v>87</v>
      </c>
    </row>
    <row r="6" spans="2:9" ht="102" x14ac:dyDescent="0.4">
      <c r="B6" s="16" t="s">
        <v>72</v>
      </c>
      <c r="C6" s="14" t="s">
        <v>14</v>
      </c>
      <c r="D6" s="29" t="s">
        <v>77</v>
      </c>
      <c r="E6" s="9" t="s">
        <v>40</v>
      </c>
      <c r="F6" s="31" t="s">
        <v>55</v>
      </c>
      <c r="G6" s="9">
        <f>0.7+4.5+2.6+2.2+1.7</f>
        <v>11.7</v>
      </c>
      <c r="H6" s="14" t="s">
        <v>20</v>
      </c>
      <c r="I6" s="30" t="s">
        <v>88</v>
      </c>
    </row>
    <row r="7" spans="2:9" ht="38.25" x14ac:dyDescent="0.4">
      <c r="B7" s="16" t="s">
        <v>72</v>
      </c>
      <c r="C7" s="14" t="s">
        <v>14</v>
      </c>
      <c r="D7" s="29" t="s">
        <v>78</v>
      </c>
      <c r="E7" s="9" t="s">
        <v>40</v>
      </c>
      <c r="F7" s="14" t="s">
        <v>74</v>
      </c>
      <c r="G7" s="29">
        <f>2.3+1.3</f>
        <v>3.5999999999999996</v>
      </c>
      <c r="H7" s="14" t="s">
        <v>20</v>
      </c>
      <c r="I7" s="30" t="s">
        <v>83</v>
      </c>
    </row>
    <row r="8" spans="2:9" ht="38.25" x14ac:dyDescent="0.4">
      <c r="B8" s="16" t="s">
        <v>72</v>
      </c>
      <c r="C8" s="14" t="s">
        <v>14</v>
      </c>
      <c r="D8" s="31" t="s">
        <v>79</v>
      </c>
      <c r="E8" s="9" t="s">
        <v>40</v>
      </c>
      <c r="F8" s="14" t="s">
        <v>74</v>
      </c>
      <c r="G8" s="29">
        <f>2+1.7+1</f>
        <v>4.7</v>
      </c>
      <c r="H8" s="14" t="s">
        <v>20</v>
      </c>
      <c r="I8" s="30" t="s">
        <v>82</v>
      </c>
    </row>
    <row r="9" spans="2:9" ht="25.5" x14ac:dyDescent="0.4">
      <c r="B9" s="16" t="s">
        <v>72</v>
      </c>
      <c r="C9" s="14" t="s">
        <v>14</v>
      </c>
      <c r="D9" s="31" t="s">
        <v>85</v>
      </c>
      <c r="E9" s="9" t="s">
        <v>40</v>
      </c>
      <c r="F9" s="14" t="s">
        <v>74</v>
      </c>
      <c r="G9" s="29">
        <v>0.8</v>
      </c>
      <c r="H9" s="14" t="s">
        <v>20</v>
      </c>
      <c r="I9" s="30" t="s">
        <v>86</v>
      </c>
    </row>
    <row r="10" spans="2:9" ht="51" x14ac:dyDescent="0.4">
      <c r="B10" s="16" t="s">
        <v>72</v>
      </c>
      <c r="C10" s="14" t="s">
        <v>14</v>
      </c>
      <c r="D10" s="29" t="s">
        <v>80</v>
      </c>
      <c r="E10" s="9" t="s">
        <v>40</v>
      </c>
      <c r="F10" s="14" t="s">
        <v>74</v>
      </c>
      <c r="G10" s="29">
        <f>0.9+0.5+1.3+1.4</f>
        <v>4.0999999999999996</v>
      </c>
      <c r="H10" s="14" t="s">
        <v>20</v>
      </c>
      <c r="I10" s="30" t="s">
        <v>81</v>
      </c>
    </row>
    <row r="11" spans="2:9" ht="25.5" x14ac:dyDescent="0.4">
      <c r="B11" s="16" t="s">
        <v>72</v>
      </c>
      <c r="C11" s="14" t="s">
        <v>14</v>
      </c>
      <c r="D11" s="29" t="s">
        <v>89</v>
      </c>
      <c r="E11" s="9" t="s">
        <v>40</v>
      </c>
      <c r="F11" s="14" t="s">
        <v>74</v>
      </c>
      <c r="G11" s="9">
        <v>0.5</v>
      </c>
      <c r="H11" s="14" t="s">
        <v>20</v>
      </c>
      <c r="I11" s="30" t="s">
        <v>90</v>
      </c>
    </row>
    <row r="12" spans="2:9" ht="38.25" x14ac:dyDescent="0.4">
      <c r="B12" s="16" t="s">
        <v>72</v>
      </c>
      <c r="C12" s="14" t="s">
        <v>14</v>
      </c>
      <c r="D12" s="29" t="s">
        <v>91</v>
      </c>
      <c r="E12" s="9" t="s">
        <v>40</v>
      </c>
      <c r="F12" s="14" t="s">
        <v>74</v>
      </c>
      <c r="G12" s="9">
        <v>3.3</v>
      </c>
      <c r="H12" s="14" t="s">
        <v>20</v>
      </c>
      <c r="I12" s="30" t="s">
        <v>92</v>
      </c>
    </row>
    <row r="13" spans="2:9" ht="25.5" x14ac:dyDescent="0.4">
      <c r="B13" s="16" t="s">
        <v>72</v>
      </c>
      <c r="C13" s="14" t="s">
        <v>14</v>
      </c>
      <c r="D13" s="29" t="s">
        <v>93</v>
      </c>
      <c r="E13" s="9" t="s">
        <v>40</v>
      </c>
      <c r="F13" s="14" t="s">
        <v>74</v>
      </c>
      <c r="G13" s="9">
        <v>0.3</v>
      </c>
      <c r="H13" s="14" t="s">
        <v>20</v>
      </c>
      <c r="I13" s="30" t="s">
        <v>94</v>
      </c>
    </row>
    <row r="14" spans="2:9" ht="25.5" x14ac:dyDescent="0.4">
      <c r="B14" s="16" t="s">
        <v>72</v>
      </c>
      <c r="C14" s="14" t="s">
        <v>84</v>
      </c>
      <c r="D14" s="9"/>
      <c r="E14" s="9" t="s">
        <v>27</v>
      </c>
      <c r="F14" s="14"/>
      <c r="G14" s="29">
        <f>1.3+0.4</f>
        <v>1.7000000000000002</v>
      </c>
      <c r="H14" s="14" t="s">
        <v>27</v>
      </c>
      <c r="I14" s="30" t="s">
        <v>95</v>
      </c>
    </row>
    <row r="15" spans="2:9" x14ac:dyDescent="0.4">
      <c r="B15" s="16" t="s">
        <v>72</v>
      </c>
      <c r="C15" s="14" t="s">
        <v>18</v>
      </c>
      <c r="D15" s="9"/>
      <c r="E15" s="9" t="s">
        <v>27</v>
      </c>
      <c r="F15" s="14"/>
      <c r="G15" s="9">
        <v>1.2</v>
      </c>
      <c r="H15" s="14" t="s">
        <v>24</v>
      </c>
      <c r="I15" s="12"/>
    </row>
    <row r="16" spans="2:9" ht="25.5" x14ac:dyDescent="0.4">
      <c r="B16" s="16" t="s">
        <v>72</v>
      </c>
      <c r="C16" s="14" t="s">
        <v>18</v>
      </c>
      <c r="D16" s="9"/>
      <c r="E16" s="9" t="s">
        <v>27</v>
      </c>
      <c r="F16" s="14"/>
      <c r="G16" s="9">
        <f>1.8+0.7+0.4</f>
        <v>2.9</v>
      </c>
      <c r="H16" s="14" t="s">
        <v>38</v>
      </c>
      <c r="I16" s="12"/>
    </row>
    <row r="17" spans="2:9" ht="25.5" x14ac:dyDescent="0.4">
      <c r="B17" s="16" t="s">
        <v>72</v>
      </c>
      <c r="C17" s="14" t="s">
        <v>18</v>
      </c>
      <c r="D17" s="9"/>
      <c r="E17" s="9" t="s">
        <v>27</v>
      </c>
      <c r="F17" s="14"/>
      <c r="G17" s="9">
        <v>1</v>
      </c>
      <c r="H17" s="14" t="s">
        <v>96</v>
      </c>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8"/>
      <c r="C27" s="14"/>
      <c r="D27" s="9"/>
      <c r="E27" s="9"/>
      <c r="F27" s="14"/>
      <c r="G27" s="9"/>
      <c r="H27" s="14"/>
      <c r="I27" s="12"/>
    </row>
    <row r="28" spans="2:9" x14ac:dyDescent="0.4">
      <c r="B28" s="8"/>
      <c r="C28" s="14"/>
      <c r="D28" s="9"/>
      <c r="E28" s="9"/>
      <c r="F28" s="14"/>
      <c r="G28" s="9"/>
      <c r="H28" s="14"/>
      <c r="I28" s="12"/>
    </row>
    <row r="29" spans="2:9" x14ac:dyDescent="0.4">
      <c r="B29" s="24"/>
      <c r="C29" s="25"/>
      <c r="D29" s="26"/>
      <c r="E29" s="26"/>
      <c r="F29" s="28" t="s">
        <v>67</v>
      </c>
      <c r="G29" s="35">
        <f>SUM(G3:G28)</f>
        <v>48.5</v>
      </c>
      <c r="H29" s="36"/>
      <c r="I29" s="37"/>
    </row>
    <row r="30" spans="2:9" ht="14.25" thickBot="1" x14ac:dyDescent="0.45">
      <c r="B30" s="20"/>
      <c r="C30" s="21"/>
      <c r="D30" s="22"/>
      <c r="E30" s="22"/>
      <c r="F30" s="27" t="s">
        <v>68</v>
      </c>
      <c r="G30" s="32">
        <v>5</v>
      </c>
      <c r="H30" s="33"/>
      <c r="I30" s="34"/>
    </row>
    <row r="31" spans="2:9" ht="14.25" thickTop="1" x14ac:dyDescent="0.4"/>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2024-12-23T17:33:41Z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