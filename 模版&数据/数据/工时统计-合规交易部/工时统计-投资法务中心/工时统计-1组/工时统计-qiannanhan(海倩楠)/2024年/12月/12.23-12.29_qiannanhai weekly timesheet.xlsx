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1E69E157-02BD-4A21-ACB6-F16494491799}"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<sst xmlns="http://schemas.openxmlformats.org/spreadsheetml/2006/main" count="187" uniqueCount="96">
  <si>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</si>
  <si>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</si>
  <si>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</si>
  <si>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</si>
  <si>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</si>
  <si>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</si>
  <si>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</si>
  <si>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</si>
  <si>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</si>
  <si>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</si>
  <si>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</si>
  <si>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</si>
  <si>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</si>
  <si>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</si>
  <si>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</si>
  <si>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</si>
  <si>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</si>
  <si>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</si>
  <si>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</si>
  <si>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</si>
  <si>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</si>
  <si>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</si>
  <si>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</si>
  <si>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</si>
  <si>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</si>
  <si>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</si>
  <si>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</si>
  <si>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</si>
  <si>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</si>
  <si>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</si>
  <si>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</si>
  <si>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</si>
  <si>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</si>
  <si>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</si>
  <si>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</si>
  <si>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</si>
  <si>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</si>
  <si>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</si>
  <si>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</si>
  <si>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</si>
  <si>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</si>
  <si>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</si>
  <si>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</si>
  <si>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</si>
  <si>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</si>
  <si>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</si>
  <si>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</si>
  <si>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</si>
  <si>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</si>
  <si>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</si>
  <si>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</si>
  <si>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</si>
  <si>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</si>
  <si>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</si>
  <si>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</si>
  <si>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</si>
  <si>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</si>
  <si>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</si>
  <si>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</si>
  <si>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</si>
  <si>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</si>
  <si>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</si>
  <si>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</si>
  <si>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</si>
  <si>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</si>
  <si>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</si>
  <si>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</si>
  <si>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</si>
  <si>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</si>
  <si>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</si>
  <si>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</si>
  <si>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</si>
  <si>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</si>
  <si>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宝可拉</t>
    <phoneticPr fontId="7" type="noConversion"/>
  </si>
  <si>
    <t>投资项目全流程法务支持 Full-process legal support for investments</t>
  </si>
  <si>
    <t>Omi</t>
    <phoneticPr fontId="7" type="noConversion"/>
  </si>
  <si>
    <t>Spiderling</t>
    <phoneticPr fontId="7" type="noConversion"/>
  </si>
  <si>
    <t>灵游坊</t>
    <phoneticPr fontId="7" type="noConversion"/>
  </si>
  <si>
    <t>证券投资咨询牌照收购</t>
    <phoneticPr fontId="7" type="noConversion"/>
  </si>
  <si>
    <t>极兔</t>
    <phoneticPr fontId="7" type="noConversion"/>
  </si>
  <si>
    <t>Public - Knowledge Accumulation &amp; Sharing</t>
  </si>
  <si>
    <t>魔方收购MCN</t>
    <phoneticPr fontId="7" type="noConversion"/>
  </si>
  <si>
    <t>呦尔哈</t>
    <phoneticPr fontId="7" type="noConversion"/>
  </si>
  <si>
    <t>Discussing with CSIG team re naming of customers; consulting with external counsel</t>
    <phoneticPr fontId="7" type="noConversion"/>
  </si>
  <si>
    <t>Recording/reviewing deals updates/weekly time reports/other team summaries</t>
  </si>
  <si>
    <t>Discussing with deal team, external counsel and company re pending issues under LF, as well as CFIUS issues and side letter; finalizing the LF; conducting sanctions screening</t>
    <phoneticPr fontId="7" type="noConversion"/>
  </si>
  <si>
    <t>Reviewing and commenting on the updated KIL incorporating our comments; discussing the same with external counsel and MA;  coordinating the onsite negotiation</t>
    <phoneticPr fontId="7" type="noConversion"/>
  </si>
  <si>
    <t>无端</t>
    <phoneticPr fontId="7" type="noConversion"/>
  </si>
  <si>
    <t>Finalizing the LF and closing documents; arranging signing; conducting sanctions screening</t>
    <phoneticPr fontId="7" type="noConversion"/>
  </si>
  <si>
    <t>Arranging signing and certification of  documents for change of registered office of two TB entities, releasing executed version, discuss the same with deal team and external counsel</t>
    <phoneticPr fontId="7" type="noConversion"/>
  </si>
  <si>
    <t>Reviewing and commenting on TS for CB as well as restructuring documents  revised by company; discussing the same with deal team</t>
    <phoneticPr fontId="7" type="noConversion"/>
  </si>
  <si>
    <t>Concall with deal team re expansion of ESOP pool, reviewing and commenting on resolutions re the same, discussing with finance team re previous grant of ESOP</t>
    <phoneticPr fontId="7" type="noConversion"/>
  </si>
  <si>
    <t>conducting sanctions screening; arranging signing and releasing signature pages; discussing with external counsel re signing logistics</t>
    <phoneticPr fontId="7" type="noConversion"/>
  </si>
  <si>
    <t>Reviewing and commenting on TS provided by IDG, discussing with external counsel re the same, concall with deal team re key issues under TS and summarizing the same</t>
    <phoneticPr fontId="7" type="noConversion"/>
  </si>
  <si>
    <t>Recording weekly time reports and summaries for 管理节点</t>
    <phoneticPr fontId="7" type="noConversion"/>
  </si>
  <si>
    <t>Discussing with deal team and external counsel re historical tax issues and founder's defaults under SPA; summarizing the clauses and regulations for negotiation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</si>
</sst>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70" zoomScaleNormal="70" workbookViewId="0">
      <selection activeCell="G11" sqref="G11"/>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1" x14ac:dyDescent="0.4">
      <c r="B4" s="16" t="s">
        <v>72</v>
      </c>
      <c r="C4" s="14" t="s">
        <v>14</v>
      </c>
      <c r="D4" s="29" t="s">
        <v>73</v>
      </c>
      <c r="E4" s="9" t="s">
        <v>40</v>
      </c>
      <c r="F4" s="14" t="s">
        <v>74</v>
      </c>
      <c r="G4" s="9">
        <v>4.5999999999999996</v>
      </c>
      <c r="H4" s="14" t="s">
        <v>20</v>
      </c>
      <c r="I4" s="30" t="s">
        <v>93</v>
      </c>
    </row>
    <row r="5" spans="2:9" ht="51" x14ac:dyDescent="0.4">
      <c r="B5" s="16" t="s">
        <v>72</v>
      </c>
      <c r="C5" s="14" t="s">
        <v>14</v>
      </c>
      <c r="D5" s="29" t="s">
        <v>75</v>
      </c>
      <c r="E5" s="9" t="s">
        <v>40</v>
      </c>
      <c r="F5" s="14" t="s">
        <v>74</v>
      </c>
      <c r="G5" s="9">
        <v>5.4</v>
      </c>
      <c r="H5" s="14" t="s">
        <v>20</v>
      </c>
      <c r="I5" s="30" t="s">
        <v>85</v>
      </c>
    </row>
    <row r="6" spans="2:9" ht="38.25" x14ac:dyDescent="0.4">
      <c r="B6" s="16" t="s">
        <v>72</v>
      </c>
      <c r="C6" s="14" t="s">
        <v>14</v>
      </c>
      <c r="D6" s="29" t="s">
        <v>76</v>
      </c>
      <c r="E6" s="9" t="s">
        <v>40</v>
      </c>
      <c r="F6" s="31" t="s">
        <v>55</v>
      </c>
      <c r="G6" s="9">
        <v>2.5</v>
      </c>
      <c r="H6" s="14" t="s">
        <v>20</v>
      </c>
      <c r="I6" s="30" t="s">
        <v>92</v>
      </c>
    </row>
    <row r="7" spans="2:9" ht="38.25" x14ac:dyDescent="0.4">
      <c r="B7" s="16" t="s">
        <v>72</v>
      </c>
      <c r="C7" s="14" t="s">
        <v>14</v>
      </c>
      <c r="D7" s="29" t="s">
        <v>77</v>
      </c>
      <c r="E7" s="9" t="s">
        <v>40</v>
      </c>
      <c r="F7" s="14" t="s">
        <v>74</v>
      </c>
      <c r="G7" s="29">
        <v>3.9</v>
      </c>
      <c r="H7" s="14" t="s">
        <v>20</v>
      </c>
      <c r="I7" s="30" t="s">
        <v>90</v>
      </c>
    </row>
    <row r="8" spans="2:9" ht="51" x14ac:dyDescent="0.4">
      <c r="B8" s="16" t="s">
        <v>72</v>
      </c>
      <c r="C8" s="14" t="s">
        <v>14</v>
      </c>
      <c r="D8" s="31" t="s">
        <v>78</v>
      </c>
      <c r="E8" s="9" t="s">
        <v>40</v>
      </c>
      <c r="F8" s="14" t="s">
        <v>74</v>
      </c>
      <c r="G8" s="29">
        <v>2.6</v>
      </c>
      <c r="H8" s="14" t="s">
        <v>20</v>
      </c>
      <c r="I8" s="30" t="s">
        <v>86</v>
      </c>
    </row>
    <row r="9" spans="2:9" ht="25.5" x14ac:dyDescent="0.4">
      <c r="B9" s="16" t="s">
        <v>72</v>
      </c>
      <c r="C9" s="14" t="s">
        <v>14</v>
      </c>
      <c r="D9" s="31" t="s">
        <v>81</v>
      </c>
      <c r="E9" s="9" t="s">
        <v>40</v>
      </c>
      <c r="F9" s="14" t="s">
        <v>74</v>
      </c>
      <c r="G9" s="29">
        <v>2.7</v>
      </c>
      <c r="H9" s="14" t="s">
        <v>20</v>
      </c>
      <c r="I9" s="30" t="s">
        <v>88</v>
      </c>
    </row>
    <row r="10" spans="2:9" ht="51" x14ac:dyDescent="0.4">
      <c r="B10" s="16" t="s">
        <v>72</v>
      </c>
      <c r="C10" s="14" t="s">
        <v>14</v>
      </c>
      <c r="D10" s="29" t="s">
        <v>79</v>
      </c>
      <c r="E10" s="9" t="s">
        <v>40</v>
      </c>
      <c r="F10" s="14" t="s">
        <v>74</v>
      </c>
      <c r="G10" s="29">
        <v>3.5</v>
      </c>
      <c r="H10" s="14" t="s">
        <v>20</v>
      </c>
      <c r="I10" s="30" t="s">
        <v>89</v>
      </c>
    </row>
    <row r="11" spans="2:9" ht="51" x14ac:dyDescent="0.4">
      <c r="B11" s="16" t="s">
        <v>72</v>
      </c>
      <c r="C11" s="14" t="s">
        <v>14</v>
      </c>
      <c r="D11" s="29" t="s">
        <v>82</v>
      </c>
      <c r="E11" s="9" t="s">
        <v>40</v>
      </c>
      <c r="F11" s="14" t="s">
        <v>74</v>
      </c>
      <c r="G11" s="9">
        <v>3.8</v>
      </c>
      <c r="H11" s="14" t="s">
        <v>20</v>
      </c>
      <c r="I11" s="30" t="s">
        <v>95</v>
      </c>
    </row>
    <row r="12" spans="2:9" ht="51" x14ac:dyDescent="0.4">
      <c r="B12" s="16" t="s">
        <v>72</v>
      </c>
      <c r="C12" s="14" t="s">
        <v>14</v>
      </c>
      <c r="D12" s="29" t="s">
        <v>87</v>
      </c>
      <c r="E12" s="9" t="s">
        <v>40</v>
      </c>
      <c r="F12" s="14" t="s">
        <v>74</v>
      </c>
      <c r="G12" s="9">
        <v>2.2999999999999998</v>
      </c>
      <c r="H12" s="31" t="s">
        <v>20</v>
      </c>
      <c r="I12" s="30" t="s">
        <v>91</v>
      </c>
    </row>
    <row r="13" spans="2:9" ht="25.5" x14ac:dyDescent="0.4">
      <c r="B13" s="16" t="s">
        <v>72</v>
      </c>
      <c r="C13" s="14" t="s">
        <v>80</v>
      </c>
      <c r="D13" s="9"/>
      <c r="E13" s="9" t="s">
        <v>27</v>
      </c>
      <c r="F13" s="14"/>
      <c r="G13" s="29">
        <v>1.4</v>
      </c>
      <c r="H13" s="14" t="s">
        <v>27</v>
      </c>
      <c r="I13" s="30" t="s">
        <v>83</v>
      </c>
    </row>
    <row r="14" spans="2:9" ht="25.5" x14ac:dyDescent="0.4">
      <c r="B14" s="16" t="s">
        <v>72</v>
      </c>
      <c r="C14" s="14" t="s">
        <v>18</v>
      </c>
      <c r="D14" s="9"/>
      <c r="E14" s="9" t="s">
        <v>27</v>
      </c>
      <c r="F14" s="14"/>
      <c r="G14" s="9">
        <v>1.3</v>
      </c>
      <c r="H14" s="14" t="s">
        <v>84</v>
      </c>
      <c r="I14" s="30" t="s">
        <v>94</v>
      </c>
    </row>
    <row r="15" spans="2:9" x14ac:dyDescent="0.4">
      <c r="B15" s="8"/>
      <c r="C15" s="14"/>
      <c r="D15" s="9"/>
      <c r="E15" s="9"/>
      <c r="F15" s="14"/>
      <c r="G15" s="9"/>
      <c r="H15" s="14"/>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24"/>
      <c r="C26" s="25"/>
      <c r="D26" s="26"/>
      <c r="E26" s="26"/>
      <c r="F26" s="28" t="s">
        <v>67</v>
      </c>
      <c r="G26" s="35">
        <f>SUM(G3:G25)</f>
        <v>34</v>
      </c>
      <c r="H26" s="36"/>
      <c r="I26" s="37"/>
    </row>
    <row r="27" spans="2:9" ht="14.25" thickBot="1" x14ac:dyDescent="0.45">
      <c r="B27" s="20"/>
      <c r="C27" s="21"/>
      <c r="D27" s="22"/>
      <c r="E27" s="22"/>
      <c r="F27" s="27" t="s">
        <v>68</v>
      </c>
      <c r="G27" s="32">
        <v>5</v>
      </c>
      <c r="H27" s="33"/>
      <c r="I27" s="34"/>
    </row>
    <row r="28" spans="2:9" ht="14.25" thickTop="1" x14ac:dyDescent="0.4"/>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2025-01-06T17:25:29Z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