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13_ncr:1_{DAF423FD-1479-C245-8D14-C04B75A9852F}" xr6:coauthVersionLast="47" xr6:coauthVersionMax="47" xr10:uidLastSave="{00000000-0000-0000-0000-000000000000}"/>
  <bookViews>
    <workbookView xWindow="-3960" yWindow="-21100" windowWidth="3840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<sst xmlns="http://schemas.openxmlformats.org/spreadsheetml/2006/main" count="176" uniqueCount="94">
  <si>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</si>
  <si>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</si>
  <si>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</si>
  <si>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</si>
  <si>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</si>
  <si>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</si>
  <si>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</si>
  <si>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</si>
  <si>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</si>
  <si>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</si>
  <si>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</si>
  <si>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</si>
  <si>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</si>
  <si>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</si>
  <si>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</si>
  <si>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</si>
  <si>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</si>
  <si>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</si>
  <si>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</si>
  <si>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</si>
  <si>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</si>
  <si>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</si>
  <si>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</si>
  <si>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</si>
  <si>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</si>
  <si>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</si>
  <si>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</si>
  <si>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</si>
  <si>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</si>
  <si>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</si>
  <si>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</si>
  <si>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</si>
  <si>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</si>
  <si>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</si>
  <si>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</si>
  <si>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</si>
  <si>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</si>
  <si>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</si>
  <si>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</si>
  <si>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</si>
  <si>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</si>
  <si>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</si>
  <si>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</si>
  <si>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</si>
  <si>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</si>
  <si>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</si>
  <si>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</si>
  <si>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</si>
  <si>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</si>
  <si>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</si>
  <si>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</si>
  <si>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</si>
  <si>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</si>
  <si>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</si>
  <si>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</si>
  <si>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</si>
  <si>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</si>
  <si>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</si>
  <si>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</si>
  <si>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</si>
  <si>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</si>
  <si>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</si>
  <si>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</si>
  <si>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</si>
  <si>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</si>
  <si>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</si>
  <si>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</si>
  <si>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</si>
  <si>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</si>
  <si>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</si>
  <si>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</si>
  <si>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</si>
  <si>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</si>
  <si>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Same</t>
    <phoneticPr fontId="7" type="noConversion"/>
  </si>
  <si>
    <t>投资项目全流程法务支持 Full-process legal support for investments</t>
  </si>
  <si>
    <t>Internal/external discussion on/negotiation of legal documents</t>
  </si>
  <si>
    <t>轮岗</t>
    <phoneticPr fontId="7" type="noConversion"/>
  </si>
  <si>
    <t>Recording/reviewing deals updates/weekly time reports/other team summaries</t>
  </si>
  <si>
    <t>AI-CFIUS</t>
    <phoneticPr fontId="7" type="noConversion"/>
  </si>
  <si>
    <t>工作小时</t>
    <phoneticPr fontId="7" type="noConversion"/>
  </si>
  <si>
    <t>撰写记录本周工作小时</t>
    <phoneticPr fontId="7" type="noConversion"/>
  </si>
  <si>
    <t>艺动</t>
    <phoneticPr fontId="7" type="noConversion"/>
  </si>
  <si>
    <t>跟进艺动退出项目财务信息核查进展、分析清算退出可能性</t>
    <phoneticPr fontId="7" type="noConversion"/>
  </si>
  <si>
    <t>情侣主页</t>
    <phoneticPr fontId="7" type="noConversion"/>
  </si>
  <si>
    <t>退出项目条款梳理</t>
    <phoneticPr fontId="7" type="noConversion"/>
  </si>
  <si>
    <t>与Ian\Latham沟通退出项目保留未来participation right的条款工具包</t>
    <phoneticPr fontId="7" type="noConversion"/>
  </si>
  <si>
    <t>与MA沟通，梳理项目历史，确认回购、清算等退出路径</t>
    <phoneticPr fontId="7" type="noConversion"/>
  </si>
  <si>
    <t>与MA、外部律师沟通开曼公司异常经营情况与退出费用核算；向Daniel请教常规退出操作确认不同情况移出ROM的必要性</t>
    <phoneticPr fontId="7" type="noConversion"/>
  </si>
  <si>
    <t>【Hello AI，Hello World】CDG 技术团队 AI 提效实践分享会</t>
    <phoneticPr fontId="7" type="noConversion"/>
  </si>
  <si>
    <t>2025总办linktime</t>
    <phoneticPr fontId="7" type="noConversion"/>
  </si>
  <si>
    <t>CFIUS &amp; DSP Risk Assessment Matrix及内部流程指引</t>
    <phoneticPr fontId="7" type="noConversion"/>
  </si>
  <si>
    <t>制裁及出口管制线上筛查系统宣贯</t>
    <phoneticPr fontId="7" type="noConversion"/>
  </si>
  <si>
    <t>Public - Knowledge Accumulation &amp; Sharing</t>
  </si>
  <si>
    <t>轮岗毕业汇报报告撰写、与HR沟通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</si>
</sst>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3" zoomScale="125" zoomScaleNormal="100" workbookViewId="0">
      <selection activeCell="M9" sqref="M9"/>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42">
      <c r="B4" s="14" t="s">
        <v>72</v>
      </c>
      <c r="C4" s="12" t="s">
        <v>12</v>
      </c>
      <c r="D4" s="25" t="s">
        <v>73</v>
      </c>
      <c r="E4" s="8" t="s">
        <v>37</v>
      </c>
      <c r="F4" s="12" t="s">
        <v>74</v>
      </c>
      <c r="G4" s="8">
        <v>4.8</v>
      </c>
      <c r="H4" s="27" t="s">
        <v>75</v>
      </c>
      <c r="I4" s="26" t="s">
        <v>87</v>
      </c>
    </row>
    <row r="5" spans="2:9" ht="28">
      <c r="B5" s="14" t="s">
        <v>72</v>
      </c>
      <c r="C5" s="12" t="s">
        <v>12</v>
      </c>
      <c r="D5" s="25" t="s">
        <v>83</v>
      </c>
      <c r="E5" s="8" t="s">
        <v>37</v>
      </c>
      <c r="F5" s="12" t="s">
        <v>74</v>
      </c>
      <c r="G5" s="8">
        <v>8.4</v>
      </c>
      <c r="H5" s="27" t="s">
        <v>75</v>
      </c>
      <c r="I5" s="26" t="s">
        <v>86</v>
      </c>
    </row>
    <row r="6" spans="2:9" ht="28">
      <c r="B6" s="14" t="s">
        <v>72</v>
      </c>
      <c r="C6" s="12" t="s">
        <v>12</v>
      </c>
      <c r="D6" s="25" t="s">
        <v>81</v>
      </c>
      <c r="E6" s="8" t="s">
        <v>37</v>
      </c>
      <c r="F6" s="12" t="s">
        <v>74</v>
      </c>
      <c r="G6" s="8">
        <v>2.1</v>
      </c>
      <c r="H6" s="27" t="s">
        <v>75</v>
      </c>
      <c r="I6" s="26" t="s">
        <v>82</v>
      </c>
    </row>
    <row r="7" spans="2:9" ht="71.25" customHeight="1">
      <c r="B7" s="14" t="s">
        <v>72</v>
      </c>
      <c r="C7" s="12" t="s">
        <v>16</v>
      </c>
      <c r="D7" s="25" t="s">
        <v>76</v>
      </c>
      <c r="E7" s="8" t="s">
        <v>24</v>
      </c>
      <c r="F7" s="27"/>
      <c r="G7" s="28">
        <v>5.0999999999999996</v>
      </c>
      <c r="H7" s="12" t="s">
        <v>77</v>
      </c>
      <c r="I7" s="26" t="s">
        <v>93</v>
      </c>
    </row>
    <row r="8" spans="2:9" ht="71.25" customHeight="1">
      <c r="B8" s="14" t="s">
        <v>72</v>
      </c>
      <c r="C8" s="12" t="s">
        <v>12</v>
      </c>
      <c r="D8" s="25" t="s">
        <v>84</v>
      </c>
      <c r="E8" s="8" t="s">
        <v>37</v>
      </c>
      <c r="F8" s="27" t="s">
        <v>74</v>
      </c>
      <c r="G8" s="28">
        <v>3</v>
      </c>
      <c r="H8" s="12" t="s">
        <v>75</v>
      </c>
      <c r="I8" s="26" t="s">
        <v>85</v>
      </c>
    </row>
    <row r="9" spans="2:9" ht="66.75" customHeight="1">
      <c r="B9" s="14" t="s">
        <v>72</v>
      </c>
      <c r="C9" s="12" t="s">
        <v>92</v>
      </c>
      <c r="D9" s="25" t="s">
        <v>78</v>
      </c>
      <c r="E9" s="8" t="s">
        <v>24</v>
      </c>
      <c r="F9" s="12"/>
      <c r="G9" s="28">
        <v>2</v>
      </c>
      <c r="H9" s="12" t="s">
        <v>31</v>
      </c>
      <c r="I9" s="26" t="s">
        <v>88</v>
      </c>
    </row>
    <row r="10" spans="2:9" ht="57" customHeight="1">
      <c r="B10" s="14" t="s">
        <v>72</v>
      </c>
      <c r="C10" s="12" t="s">
        <v>92</v>
      </c>
      <c r="D10" s="25"/>
      <c r="E10" s="8"/>
      <c r="F10" s="12"/>
      <c r="G10" s="28">
        <v>3</v>
      </c>
      <c r="H10" s="12" t="s">
        <v>31</v>
      </c>
      <c r="I10" s="26" t="s">
        <v>89</v>
      </c>
    </row>
    <row r="11" spans="2:9" ht="57" customHeight="1">
      <c r="B11" s="14" t="s">
        <v>72</v>
      </c>
      <c r="C11" s="12" t="s">
        <v>92</v>
      </c>
      <c r="D11" s="25"/>
      <c r="E11" s="8" t="s">
        <v>24</v>
      </c>
      <c r="F11" s="12"/>
      <c r="G11" s="28">
        <v>2</v>
      </c>
      <c r="H11" s="12" t="s">
        <v>31</v>
      </c>
      <c r="I11" s="26" t="s">
        <v>91</v>
      </c>
    </row>
    <row r="12" spans="2:9" ht="57" customHeight="1">
      <c r="B12" s="14" t="s">
        <v>72</v>
      </c>
      <c r="C12" s="12" t="s">
        <v>92</v>
      </c>
      <c r="D12" s="25"/>
      <c r="E12" s="8" t="s">
        <v>24</v>
      </c>
      <c r="F12" s="12"/>
      <c r="G12" s="28">
        <v>2</v>
      </c>
      <c r="H12" s="12" t="s">
        <v>31</v>
      </c>
      <c r="I12" s="26" t="s">
        <v>90</v>
      </c>
    </row>
    <row r="13" spans="2:9" ht="28">
      <c r="B13" s="14" t="s">
        <v>72</v>
      </c>
      <c r="C13" s="12" t="s">
        <v>16</v>
      </c>
      <c r="D13" s="25" t="s">
        <v>79</v>
      </c>
      <c r="E13" s="8" t="s">
        <v>24</v>
      </c>
      <c r="F13" s="12"/>
      <c r="G13" s="28">
        <v>1.2</v>
      </c>
      <c r="H13" s="12" t="s">
        <v>77</v>
      </c>
      <c r="I13" s="26" t="s">
        <v>80</v>
      </c>
    </row>
    <row r="14" spans="2:9" ht="36" customHeight="1">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14"/>
      <c r="C21" s="12"/>
      <c r="D21" s="25"/>
      <c r="E21" s="8"/>
      <c r="F21" s="12"/>
      <c r="G21" s="8"/>
      <c r="H21" s="12"/>
      <c r="I21" s="26"/>
    </row>
    <row r="22" spans="2:9">
      <c r="B22" s="14"/>
      <c r="C22" s="12"/>
      <c r="D22" s="25"/>
      <c r="E22" s="8"/>
      <c r="F22" s="12"/>
      <c r="G22" s="8"/>
      <c r="H22" s="12"/>
      <c r="I22" s="26"/>
    </row>
    <row r="23" spans="2:9">
      <c r="B23" s="14"/>
      <c r="C23" s="12"/>
      <c r="D23" s="25"/>
      <c r="E23" s="8"/>
      <c r="F23" s="12"/>
      <c r="G23" s="8"/>
      <c r="H23" s="12"/>
      <c r="I23" s="26"/>
    </row>
    <row r="24" spans="2:9">
      <c r="B24" s="14"/>
      <c r="C24" s="12"/>
      <c r="D24" s="25"/>
      <c r="E24" s="8"/>
      <c r="F24" s="12"/>
      <c r="G24" s="8"/>
      <c r="H24" s="12"/>
      <c r="I24" s="26"/>
    </row>
    <row r="25" spans="2:9">
      <c r="B25" s="20"/>
      <c r="C25" s="21"/>
      <c r="D25" s="22"/>
      <c r="E25" s="22"/>
      <c r="F25" s="24" t="s">
        <v>61</v>
      </c>
      <c r="G25" s="32">
        <f>SUM(G4:G24)</f>
        <v>33.6</v>
      </c>
      <c r="H25" s="33"/>
      <c r="I25" s="34"/>
    </row>
    <row r="26" spans="2:9" ht="16" thickBot="1">
      <c r="B26" s="17"/>
      <c r="C26" s="18"/>
      <c r="D26" s="19"/>
      <c r="E26" s="19"/>
      <c r="F26" s="23" t="s">
        <v>62</v>
      </c>
      <c r="G26" s="29">
        <v>5</v>
      </c>
      <c r="H26" s="30"/>
      <c r="I26" s="31"/>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yueshanli（李悦珊）</cp:lastModifiedBy>
  <dcterms:created xsi:type="dcterms:W3CDTF">2024-12-10T02:24:00Z</dcterms:created>
  <dcterms:modified xsi:type="dcterms:W3CDTF">2025-11-17T06:22:01Z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