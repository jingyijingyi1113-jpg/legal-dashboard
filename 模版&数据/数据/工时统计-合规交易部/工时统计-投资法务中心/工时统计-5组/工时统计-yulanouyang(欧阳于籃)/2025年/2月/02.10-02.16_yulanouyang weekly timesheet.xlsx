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Tencent_GO\Documents\WXWork\1688855521297299\WeDrive\腾讯\工时统计-yulanouyang(欧阳于籃)\2025年\2月\"/>
    </mc:Choice>
  </mc:AlternateContent>
  <xr:revisionPtr revIDLastSave="0" documentId="13_ncr:1_{1EF12CFA-7B85-40E2-AA51-41E16AB8528A}"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<sst xmlns="http://schemas.openxmlformats.org/spreadsheetml/2006/main" count="174" uniqueCount="94">
  <si>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</si>
  <si>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</si>
  <si>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</si>
  <si>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</si>
  <si>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</si>
  <si>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</si>
  <si>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</si>
  <si>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</si>
  <si>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</si>
  <si>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</si>
  <si>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</si>
  <si>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</si>
  <si>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</si>
  <si>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</si>
  <si>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</si>
  <si>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</si>
  <si>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</si>
  <si>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</si>
  <si>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</si>
  <si>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</si>
  <si>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</si>
  <si>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</si>
  <si>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</si>
  <si>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</si>
  <si>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</si>
  <si>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</si>
  <si>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</si>
  <si>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</si>
  <si>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</si>
  <si>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</si>
  <si>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</si>
  <si>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</si>
  <si>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</si>
  <si>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</si>
  <si>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</si>
  <si>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</si>
  <si>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</si>
  <si>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</si>
  <si>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</si>
  <si>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</si>
  <si>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</si>
  <si>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</si>
  <si>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</si>
  <si>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</si>
  <si>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</si>
  <si>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</si>
  <si>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</si>
  <si>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</si>
  <si>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</si>
  <si>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</si>
  <si>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</si>
  <si>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</si>
  <si>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</si>
  <si>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</si>
  <si>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</si>
  <si>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</si>
  <si>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</si>
  <si>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</si>
  <si>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</si>
  <si>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</si>
  <si>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</si>
  <si>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</si>
  <si>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</si>
  <si>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</si>
  <si>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</si>
  <si>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</si>
  <si>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</si>
  <si>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</si>
  <si>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</si>
  <si>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</si>
  <si>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Tequila Works</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</si>
  <si>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</si>
  <si>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</si>
  <si>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</si>
  <si>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</si>
  <si>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</si>
  <si>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iWiki</t>
    <phoneticPr fontId="7" type="noConversion"/>
  </si>
  <si>
    <t>yulanouyang</t>
  </si>
  <si>
    <t>Precede Biosciences, Inc., Accugen, Adela</t>
  </si>
  <si>
    <t>Raisin</t>
  </si>
  <si>
    <t>百佳永辉</t>
    <phoneticPr fontId="7" type="noConversion"/>
  </si>
  <si>
    <t>Timesheet &amp; Deals update</t>
  </si>
  <si>
    <t>Term Sheet and bi-weekly deals report</t>
  </si>
  <si>
    <t>美团/京东</t>
    <phoneticPr fontId="7" type="noConversion"/>
  </si>
  <si>
    <t>Communicate with deal team re disposal, conduct MNPI analysis, review and revise IC memo</t>
    <phoneticPr fontId="7" type="noConversion"/>
  </si>
  <si>
    <t>Review IC resolutions</t>
    <phoneticPr fontId="7" type="noConversion"/>
  </si>
  <si>
    <t>Emails with counsel re FDI supplemental questions, discuss re litigation status</t>
    <phoneticPr fontId="7" type="noConversion"/>
  </si>
  <si>
    <t>Discuss with counsel re MNPI and disclosure requiremnt, communicate with company</t>
  </si>
  <si>
    <t>Review Covington's analysis and discuss internally, call with MA</t>
  </si>
  <si>
    <t>NDA</t>
  </si>
  <si>
    <t>Review NRL of BVNK</t>
  </si>
  <si>
    <t>yuolanouyang</t>
  </si>
  <si>
    <t>Participating regular team meetings</t>
  </si>
  <si>
    <t>Bi-weekly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</si>
</sst>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D11" sqref="D11"/>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69</v>
      </c>
      <c r="C4" s="11" t="s">
        <v>16</v>
      </c>
      <c r="D4" s="24" t="s">
        <v>70</v>
      </c>
      <c r="E4" s="8" t="s">
        <v>37</v>
      </c>
      <c r="F4" s="11" t="s">
        <v>71</v>
      </c>
      <c r="G4" s="8">
        <v>0.2</v>
      </c>
      <c r="H4" s="11" t="s">
        <v>20</v>
      </c>
      <c r="I4" s="25" t="s">
        <v>86</v>
      </c>
    </row>
    <row r="5" spans="2:9" ht="38.25">
      <c r="B5" s="13" t="s">
        <v>69</v>
      </c>
      <c r="C5" s="11" t="s">
        <v>14</v>
      </c>
      <c r="D5" s="24" t="s">
        <v>83</v>
      </c>
      <c r="E5" s="8" t="s">
        <v>37</v>
      </c>
      <c r="F5" s="11" t="s">
        <v>71</v>
      </c>
      <c r="G5" s="8">
        <v>7.5</v>
      </c>
      <c r="H5" s="11" t="s">
        <v>20</v>
      </c>
      <c r="I5" s="25" t="s">
        <v>84</v>
      </c>
    </row>
    <row r="6" spans="2:9" ht="38.25">
      <c r="B6" s="13" t="s">
        <v>69</v>
      </c>
      <c r="C6" s="11" t="s">
        <v>14</v>
      </c>
      <c r="D6" s="24" t="s">
        <v>80</v>
      </c>
      <c r="E6" s="8" t="s">
        <v>37</v>
      </c>
      <c r="F6" s="11" t="s">
        <v>71</v>
      </c>
      <c r="G6" s="8">
        <v>2.1</v>
      </c>
      <c r="H6" s="11" t="s">
        <v>20</v>
      </c>
      <c r="I6" s="25" t="s">
        <v>87</v>
      </c>
    </row>
    <row r="7" spans="2:9" ht="38.25">
      <c r="B7" s="13" t="s">
        <v>77</v>
      </c>
      <c r="C7" s="11" t="s">
        <v>16</v>
      </c>
      <c r="D7" s="24" t="s">
        <v>79</v>
      </c>
      <c r="E7" s="8" t="s">
        <v>37</v>
      </c>
      <c r="F7" s="11" t="s">
        <v>71</v>
      </c>
      <c r="G7" s="8">
        <v>0.2</v>
      </c>
      <c r="H7" s="11" t="s">
        <v>20</v>
      </c>
      <c r="I7" s="25" t="s">
        <v>85</v>
      </c>
    </row>
    <row r="8" spans="2:9" ht="38.25">
      <c r="B8" s="13" t="s">
        <v>69</v>
      </c>
      <c r="C8" s="11" t="s">
        <v>14</v>
      </c>
      <c r="D8" s="27" t="s">
        <v>78</v>
      </c>
      <c r="E8" s="8" t="s">
        <v>37</v>
      </c>
      <c r="F8" s="11" t="s">
        <v>71</v>
      </c>
      <c r="G8" s="8">
        <v>1.4</v>
      </c>
      <c r="H8" s="11" t="s">
        <v>27</v>
      </c>
      <c r="I8" s="25" t="s">
        <v>88</v>
      </c>
    </row>
    <row r="9" spans="2:9" ht="38.25">
      <c r="B9" s="13" t="s">
        <v>77</v>
      </c>
      <c r="C9" s="11" t="s">
        <v>16</v>
      </c>
      <c r="D9" s="27" t="s">
        <v>89</v>
      </c>
      <c r="E9" s="8" t="s">
        <v>37</v>
      </c>
      <c r="F9" s="11" t="s">
        <v>71</v>
      </c>
      <c r="G9" s="8">
        <v>0.6</v>
      </c>
      <c r="H9" s="11" t="s">
        <v>20</v>
      </c>
      <c r="I9" s="25" t="s">
        <v>90</v>
      </c>
    </row>
    <row r="10" spans="2:9">
      <c r="B10" s="13" t="s">
        <v>91</v>
      </c>
      <c r="C10" s="11" t="s">
        <v>18</v>
      </c>
      <c r="D10" s="27" t="s">
        <v>93</v>
      </c>
      <c r="E10" s="8" t="s">
        <v>26</v>
      </c>
      <c r="F10" s="11"/>
      <c r="G10" s="8">
        <v>1.5</v>
      </c>
      <c r="H10" s="11" t="s">
        <v>92</v>
      </c>
      <c r="I10" s="25" t="s">
        <v>93</v>
      </c>
    </row>
    <row r="11" spans="2:9" ht="25.5">
      <c r="B11" s="13" t="s">
        <v>69</v>
      </c>
      <c r="C11" s="11" t="s">
        <v>18</v>
      </c>
      <c r="D11" s="24" t="s">
        <v>76</v>
      </c>
      <c r="E11" s="8" t="s">
        <v>26</v>
      </c>
      <c r="F11" s="11"/>
      <c r="G11" s="8">
        <v>0.6</v>
      </c>
      <c r="H11" s="11" t="s">
        <v>26</v>
      </c>
      <c r="I11" s="25" t="s">
        <v>75</v>
      </c>
    </row>
    <row r="12" spans="2:9" ht="25.5">
      <c r="B12" s="13" t="s">
        <v>69</v>
      </c>
      <c r="C12" s="11" t="s">
        <v>18</v>
      </c>
      <c r="D12" s="27" t="s">
        <v>81</v>
      </c>
      <c r="E12" s="8" t="s">
        <v>26</v>
      </c>
      <c r="F12" s="11"/>
      <c r="G12" s="24">
        <v>0.6</v>
      </c>
      <c r="H12" s="11" t="s">
        <v>73</v>
      </c>
      <c r="I12" s="25" t="s">
        <v>82</v>
      </c>
    </row>
    <row r="13" spans="2:9">
      <c r="B13" s="19"/>
      <c r="C13" s="20"/>
      <c r="D13" s="21"/>
      <c r="E13" s="21"/>
      <c r="F13" s="23" t="s">
        <v>64</v>
      </c>
      <c r="G13" s="31">
        <f>SUM(G3:G12)</f>
        <v>14.7</v>
      </c>
      <c r="H13" s="32"/>
      <c r="I13" s="33"/>
    </row>
    <row r="14" spans="2:9" ht="15.75" thickBot="1">
      <c r="B14" s="16"/>
      <c r="C14" s="17"/>
      <c r="D14" s="18"/>
      <c r="E14" s="18"/>
      <c r="F14" s="22" t="s">
        <v>65</v>
      </c>
      <c r="G14" s="28">
        <v>5</v>
      </c>
      <c r="H14" s="29"/>
      <c r="I14" s="30"/>
    </row>
    <row r="15" spans="2:9" ht="15.75" thickTop="1"/>
  </sheetData>
  <mergeCells count="2">
    <mergeCell ref="G14:I14"/>
    <mergeCell ref="G13:I13"/>
  </mergeCells>
  <phoneticPr fontId="7" type="noConversion"/>
  <dataValidations count="2">
    <dataValidation type="list" allowBlank="1" showInputMessage="1" showErrorMessage="1" sqref="H4:H8 H9:H12" xr:uid="{00000000-0002-0000-0000-000000000000}">
      <formula1>hh</formula1>
    </dataValidation>
    <dataValidation type="list" allowBlank="1" showInputMessage="1" showErrorMessage="1" sqref="F4:F8 F9: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E9:E14</xm:sqref>
        </x14:dataValidation>
        <x14:dataValidation type="list" allowBlank="1" showInputMessage="1" showErrorMessage="1" xr:uid="{00000000-0002-0000-0000-000002000000}">
          <x14:formula1>
            <xm:f>数据标签!$B$2:$H$2</xm:f>
          </x14:formula1>
          <xm:sqref>C4:C8 C9:C14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74</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75</v>
      </c>
    </row>
    <row r="7" spans="1:8" ht="38.25">
      <c r="B7" s="3" t="s">
        <v>34</v>
      </c>
      <c r="C7" s="3" t="s">
        <v>34</v>
      </c>
      <c r="D7" s="3" t="s">
        <v>34</v>
      </c>
      <c r="E7" s="3" t="s">
        <v>35</v>
      </c>
      <c r="G7" s="1" t="s">
        <v>26</v>
      </c>
      <c r="H7" s="3" t="s">
        <v>72</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H101626</cp:lastModifiedBy>
  <dcterms:created xsi:type="dcterms:W3CDTF">2024-12-10T02:24:00Z</dcterms:created>
  <dcterms:modified xsi:type="dcterms:W3CDTF">2025-02-18T04:24:55Z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