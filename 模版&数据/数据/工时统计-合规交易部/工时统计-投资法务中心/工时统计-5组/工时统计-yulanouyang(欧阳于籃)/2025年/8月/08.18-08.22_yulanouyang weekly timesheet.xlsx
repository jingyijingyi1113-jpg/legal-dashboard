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Tencent_GO\Desktop\"/>
    </mc:Choice>
  </mc:AlternateContent>
  <xr:revisionPtr revIDLastSave="0" documentId="13_ncr:1_{E9ADF8CB-D749-444E-9C0E-D9BA7FC81EF0}" xr6:coauthVersionLast="47" xr6:coauthVersionMax="47" xr10:uidLastSave="{00000000-0000-0000-0000-000000000000}"/>
  <bookViews>
    <workbookView xWindow="4065" yWindow="720" windowWidth="21600" windowHeight="145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<sst xmlns="http://schemas.openxmlformats.org/spreadsheetml/2006/main" count="207" uniqueCount="104">
  <si>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</si>
  <si>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</si>
  <si>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</si>
  <si>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</si>
  <si>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</si>
  <si>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</si>
  <si>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</si>
  <si>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</si>
  <si>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</si>
  <si>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</si>
  <si>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</si>
  <si>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</si>
  <si>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</si>
  <si>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</si>
  <si>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</si>
  <si>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</si>
  <si>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</si>
  <si>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</si>
  <si>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</si>
  <si>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</si>
  <si>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</si>
  <si>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</si>
  <si>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</si>
  <si>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</si>
  <si>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</si>
  <si>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</si>
  <si>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</si>
  <si>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</si>
  <si>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</si>
  <si>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</si>
  <si>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</si>
  <si>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</si>
  <si>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</si>
  <si>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</si>
  <si>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</si>
  <si>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</si>
  <si>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</si>
  <si>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</si>
  <si>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</si>
  <si>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</si>
  <si>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</si>
  <si>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</si>
  <si>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</si>
  <si>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</si>
  <si>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</si>
  <si>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</si>
  <si>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</si>
  <si>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</si>
  <si>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</si>
  <si>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</si>
  <si>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</si>
  <si>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</si>
  <si>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</si>
  <si>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</si>
  <si>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</si>
  <si>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</si>
  <si>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</si>
  <si>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</si>
  <si>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</si>
  <si>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</si>
  <si>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</si>
  <si>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</si>
  <si>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</si>
  <si>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</si>
  <si>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</si>
  <si>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</si>
  <si>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</si>
  <si>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</si>
  <si>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</si>
  <si>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</si>
  <si>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</si>
  <si>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</si>
  <si>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</si>
  <si>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</si>
  <si>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</si>
  <si>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</si>
  <si>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</si>
  <si>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</si>
  <si>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彩食鲜</t>
  </si>
  <si>
    <t>Research on the exercise of redemption right, discuss with FIN and MA on the compensation options, review shareholders resolutions</t>
  </si>
  <si>
    <t>JD</t>
  </si>
  <si>
    <t>Review and review 2025 BCA</t>
  </si>
  <si>
    <t>安畅</t>
  </si>
  <si>
    <t>Prepare answers to MA's questions on redemption right, discuss redemption clause with the team</t>
  </si>
  <si>
    <t>GoCardless</t>
  </si>
  <si>
    <t>Participating regular team meetings</t>
  </si>
  <si>
    <t>Relevant matters related to engagement of law firms/team's legal fees summary</t>
  </si>
  <si>
    <t xml:space="preserve">Legal fees </t>
  </si>
  <si>
    <t>Attend to bills from legal counsel</t>
  </si>
  <si>
    <t>Discuss with MA regarding potential merger of the company, review Term Sheet</t>
  </si>
  <si>
    <t>Adcentrx</t>
    <phoneticPr fontId="7" type="noConversion"/>
  </si>
  <si>
    <t>重点公司法务评审会宣讲</t>
  </si>
  <si>
    <t>Upvest</t>
  </si>
  <si>
    <t>Review shareholders resolutions</t>
  </si>
  <si>
    <t>Neo</t>
  </si>
  <si>
    <t>控股和重点投资公司法务风险管理 Legal risk management for controlled and key invested portfolios</t>
  </si>
  <si>
    <t>Attend all parties call regarding status update, discuss with team</t>
  </si>
  <si>
    <t>Review IC resolutions on divestments</t>
  </si>
  <si>
    <t>D3Bio</t>
  </si>
  <si>
    <t>New investment, attend to DD and transaction documents</t>
  </si>
  <si>
    <t>百佳永辉</t>
  </si>
  <si>
    <t>Review legal opinion on postpone of put option, prepare SHA and AOA amendments</t>
  </si>
  <si>
    <t>Omnipresent</t>
  </si>
  <si>
    <t>Review Term Sheet and other documents for the proposed merger of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</si>
</sst>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 zoomScaleNormal="100" workbookViewId="0">
      <selection activeCell="H21" sqref="H21"/>
    </sheetView>
  </sheetViews>
  <sheetFormatPr defaultColWidth="9" defaultRowHeight="15"/>
  <cols>
    <col min="3" max="3" width="34.285156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16</v>
      </c>
      <c r="D4" s="24" t="s">
        <v>90</v>
      </c>
      <c r="E4" s="8" t="s">
        <v>37</v>
      </c>
      <c r="F4" s="11" t="s">
        <v>70</v>
      </c>
      <c r="G4" s="8">
        <v>0.3</v>
      </c>
      <c r="H4" s="11" t="s">
        <v>20</v>
      </c>
      <c r="I4" s="25" t="s">
        <v>93</v>
      </c>
    </row>
    <row r="5" spans="2:9" ht="38.25">
      <c r="B5" s="13"/>
      <c r="C5" s="11" t="s">
        <v>14</v>
      </c>
      <c r="D5" s="24" t="s">
        <v>98</v>
      </c>
      <c r="E5" s="8" t="s">
        <v>37</v>
      </c>
      <c r="F5" s="11" t="s">
        <v>70</v>
      </c>
      <c r="G5" s="8">
        <v>4.5</v>
      </c>
      <c r="H5" s="11" t="s">
        <v>20</v>
      </c>
      <c r="I5" s="25" t="s">
        <v>99</v>
      </c>
    </row>
    <row r="6" spans="2:9" ht="38.25">
      <c r="B6" s="13"/>
      <c r="C6" s="11" t="s">
        <v>16</v>
      </c>
      <c r="D6" s="24" t="s">
        <v>100</v>
      </c>
      <c r="E6" s="8" t="s">
        <v>37</v>
      </c>
      <c r="F6" s="11" t="s">
        <v>70</v>
      </c>
      <c r="G6" s="8">
        <v>1.2</v>
      </c>
      <c r="H6" s="11" t="s">
        <v>20</v>
      </c>
      <c r="I6" s="25" t="s">
        <v>101</v>
      </c>
    </row>
    <row r="7" spans="2:9" ht="38.25">
      <c r="B7" s="13" t="s">
        <v>75</v>
      </c>
      <c r="C7" s="11" t="s">
        <v>16</v>
      </c>
      <c r="D7" s="24" t="s">
        <v>80</v>
      </c>
      <c r="E7" s="8" t="s">
        <v>37</v>
      </c>
      <c r="F7" s="11" t="s">
        <v>70</v>
      </c>
      <c r="G7" s="8">
        <v>6.5</v>
      </c>
      <c r="H7" s="11" t="s">
        <v>20</v>
      </c>
      <c r="I7" s="25" t="s">
        <v>81</v>
      </c>
    </row>
    <row r="8" spans="2:9" ht="38.25">
      <c r="B8" s="13" t="s">
        <v>75</v>
      </c>
      <c r="C8" s="11" t="s">
        <v>14</v>
      </c>
      <c r="D8" s="24" t="s">
        <v>80</v>
      </c>
      <c r="E8" s="8" t="s">
        <v>37</v>
      </c>
      <c r="F8" s="11" t="s">
        <v>70</v>
      </c>
      <c r="G8" s="8">
        <v>0.5</v>
      </c>
      <c r="H8" s="11" t="s">
        <v>20</v>
      </c>
      <c r="I8" s="25" t="s">
        <v>97</v>
      </c>
    </row>
    <row r="9" spans="2:9" ht="38.25">
      <c r="B9" s="13" t="s">
        <v>75</v>
      </c>
      <c r="C9" s="11" t="s">
        <v>16</v>
      </c>
      <c r="D9" s="24" t="s">
        <v>92</v>
      </c>
      <c r="E9" s="8" t="s">
        <v>37</v>
      </c>
      <c r="F9" s="11" t="s">
        <v>70</v>
      </c>
      <c r="G9" s="8">
        <v>0.5</v>
      </c>
      <c r="H9" s="11" t="s">
        <v>20</v>
      </c>
      <c r="I9" s="25" t="s">
        <v>93</v>
      </c>
    </row>
    <row r="10" spans="2:9" ht="38.25">
      <c r="B10" s="13" t="s">
        <v>69</v>
      </c>
      <c r="C10" s="11" t="s">
        <v>14</v>
      </c>
      <c r="D10" s="24" t="s">
        <v>102</v>
      </c>
      <c r="E10" s="8" t="s">
        <v>37</v>
      </c>
      <c r="F10" s="11" t="s">
        <v>70</v>
      </c>
      <c r="G10" s="8">
        <v>4.2</v>
      </c>
      <c r="H10" s="11" t="s">
        <v>20</v>
      </c>
      <c r="I10" s="25" t="s">
        <v>103</v>
      </c>
    </row>
    <row r="11" spans="2:9" ht="38.25">
      <c r="B11" s="13" t="s">
        <v>69</v>
      </c>
      <c r="C11" s="11" t="s">
        <v>14</v>
      </c>
      <c r="D11" s="24" t="s">
        <v>82</v>
      </c>
      <c r="E11" s="8" t="s">
        <v>37</v>
      </c>
      <c r="F11" s="11" t="s">
        <v>70</v>
      </c>
      <c r="G11" s="8">
        <v>8</v>
      </c>
      <c r="H11" s="11" t="s">
        <v>20</v>
      </c>
      <c r="I11" s="25" t="s">
        <v>83</v>
      </c>
    </row>
    <row r="12" spans="2:9" ht="38.25">
      <c r="B12" s="13" t="s">
        <v>69</v>
      </c>
      <c r="C12" s="11" t="s">
        <v>15</v>
      </c>
      <c r="D12" s="27" t="s">
        <v>78</v>
      </c>
      <c r="E12" s="8" t="s">
        <v>37</v>
      </c>
      <c r="F12" s="11" t="s">
        <v>70</v>
      </c>
      <c r="G12" s="8">
        <v>2</v>
      </c>
      <c r="H12" s="11" t="s">
        <v>20</v>
      </c>
      <c r="I12" s="25" t="s">
        <v>79</v>
      </c>
    </row>
    <row r="13" spans="2:9" ht="38.25">
      <c r="B13" s="13" t="s">
        <v>75</v>
      </c>
      <c r="C13" s="11" t="s">
        <v>16</v>
      </c>
      <c r="D13" s="27" t="s">
        <v>94</v>
      </c>
      <c r="E13" s="8" t="s">
        <v>37</v>
      </c>
      <c r="F13" s="11" t="s">
        <v>70</v>
      </c>
      <c r="G13" s="8">
        <v>1.1000000000000001</v>
      </c>
      <c r="H13" s="11" t="s">
        <v>26</v>
      </c>
      <c r="I13" s="25" t="s">
        <v>96</v>
      </c>
    </row>
    <row r="14" spans="2:9" ht="38.25">
      <c r="B14" s="13" t="s">
        <v>75</v>
      </c>
      <c r="C14" s="11" t="s">
        <v>14</v>
      </c>
      <c r="D14" s="27" t="s">
        <v>84</v>
      </c>
      <c r="E14" s="8" t="s">
        <v>37</v>
      </c>
      <c r="F14" s="11" t="s">
        <v>70</v>
      </c>
      <c r="G14" s="8">
        <v>2</v>
      </c>
      <c r="H14" s="11" t="s">
        <v>34</v>
      </c>
      <c r="I14" s="25" t="s">
        <v>89</v>
      </c>
    </row>
    <row r="15" spans="2:9" ht="51">
      <c r="B15" s="13" t="s">
        <v>75</v>
      </c>
      <c r="C15" s="11" t="s">
        <v>18</v>
      </c>
      <c r="D15" s="27" t="s">
        <v>91</v>
      </c>
      <c r="E15" s="8" t="s">
        <v>37</v>
      </c>
      <c r="F15" s="11" t="s">
        <v>95</v>
      </c>
      <c r="G15" s="8">
        <v>0.5</v>
      </c>
      <c r="H15" s="11" t="s">
        <v>85</v>
      </c>
      <c r="I15" s="25"/>
    </row>
    <row r="16" spans="2:9" ht="25.5">
      <c r="B16" s="13" t="s">
        <v>75</v>
      </c>
      <c r="C16" s="11" t="s">
        <v>18</v>
      </c>
      <c r="D16" s="27" t="s">
        <v>87</v>
      </c>
      <c r="E16" s="8" t="s">
        <v>26</v>
      </c>
      <c r="F16" s="11"/>
      <c r="G16" s="8">
        <v>0.2</v>
      </c>
      <c r="H16" s="11" t="s">
        <v>86</v>
      </c>
      <c r="I16" s="25" t="s">
        <v>88</v>
      </c>
    </row>
    <row r="17" spans="2:9" ht="25.5">
      <c r="B17" s="13" t="s">
        <v>69</v>
      </c>
      <c r="C17" s="11" t="s">
        <v>18</v>
      </c>
      <c r="D17" s="27" t="s">
        <v>76</v>
      </c>
      <c r="E17" s="8" t="s">
        <v>26</v>
      </c>
      <c r="F17" s="11"/>
      <c r="G17" s="24">
        <v>0.5</v>
      </c>
      <c r="H17" s="11" t="s">
        <v>72</v>
      </c>
      <c r="I17" s="25" t="s">
        <v>77</v>
      </c>
    </row>
    <row r="18" spans="2:9">
      <c r="B18" s="19"/>
      <c r="C18" s="20"/>
      <c r="D18" s="21"/>
      <c r="E18" s="21"/>
      <c r="F18" s="23" t="s">
        <v>64</v>
      </c>
      <c r="G18" s="31">
        <f>SUM(G3:G17)</f>
        <v>32</v>
      </c>
      <c r="H18" s="32"/>
      <c r="I18" s="33"/>
    </row>
    <row r="19" spans="2:9" ht="15.75" thickBot="1">
      <c r="B19" s="16"/>
      <c r="C19" s="17"/>
      <c r="D19" s="18"/>
      <c r="E19" s="18"/>
      <c r="F19" s="22" t="s">
        <v>65</v>
      </c>
      <c r="G19" s="28">
        <v>5</v>
      </c>
      <c r="H19" s="29"/>
      <c r="I19" s="30"/>
    </row>
    <row r="20" spans="2:9" ht="15.7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2025-08-25T02:18:29Z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