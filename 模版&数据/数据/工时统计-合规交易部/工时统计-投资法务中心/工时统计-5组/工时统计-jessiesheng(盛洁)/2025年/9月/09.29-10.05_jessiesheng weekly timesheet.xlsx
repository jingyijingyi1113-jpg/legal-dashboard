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0DE5C0FC-68E5-824A-B67B-07A706AB59B8}"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<sst xmlns="http://schemas.openxmlformats.org/spreadsheetml/2006/main" count="141" uniqueCount="79">
  <si>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</si>
  <si>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</si>
  <si>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</si>
  <si>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</si>
  <si>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</si>
  <si>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</si>
  <si>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</si>
  <si>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</si>
  <si>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</si>
  <si>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</si>
  <si>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</si>
  <si>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</si>
  <si>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</si>
  <si>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</si>
  <si>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</si>
  <si>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</si>
  <si>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</si>
  <si>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</si>
  <si>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</si>
  <si>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</si>
  <si>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</si>
  <si>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</si>
  <si>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</si>
  <si>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</si>
  <si>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</si>
  <si>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</si>
  <si>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</si>
  <si>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</si>
  <si>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</si>
  <si>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</si>
  <si>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</si>
  <si>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</si>
  <si>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</si>
  <si>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</si>
  <si>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</si>
  <si>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</si>
  <si>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</si>
  <si>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</si>
  <si>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</si>
  <si>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</si>
  <si>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</si>
  <si>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</si>
  <si>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</si>
  <si>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</si>
  <si>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</si>
  <si>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</si>
  <si>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</si>
  <si>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</si>
  <si>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</si>
  <si>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</si>
  <si>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</si>
  <si>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</si>
  <si>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</si>
  <si>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</si>
  <si>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</si>
  <si>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</si>
  <si>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</si>
  <si>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</si>
  <si>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</si>
  <si>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</si>
  <si>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</si>
  <si>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</si>
  <si>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</si>
  <si>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</si>
  <si>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</si>
  <si>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</si>
  <si>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</si>
  <si>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</si>
  <si>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</si>
  <si>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</si>
  <si>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</si>
  <si>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</si>
  <si>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</si>
  <si>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</si>
  <si>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</si>
  <si>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鲲为科技</t>
    <phoneticPr fontId="7" type="noConversion"/>
  </si>
  <si>
    <t>Public - Knowledge Accumulation &amp; Sharing</t>
  </si>
  <si>
    <t>Monolith II</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</si>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</sst>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125" zoomScaleNormal="100" workbookViewId="0">
      <selection activeCell="H13" sqref="H13"/>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1</v>
      </c>
      <c r="H4" s="10" t="s">
        <v>20</v>
      </c>
      <c r="I4" s="22"/>
    </row>
    <row r="5" spans="2:9" ht="28">
      <c r="B5" s="20" t="s">
        <v>72</v>
      </c>
      <c r="C5" s="10" t="s">
        <v>14</v>
      </c>
      <c r="D5" s="21" t="s">
        <v>77</v>
      </c>
      <c r="E5" s="10" t="s">
        <v>40</v>
      </c>
      <c r="F5" s="10" t="s">
        <v>73</v>
      </c>
      <c r="G5" s="10">
        <v>2.2000000000000002</v>
      </c>
      <c r="H5" s="10" t="s">
        <v>20</v>
      </c>
      <c r="I5" s="22"/>
    </row>
    <row r="6" spans="2:9" ht="28">
      <c r="B6" s="20" t="s">
        <v>72</v>
      </c>
      <c r="C6" s="10" t="s">
        <v>16</v>
      </c>
      <c r="D6" s="21" t="s">
        <v>78</v>
      </c>
      <c r="E6" s="10" t="s">
        <v>40</v>
      </c>
      <c r="F6" s="10" t="s">
        <v>73</v>
      </c>
      <c r="G6" s="10">
        <v>0.4</v>
      </c>
      <c r="H6" s="10" t="s">
        <v>20</v>
      </c>
      <c r="I6" s="18"/>
    </row>
    <row r="7" spans="2:9" ht="28">
      <c r="B7" s="20" t="s">
        <v>72</v>
      </c>
      <c r="C7" s="10" t="s">
        <v>76</v>
      </c>
      <c r="D7" s="21"/>
      <c r="E7" s="10" t="s">
        <v>40</v>
      </c>
      <c r="F7" s="10" t="s">
        <v>73</v>
      </c>
      <c r="G7" s="10">
        <v>11.2</v>
      </c>
      <c r="H7" s="10" t="s">
        <v>23</v>
      </c>
      <c r="I7" s="18"/>
    </row>
    <row r="8" spans="2:9" ht="28">
      <c r="B8" s="20" t="s">
        <v>72</v>
      </c>
      <c r="C8" s="10" t="s">
        <v>18</v>
      </c>
      <c r="D8" s="10"/>
      <c r="E8" s="10" t="s">
        <v>27</v>
      </c>
      <c r="F8" s="10"/>
      <c r="G8" s="10">
        <v>0.7</v>
      </c>
      <c r="H8" s="10" t="s">
        <v>74</v>
      </c>
      <c r="I8" s="22"/>
    </row>
    <row r="9" spans="2:9">
      <c r="B9" s="23"/>
      <c r="C9" s="15"/>
      <c r="D9" s="15"/>
      <c r="E9" s="15"/>
      <c r="F9" s="17" t="s">
        <v>67</v>
      </c>
      <c r="G9" s="28">
        <f>SUM(G3:G8)</f>
        <v>15.499999999999998</v>
      </c>
      <c r="H9" s="29"/>
      <c r="I9" s="30"/>
    </row>
    <row r="10" spans="2:9" ht="16" thickBot="1">
      <c r="B10" s="24"/>
      <c r="C10" s="14"/>
      <c r="D10" s="14"/>
      <c r="E10" s="14"/>
      <c r="F10" s="16" t="s">
        <v>68</v>
      </c>
      <c r="G10" s="25">
        <v>2</v>
      </c>
      <c r="H10" s="26"/>
      <c r="I10" s="27"/>
    </row>
    <row r="11" spans="2:9" ht="16"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2025-10-09T09:25:15Z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