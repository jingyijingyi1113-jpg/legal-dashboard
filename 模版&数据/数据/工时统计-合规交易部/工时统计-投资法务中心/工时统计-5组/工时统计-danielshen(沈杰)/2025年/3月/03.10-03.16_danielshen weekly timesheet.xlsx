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danielshen\Desktop\CTD周报\Mar 2025\"/>
    </mc:Choice>
  </mc:AlternateContent>
  <xr:revisionPtr revIDLastSave="0" documentId="13_ncr:1_{3E78C79F-CD2B-4CC6-83EA-7151760BB710}" xr6:coauthVersionLast="47" xr6:coauthVersionMax="47" xr10:uidLastSave="{00000000-0000-0000-0000-000000000000}"/>
  <bookViews>
    <workbookView xWindow="-93" yWindow="-93" windowWidth="25786" windowHeight="1386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<sst xmlns="http://schemas.openxmlformats.org/spreadsheetml/2006/main" count="236" uniqueCount="95">
  <si>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</si>
  <si>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</si>
  <si>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</si>
  <si>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</si>
  <si>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</si>
  <si>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</si>
  <si>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</si>
  <si>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</si>
  <si>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</si>
  <si>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</si>
  <si>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</si>
  <si>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</si>
  <si>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</si>
  <si>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</si>
  <si>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</si>
  <si>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</si>
  <si>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</si>
  <si>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</si>
  <si>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</si>
  <si>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</si>
  <si>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</si>
  <si>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</si>
  <si>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</si>
  <si>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</si>
  <si>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</si>
  <si>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</si>
  <si>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</si>
  <si>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</si>
  <si>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</si>
  <si>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</si>
  <si>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</si>
  <si>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</si>
  <si>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</si>
  <si>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</si>
  <si>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</si>
  <si>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</si>
  <si>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</si>
  <si>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</si>
  <si>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</si>
  <si>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</si>
  <si>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</si>
  <si>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</si>
  <si>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</si>
  <si>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</si>
  <si>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</si>
  <si>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</si>
  <si>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</si>
  <si>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</si>
  <si>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</si>
  <si>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</si>
  <si>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</si>
  <si>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</si>
  <si>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</si>
  <si>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</si>
  <si>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</si>
  <si>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</si>
  <si>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</si>
  <si>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</si>
  <si>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</si>
  <si>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</si>
  <si>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</si>
  <si>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</si>
  <si>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</si>
  <si>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</si>
  <si>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</si>
  <si>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</si>
  <si>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</si>
  <si>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</si>
  <si>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</si>
  <si>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</si>
  <si>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</si>
  <si>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</si>
  <si>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</si>
  <si>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</si>
  <si>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Public - Knowledge Accumulation &amp; Sharing</t>
  </si>
  <si>
    <t>Ubisoft</t>
    <phoneticPr fontId="7" type="noConversion"/>
  </si>
  <si>
    <t>杨宇基金</t>
    <phoneticPr fontId="7" type="noConversion"/>
  </si>
  <si>
    <t>Supercell</t>
    <phoneticPr fontId="7" type="noConversion"/>
  </si>
  <si>
    <t>好大夫</t>
    <phoneticPr fontId="7" type="noConversion"/>
  </si>
  <si>
    <t>燧原科技</t>
    <phoneticPr fontId="7" type="noConversion"/>
  </si>
  <si>
    <t>中国联通</t>
    <phoneticPr fontId="7" type="noConversion"/>
  </si>
  <si>
    <t>马记永</t>
    <phoneticPr fontId="7" type="noConversion"/>
  </si>
  <si>
    <t>FOF 认缴审批，LPA修订等</t>
    <phoneticPr fontId="7" type="noConversion"/>
  </si>
  <si>
    <t>执业管理平台体系完善 Perfection of the professional management platform</t>
  </si>
  <si>
    <t>精细化管理工具搭建 Adoption of refined management tools</t>
  </si>
  <si>
    <t>科拓</t>
    <phoneticPr fontId="7" type="noConversion"/>
  </si>
  <si>
    <t>投后风险管理-投后行动库之分红专题</t>
    <phoneticPr fontId="7" type="noConversion"/>
  </si>
  <si>
    <t>Flipdish</t>
    <phoneticPr fontId="7" type="noConversion"/>
  </si>
  <si>
    <t>斗鱼</t>
    <phoneticPr fontId="7" type="noConversion"/>
  </si>
  <si>
    <t>245 例会</t>
    <phoneticPr fontId="7" type="noConversion"/>
  </si>
  <si>
    <t>乐刻</t>
    <phoneticPr fontId="7" type="noConversion"/>
  </si>
  <si>
    <t>Earlybird</t>
    <phoneticPr fontId="7" type="noConversion"/>
  </si>
  <si>
    <t>Ozow</t>
    <phoneticPr fontId="7" type="noConversion"/>
  </si>
  <si>
    <t>回购讨论和备忘录修订</t>
    <phoneticPr fontId="7" type="noConversion"/>
  </si>
  <si>
    <t>FOF架构讨论</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</si>
</sst>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11" zoomScale="85" zoomScaleNormal="85" workbookViewId="0">
      <selection activeCell="I21" sqref="B4:I21"/>
    </sheetView>
  </sheetViews>
  <sheetFormatPr defaultColWidth="9" defaultRowHeight="14" x14ac:dyDescent="0.45"/>
  <cols>
    <col min="3" max="3" width="34.41015625" style="11" customWidth="1"/>
    <col min="4" max="4" width="15.1171875" customWidth="1"/>
    <col min="5" max="5" width="10.52734375" customWidth="1"/>
    <col min="6" max="6" width="29.87890625" style="11" customWidth="1"/>
    <col min="8" max="8" width="41.52734375" style="11" customWidth="1"/>
    <col min="9" max="9" width="39.87890625" customWidth="1"/>
  </cols>
  <sheetData>
    <row r="2" spans="2:9" ht="25.35" x14ac:dyDescent="0.45">
      <c r="B2" s="4" t="s">
        <v>0</v>
      </c>
      <c r="C2" s="5" t="s">
        <v>70</v>
      </c>
      <c r="D2" s="5" t="s">
        <v>1</v>
      </c>
      <c r="E2" s="5" t="s">
        <v>2</v>
      </c>
      <c r="F2" s="5" t="s">
        <v>3</v>
      </c>
      <c r="G2" s="5" t="s">
        <v>4</v>
      </c>
      <c r="H2" s="5" t="s">
        <v>5</v>
      </c>
      <c r="I2" s="8" t="s">
        <v>6</v>
      </c>
    </row>
    <row r="3" spans="2:9" ht="207.95" customHeight="1" x14ac:dyDescent="0.45">
      <c r="B3" s="6" t="s">
        <v>7</v>
      </c>
      <c r="C3" s="7" t="s">
        <v>8</v>
      </c>
      <c r="D3" s="7" t="s">
        <v>9</v>
      </c>
      <c r="E3" s="7" t="s">
        <v>59</v>
      </c>
      <c r="F3" s="7" t="s">
        <v>57</v>
      </c>
      <c r="G3" s="7" t="s">
        <v>10</v>
      </c>
      <c r="H3" s="7" t="s">
        <v>11</v>
      </c>
      <c r="I3" s="9" t="s">
        <v>12</v>
      </c>
    </row>
    <row r="4" spans="2:9" ht="38" x14ac:dyDescent="0.45">
      <c r="B4" s="32" t="s">
        <v>72</v>
      </c>
      <c r="C4" s="24" t="s">
        <v>74</v>
      </c>
      <c r="D4" s="31"/>
      <c r="E4" s="29" t="s">
        <v>40</v>
      </c>
      <c r="F4" s="27" t="s">
        <v>83</v>
      </c>
      <c r="G4" s="30">
        <v>2</v>
      </c>
      <c r="H4" s="27" t="s">
        <v>27</v>
      </c>
      <c r="I4" s="28" t="s">
        <v>86</v>
      </c>
    </row>
    <row r="5" spans="2:9" ht="38" x14ac:dyDescent="0.45">
      <c r="B5" s="32" t="s">
        <v>72</v>
      </c>
      <c r="C5" s="24" t="s">
        <v>74</v>
      </c>
      <c r="D5" s="31"/>
      <c r="E5" s="29" t="s">
        <v>40</v>
      </c>
      <c r="F5" s="27" t="s">
        <v>83</v>
      </c>
      <c r="G5" s="30">
        <v>2</v>
      </c>
      <c r="H5" s="27" t="s">
        <v>27</v>
      </c>
      <c r="I5" s="28" t="s">
        <v>89</v>
      </c>
    </row>
    <row r="6" spans="2:9" ht="25.35" x14ac:dyDescent="0.45">
      <c r="B6" s="32" t="s">
        <v>72</v>
      </c>
      <c r="C6" s="24" t="s">
        <v>18</v>
      </c>
      <c r="D6" s="31"/>
      <c r="E6" s="29" t="s">
        <v>40</v>
      </c>
      <c r="F6" s="27" t="s">
        <v>84</v>
      </c>
      <c r="G6" s="30">
        <v>1.5</v>
      </c>
      <c r="H6" s="27" t="s">
        <v>27</v>
      </c>
      <c r="I6" s="28" t="s">
        <v>94</v>
      </c>
    </row>
    <row r="7" spans="2:9" ht="25.35" x14ac:dyDescent="0.45">
      <c r="B7" s="32" t="s">
        <v>72</v>
      </c>
      <c r="C7" s="24" t="s">
        <v>74</v>
      </c>
      <c r="D7" s="31"/>
      <c r="E7" s="29" t="s">
        <v>40</v>
      </c>
      <c r="F7" s="27" t="s">
        <v>73</v>
      </c>
      <c r="G7" s="30">
        <v>3</v>
      </c>
      <c r="H7" s="27" t="s">
        <v>22</v>
      </c>
      <c r="I7" s="28" t="s">
        <v>93</v>
      </c>
    </row>
    <row r="8" spans="2:9" ht="25.35" x14ac:dyDescent="0.45">
      <c r="B8" s="32" t="s">
        <v>72</v>
      </c>
      <c r="C8" s="24" t="s">
        <v>14</v>
      </c>
      <c r="D8" s="31" t="s">
        <v>56</v>
      </c>
      <c r="E8" s="25" t="s">
        <v>40</v>
      </c>
      <c r="F8" s="24" t="s">
        <v>73</v>
      </c>
      <c r="G8" s="26">
        <v>2.5</v>
      </c>
      <c r="H8" s="24" t="s">
        <v>27</v>
      </c>
      <c r="I8" s="28" t="s">
        <v>82</v>
      </c>
    </row>
    <row r="9" spans="2:9" ht="25.35" x14ac:dyDescent="0.45">
      <c r="B9" s="32" t="s">
        <v>72</v>
      </c>
      <c r="C9" s="24" t="s">
        <v>14</v>
      </c>
      <c r="D9" s="31" t="s">
        <v>77</v>
      </c>
      <c r="E9" s="29" t="s">
        <v>40</v>
      </c>
      <c r="F9" s="27" t="s">
        <v>73</v>
      </c>
      <c r="G9" s="30">
        <v>1</v>
      </c>
      <c r="H9" s="27" t="s">
        <v>20</v>
      </c>
      <c r="I9" s="28" t="s">
        <v>56</v>
      </c>
    </row>
    <row r="10" spans="2:9" ht="25.35" x14ac:dyDescent="0.45">
      <c r="B10" s="32" t="s">
        <v>72</v>
      </c>
      <c r="C10" s="24" t="s">
        <v>14</v>
      </c>
      <c r="D10" s="31" t="s">
        <v>92</v>
      </c>
      <c r="E10" s="29" t="s">
        <v>40</v>
      </c>
      <c r="F10" s="27" t="s">
        <v>73</v>
      </c>
      <c r="G10" s="30">
        <v>1.5</v>
      </c>
      <c r="H10" s="27" t="s">
        <v>20</v>
      </c>
      <c r="I10" s="28" t="s">
        <v>56</v>
      </c>
    </row>
    <row r="11" spans="2:9" ht="25.35" x14ac:dyDescent="0.45">
      <c r="B11" s="32" t="s">
        <v>72</v>
      </c>
      <c r="C11" s="24" t="s">
        <v>14</v>
      </c>
      <c r="D11" s="31" t="s">
        <v>91</v>
      </c>
      <c r="E11" s="29" t="s">
        <v>40</v>
      </c>
      <c r="F11" s="27" t="s">
        <v>73</v>
      </c>
      <c r="G11" s="30">
        <v>1</v>
      </c>
      <c r="H11" s="27" t="s">
        <v>20</v>
      </c>
      <c r="I11" s="28" t="s">
        <v>56</v>
      </c>
    </row>
    <row r="12" spans="2:9" ht="25.35" x14ac:dyDescent="0.45">
      <c r="B12" s="32" t="s">
        <v>72</v>
      </c>
      <c r="C12" s="24" t="s">
        <v>14</v>
      </c>
      <c r="D12" s="31" t="s">
        <v>75</v>
      </c>
      <c r="E12" s="29" t="s">
        <v>40</v>
      </c>
      <c r="F12" s="27" t="s">
        <v>73</v>
      </c>
      <c r="G12" s="30">
        <v>25</v>
      </c>
      <c r="H12" s="27" t="s">
        <v>20</v>
      </c>
      <c r="I12" s="28" t="s">
        <v>56</v>
      </c>
    </row>
    <row r="13" spans="2:9" ht="25.35" x14ac:dyDescent="0.45">
      <c r="B13" s="32" t="s">
        <v>72</v>
      </c>
      <c r="C13" s="24" t="s">
        <v>14</v>
      </c>
      <c r="D13" s="31" t="s">
        <v>76</v>
      </c>
      <c r="E13" s="25" t="s">
        <v>40</v>
      </c>
      <c r="F13" s="24" t="s">
        <v>73</v>
      </c>
      <c r="G13" s="26">
        <v>1</v>
      </c>
      <c r="H13" s="24" t="s">
        <v>20</v>
      </c>
      <c r="I13" s="28" t="s">
        <v>56</v>
      </c>
    </row>
    <row r="14" spans="2:9" ht="25.35" x14ac:dyDescent="0.45">
      <c r="B14" s="32" t="s">
        <v>72</v>
      </c>
      <c r="C14" s="24" t="s">
        <v>14</v>
      </c>
      <c r="D14" s="31" t="s">
        <v>88</v>
      </c>
      <c r="E14" s="25" t="s">
        <v>40</v>
      </c>
      <c r="F14" s="24" t="s">
        <v>73</v>
      </c>
      <c r="G14" s="26">
        <v>1.5</v>
      </c>
      <c r="H14" s="24" t="s">
        <v>27</v>
      </c>
      <c r="I14" s="28" t="s">
        <v>56</v>
      </c>
    </row>
    <row r="15" spans="2:9" ht="25.35" x14ac:dyDescent="0.45">
      <c r="B15" s="32" t="s">
        <v>72</v>
      </c>
      <c r="C15" s="24" t="s">
        <v>14</v>
      </c>
      <c r="D15" s="31" t="s">
        <v>80</v>
      </c>
      <c r="E15" s="25" t="s">
        <v>40</v>
      </c>
      <c r="F15" s="24" t="s">
        <v>73</v>
      </c>
      <c r="G15" s="26">
        <v>1</v>
      </c>
      <c r="H15" s="24" t="s">
        <v>20</v>
      </c>
      <c r="I15" s="28" t="s">
        <v>56</v>
      </c>
    </row>
    <row r="16" spans="2:9" ht="25.35" x14ac:dyDescent="0.45">
      <c r="B16" s="32" t="s">
        <v>72</v>
      </c>
      <c r="C16" s="24" t="s">
        <v>14</v>
      </c>
      <c r="D16" s="31" t="s">
        <v>87</v>
      </c>
      <c r="E16" s="25" t="s">
        <v>40</v>
      </c>
      <c r="F16" s="24" t="s">
        <v>73</v>
      </c>
      <c r="G16" s="26">
        <v>2</v>
      </c>
      <c r="H16" s="24" t="s">
        <v>20</v>
      </c>
      <c r="I16" s="28" t="s">
        <v>56</v>
      </c>
    </row>
    <row r="17" spans="2:9" ht="25.35" x14ac:dyDescent="0.45">
      <c r="B17" s="32" t="s">
        <v>72</v>
      </c>
      <c r="C17" s="24" t="s">
        <v>14</v>
      </c>
      <c r="D17" s="31" t="s">
        <v>78</v>
      </c>
      <c r="E17" s="25" t="s">
        <v>40</v>
      </c>
      <c r="F17" s="24" t="s">
        <v>73</v>
      </c>
      <c r="G17" s="26">
        <v>1</v>
      </c>
      <c r="H17" s="24" t="s">
        <v>36</v>
      </c>
      <c r="I17" s="28" t="s">
        <v>56</v>
      </c>
    </row>
    <row r="18" spans="2:9" ht="25.35" x14ac:dyDescent="0.45">
      <c r="B18" s="32" t="s">
        <v>72</v>
      </c>
      <c r="C18" s="24" t="s">
        <v>15</v>
      </c>
      <c r="D18" s="31" t="s">
        <v>81</v>
      </c>
      <c r="E18" s="25" t="s">
        <v>40</v>
      </c>
      <c r="F18" s="24" t="s">
        <v>73</v>
      </c>
      <c r="G18" s="26">
        <v>1</v>
      </c>
      <c r="H18" s="24" t="s">
        <v>20</v>
      </c>
      <c r="I18" s="28" t="s">
        <v>56</v>
      </c>
    </row>
    <row r="19" spans="2:9" ht="25.35" x14ac:dyDescent="0.45">
      <c r="B19" s="32" t="s">
        <v>72</v>
      </c>
      <c r="C19" s="24" t="s">
        <v>15</v>
      </c>
      <c r="D19" s="31" t="s">
        <v>85</v>
      </c>
      <c r="E19" s="25" t="s">
        <v>40</v>
      </c>
      <c r="F19" s="24" t="s">
        <v>73</v>
      </c>
      <c r="G19" s="26">
        <v>1</v>
      </c>
      <c r="H19" s="24" t="s">
        <v>20</v>
      </c>
      <c r="I19" s="28" t="s">
        <v>56</v>
      </c>
    </row>
    <row r="20" spans="2:9" ht="25.35" x14ac:dyDescent="0.45">
      <c r="B20" s="32" t="s">
        <v>72</v>
      </c>
      <c r="C20" s="24" t="s">
        <v>15</v>
      </c>
      <c r="D20" s="31" t="s">
        <v>90</v>
      </c>
      <c r="E20" s="25" t="s">
        <v>40</v>
      </c>
      <c r="F20" s="24" t="s">
        <v>73</v>
      </c>
      <c r="G20" s="26">
        <v>1.5</v>
      </c>
      <c r="H20" s="24" t="s">
        <v>20</v>
      </c>
      <c r="I20" s="28" t="s">
        <v>56</v>
      </c>
    </row>
    <row r="21" spans="2:9" ht="25.35" x14ac:dyDescent="0.45">
      <c r="B21" s="32" t="s">
        <v>72</v>
      </c>
      <c r="C21" s="24" t="s">
        <v>15</v>
      </c>
      <c r="D21" s="31" t="s">
        <v>79</v>
      </c>
      <c r="E21" s="25" t="s">
        <v>40</v>
      </c>
      <c r="F21" s="24" t="s">
        <v>73</v>
      </c>
      <c r="G21" s="26">
        <v>2</v>
      </c>
      <c r="H21" s="24" t="s">
        <v>20</v>
      </c>
      <c r="I21" s="28" t="s">
        <v>56</v>
      </c>
    </row>
    <row r="22" spans="2:9" x14ac:dyDescent="0.45">
      <c r="B22" s="19"/>
      <c r="C22" s="20"/>
      <c r="D22" s="21"/>
      <c r="E22" s="21"/>
      <c r="F22" s="23" t="s">
        <v>67</v>
      </c>
      <c r="G22" s="36">
        <f>SUM(G3:G21)</f>
        <v>51.5</v>
      </c>
      <c r="H22" s="37"/>
      <c r="I22" s="38"/>
    </row>
    <row r="23" spans="2:9" ht="14.35" thickBot="1" x14ac:dyDescent="0.5">
      <c r="B23" s="15"/>
      <c r="C23" s="16"/>
      <c r="D23" s="17"/>
      <c r="E23" s="17"/>
      <c r="F23" s="22" t="s">
        <v>68</v>
      </c>
      <c r="G23" s="33">
        <v>5</v>
      </c>
      <c r="H23" s="34"/>
      <c r="I23" s="35"/>
    </row>
    <row r="24" spans="2:9" ht="14.35" thickTop="1" x14ac:dyDescent="0.45"/>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E8 E13:E23</xm:sqref>
        </x14:dataValidation>
        <x14:dataValidation type="list" allowBlank="1" showInputMessage="1" showErrorMessage="1" xr:uid="{00000000-0002-0000-0000-000002000000}">
          <x14:formula1>
            <xm:f>数据标签!$B$2:$H$2</xm:f>
          </x14:formula1>
          <xm:sqref>C4:C23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2025-03-31T03:18:42Z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