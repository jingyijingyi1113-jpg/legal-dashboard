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lushi/Desktop/工作时间记录/2024.12 新表格/9月/"/>
    </mc:Choice>
  </mc:AlternateContent>
  <xr:revisionPtr revIDLastSave="0" documentId="13_ncr:1_{129F8C01-186F-E74F-AA34-51BE81F48381}" xr6:coauthVersionLast="47" xr6:coauthVersionMax="47" xr10:uidLastSave="{00000000-0000-0000-0000-000000000000}"/>
  <bookViews>
    <workbookView xWindow="0" yWindow="76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<sst xmlns="http://schemas.openxmlformats.org/spreadsheetml/2006/main" count="159" uniqueCount="81">
  <si>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</si>
  <si>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</si>
  <si>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</si>
  <si>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</si>
  <si>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</si>
  <si>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</si>
  <si>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</si>
  <si>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</si>
  <si>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</si>
  <si>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</si>
  <si>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</si>
  <si>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</si>
  <si>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</si>
  <si>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</si>
  <si>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</si>
  <si>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</si>
  <si>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</si>
  <si>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</si>
  <si>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</si>
  <si>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</si>
  <si>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</si>
  <si>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</si>
  <si>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</si>
  <si>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</si>
  <si>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</si>
  <si>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</si>
  <si>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</si>
  <si>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</si>
  <si>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</si>
  <si>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</si>
  <si>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</si>
  <si>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</si>
  <si>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</si>
  <si>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</si>
  <si>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</si>
  <si>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</si>
  <si>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</si>
  <si>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</si>
  <si>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</si>
  <si>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</si>
  <si>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</si>
  <si>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</si>
  <si>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</si>
  <si>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</si>
  <si>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</si>
  <si>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</si>
  <si>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</si>
  <si>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</si>
  <si>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</si>
  <si>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</si>
  <si>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</si>
  <si>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</si>
  <si>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</si>
  <si>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</si>
  <si>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</si>
  <si>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</si>
  <si>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</si>
  <si>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</si>
  <si>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</si>
  <si>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</si>
  <si>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</si>
  <si>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</si>
  <si>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</si>
  <si>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</si>
  <si>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</si>
  <si>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</si>
  <si>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</si>
  <si>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</si>
  <si>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</si>
  <si>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</si>
  <si>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</si>
  <si>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</si>
  <si>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</si>
  <si>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</si>
  <si>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丰疆科技</t>
  </si>
  <si>
    <t>NDA</t>
  </si>
  <si>
    <t>帆礼生物</t>
  </si>
  <si>
    <t>浩博医药</t>
  </si>
  <si>
    <t>运世达</t>
  </si>
  <si>
    <t>Primer</t>
  </si>
  <si>
    <t>晶泰科技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</si>
</sst>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168" zoomScaleNormal="100" workbookViewId="0">
      <selection activeCell="F17" sqref="F17"/>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76</v>
      </c>
      <c r="E4" s="8" t="s">
        <v>40</v>
      </c>
      <c r="F4" s="13" t="s">
        <v>72</v>
      </c>
      <c r="G4" s="29">
        <v>5</v>
      </c>
      <c r="H4" s="13" t="s">
        <v>20</v>
      </c>
      <c r="I4" s="11"/>
    </row>
    <row r="5" spans="2:9" ht="30">
      <c r="B5" s="15" t="s">
        <v>71</v>
      </c>
      <c r="C5" s="33" t="s">
        <v>14</v>
      </c>
      <c r="D5" s="33" t="s">
        <v>77</v>
      </c>
      <c r="E5" s="8" t="s">
        <v>40</v>
      </c>
      <c r="F5" s="13" t="s">
        <v>72</v>
      </c>
      <c r="G5" s="29">
        <v>0.5</v>
      </c>
      <c r="H5" s="13" t="s">
        <v>20</v>
      </c>
      <c r="I5" s="11"/>
    </row>
    <row r="6" spans="2:9" ht="30">
      <c r="B6" s="15" t="s">
        <v>71</v>
      </c>
      <c r="C6" s="33" t="s">
        <v>14</v>
      </c>
      <c r="D6" s="33" t="s">
        <v>78</v>
      </c>
      <c r="E6" s="8" t="s">
        <v>40</v>
      </c>
      <c r="F6" s="13" t="s">
        <v>72</v>
      </c>
      <c r="G6" s="29">
        <v>0.2</v>
      </c>
      <c r="H6" s="13" t="s">
        <v>27</v>
      </c>
      <c r="I6" s="11"/>
    </row>
    <row r="7" spans="2:9" ht="30">
      <c r="B7" s="15" t="s">
        <v>71</v>
      </c>
      <c r="C7" s="33" t="s">
        <v>14</v>
      </c>
      <c r="D7" s="33" t="s">
        <v>79</v>
      </c>
      <c r="E7" s="8" t="s">
        <v>40</v>
      </c>
      <c r="F7" s="13" t="s">
        <v>72</v>
      </c>
      <c r="G7" s="29">
        <v>0.8</v>
      </c>
      <c r="H7" s="13" t="s">
        <v>36</v>
      </c>
      <c r="I7" s="11"/>
    </row>
    <row r="8" spans="2:9" ht="30">
      <c r="B8" s="15" t="s">
        <v>71</v>
      </c>
      <c r="C8" s="33" t="s">
        <v>15</v>
      </c>
      <c r="D8" s="33" t="s">
        <v>74</v>
      </c>
      <c r="E8" s="8" t="s">
        <v>40</v>
      </c>
      <c r="F8" s="13" t="s">
        <v>72</v>
      </c>
      <c r="G8" s="29">
        <v>0.5</v>
      </c>
      <c r="H8" s="13" t="s">
        <v>20</v>
      </c>
      <c r="I8" s="11"/>
    </row>
    <row r="9" spans="2:9" ht="30">
      <c r="B9" s="15" t="s">
        <v>71</v>
      </c>
      <c r="C9" s="33" t="s">
        <v>16</v>
      </c>
      <c r="D9" s="33" t="s">
        <v>80</v>
      </c>
      <c r="E9" s="8" t="s">
        <v>40</v>
      </c>
      <c r="F9" s="13" t="s">
        <v>72</v>
      </c>
      <c r="G9" s="29">
        <v>0.5</v>
      </c>
      <c r="H9" s="13" t="s">
        <v>27</v>
      </c>
      <c r="I9" s="11"/>
    </row>
    <row r="10" spans="2:9">
      <c r="B10" s="15" t="s">
        <v>71</v>
      </c>
      <c r="C10" s="33" t="s">
        <v>18</v>
      </c>
      <c r="D10" s="26" t="s">
        <v>75</v>
      </c>
      <c r="E10" s="26" t="s">
        <v>27</v>
      </c>
      <c r="F10" s="33"/>
      <c r="G10" s="30">
        <v>1</v>
      </c>
      <c r="H10" s="33" t="s">
        <v>27</v>
      </c>
      <c r="I10" s="35"/>
    </row>
    <row r="11" spans="2:9">
      <c r="B11" s="15" t="s">
        <v>71</v>
      </c>
      <c r="C11" s="33" t="s">
        <v>18</v>
      </c>
      <c r="D11" s="26"/>
      <c r="E11" s="26" t="s">
        <v>27</v>
      </c>
      <c r="F11" s="33"/>
      <c r="G11" s="30">
        <v>0.5</v>
      </c>
      <c r="H11" s="33" t="s">
        <v>27</v>
      </c>
      <c r="I11" s="35"/>
    </row>
    <row r="12" spans="2:9">
      <c r="B12" s="21"/>
      <c r="C12" s="22"/>
      <c r="D12" s="23"/>
      <c r="E12" s="23"/>
      <c r="F12" s="24" t="s">
        <v>67</v>
      </c>
      <c r="G12" s="36">
        <f>SUM(G4:G11)</f>
        <v>9</v>
      </c>
      <c r="H12" s="1"/>
      <c r="I12" s="1"/>
    </row>
    <row r="13" spans="2:9" ht="16" thickBot="1">
      <c r="B13" s="18"/>
      <c r="C13" s="19"/>
      <c r="D13" s="20"/>
      <c r="E13" s="20"/>
      <c r="F13" s="32" t="s">
        <v>73</v>
      </c>
      <c r="G13" s="37">
        <v>2</v>
      </c>
      <c r="H13" s="38"/>
      <c r="I13" s="38"/>
    </row>
    <row r="14" spans="2:9" ht="16" thickTop="1">
      <c r="C14" s="25"/>
      <c r="F14" s="25"/>
      <c r="G14" s="34"/>
    </row>
  </sheetData>
  <mergeCells count="1">
    <mergeCell ref="G13:I13"/>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E4:E9 E12:E13</xm:sqref>
        </x14:dataValidation>
        <x14:dataValidation type="list" allowBlank="1" showInputMessage="1" showErrorMessage="1" xr:uid="{00000000-0002-0000-0000-000002000000}">
          <x14:formula1>
            <xm:f>数据标签!$B$2:$H$2</xm:f>
          </x14:formula1>
          <xm:sqref>C4:C9 C12:C13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2025-10-22T10:59:46Z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