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D5D6A19D-0411-6644-A465-8A0E1B5A2E08}" xr6:coauthVersionLast="47" xr6:coauthVersionMax="47" xr10:uidLastSave="{00000000-0000-0000-0000-000000000000}"/>
  <bookViews>
    <workbookView xWindow="0" yWindow="74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 i="1" l="1"/>
</calcChain>
</file>

<file path=xl/sharedStrings.xml><?xml version="1.0" encoding="utf-8"?>
<sst xmlns="http://schemas.openxmlformats.org/spreadsheetml/2006/main" count="184" uniqueCount="97">
  <si>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</si>
  <si>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</si>
  <si>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</si>
  <si>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</si>
  <si>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</si>
  <si>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</si>
  <si>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</si>
  <si>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</si>
  <si>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</si>
  <si>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</si>
  <si>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</si>
  <si>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</si>
  <si>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</si>
  <si>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</si>
  <si>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</si>
  <si>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</si>
  <si>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</si>
  <si>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</si>
  <si>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</si>
  <si>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</si>
  <si>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</si>
  <si>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</si>
  <si>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</si>
  <si>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</si>
  <si>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</si>
  <si>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</si>
  <si>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</si>
  <si>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</si>
  <si>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</si>
  <si>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</si>
  <si>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</si>
  <si>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</si>
  <si>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</si>
  <si>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</si>
  <si>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</si>
  <si>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</si>
  <si>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</si>
  <si>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</si>
  <si>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</si>
  <si>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</si>
  <si>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</si>
  <si>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</si>
  <si>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</si>
  <si>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</si>
  <si>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</si>
  <si>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</si>
  <si>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</si>
  <si>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</si>
  <si>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</si>
  <si>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</si>
  <si>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</si>
  <si>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</si>
  <si>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</si>
  <si>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</si>
  <si>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</si>
  <si>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</si>
  <si>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</si>
  <si>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</si>
  <si>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</si>
  <si>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</si>
  <si>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</si>
  <si>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</si>
  <si>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</si>
  <si>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</si>
  <si>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</si>
  <si>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</si>
  <si>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</si>
  <si>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</si>
  <si>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</si>
  <si>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</si>
  <si>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</si>
  <si>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</si>
  <si>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</si>
  <si>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</si>
  <si>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</si>
  <si>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</si>
  <si>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</si>
  <si>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BVNK</t>
  </si>
  <si>
    <t xml:space="preserve">Review/ negotiations of NDA. </t>
  </si>
  <si>
    <t>PhonePe</t>
  </si>
  <si>
    <t>Udaan</t>
  </si>
  <si>
    <t>Review of replies to Q&amp;A from regulator.</t>
  </si>
  <si>
    <t>MX Media</t>
  </si>
  <si>
    <t xml:space="preserve">Liquidation proceedings - review of developments. </t>
  </si>
  <si>
    <r>
      <t>4</t>
    </r>
    <r>
      <rPr>
        <sz val="10"/>
        <color theme="1"/>
        <rFont val="Calibri"/>
        <family val="2"/>
        <scheme val="minor"/>
      </rPr>
      <t xml:space="preserve"> (leave on 2-Jun-25)</t>
    </r>
  </si>
  <si>
    <t>Closing of new financing round.</t>
  </si>
  <si>
    <t xml:space="preserve">Weekly Work Report. Biweekly updates. Timesheets. </t>
  </si>
  <si>
    <t>Regulatory application in process.</t>
  </si>
  <si>
    <t>Rilla</t>
  </si>
  <si>
    <t>Advance Intelligence</t>
  </si>
  <si>
    <t>Dream11</t>
  </si>
  <si>
    <t>Conditions subsequent (tax) to sale deal closed in late 2024.</t>
  </si>
  <si>
    <t>Series G add-on financing - CPs.</t>
  </si>
  <si>
    <t>Public - Knowledge Accumulation &amp; Sharing</t>
  </si>
  <si>
    <t>FDI Hotdesk</t>
  </si>
  <si>
    <t>国际监管趋势监测、预判 Monitoring and forecasting international regulatory trends</t>
  </si>
  <si>
    <t>Regulatory summary for FDI filings -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</si>
</sst>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7"/>
  <sheetViews>
    <sheetView tabSelected="1" zoomScale="140" zoomScaleNormal="140" workbookViewId="0">
      <selection activeCell="G15" sqref="G15:I15"/>
    </sheetView>
  </sheetViews>
  <sheetFormatPr baseColWidth="10" defaultColWidth="9" defaultRowHeight="15"/>
  <cols>
    <col min="1" max="1" width="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16</v>
      </c>
      <c r="D4" s="20" t="s">
        <v>88</v>
      </c>
      <c r="E4" s="10" t="s">
        <v>40</v>
      </c>
      <c r="F4" s="10" t="s">
        <v>74</v>
      </c>
      <c r="G4" s="20">
        <v>2</v>
      </c>
      <c r="H4" s="10" t="s">
        <v>20</v>
      </c>
      <c r="I4" s="21" t="s">
        <v>78</v>
      </c>
    </row>
    <row r="5" spans="2:9" ht="30">
      <c r="B5" s="19" t="s">
        <v>72</v>
      </c>
      <c r="C5" s="10" t="s">
        <v>14</v>
      </c>
      <c r="D5" s="20" t="s">
        <v>77</v>
      </c>
      <c r="E5" s="10" t="s">
        <v>40</v>
      </c>
      <c r="F5" s="10" t="s">
        <v>74</v>
      </c>
      <c r="G5" s="20">
        <v>7</v>
      </c>
      <c r="H5" s="10" t="s">
        <v>20</v>
      </c>
      <c r="I5" s="21" t="s">
        <v>85</v>
      </c>
    </row>
    <row r="6" spans="2:9" ht="30">
      <c r="B6" s="19" t="s">
        <v>72</v>
      </c>
      <c r="C6" s="10" t="s">
        <v>14</v>
      </c>
      <c r="D6" s="20" t="s">
        <v>76</v>
      </c>
      <c r="E6" s="10" t="s">
        <v>40</v>
      </c>
      <c r="F6" s="10" t="s">
        <v>74</v>
      </c>
      <c r="G6" s="10">
        <v>3</v>
      </c>
      <c r="H6" s="10" t="s">
        <v>20</v>
      </c>
      <c r="I6" s="21" t="s">
        <v>87</v>
      </c>
    </row>
    <row r="7" spans="2:9" ht="30">
      <c r="B7" s="19" t="s">
        <v>72</v>
      </c>
      <c r="C7" s="10" t="s">
        <v>14</v>
      </c>
      <c r="D7" s="20" t="s">
        <v>79</v>
      </c>
      <c r="E7" s="10" t="s">
        <v>40</v>
      </c>
      <c r="F7" s="10" t="s">
        <v>74</v>
      </c>
      <c r="G7" s="10">
        <v>5</v>
      </c>
      <c r="H7" s="10" t="s">
        <v>20</v>
      </c>
      <c r="I7" s="21" t="s">
        <v>81</v>
      </c>
    </row>
    <row r="8" spans="2:9" ht="30">
      <c r="B8" s="19" t="s">
        <v>72</v>
      </c>
      <c r="C8" s="10" t="s">
        <v>14</v>
      </c>
      <c r="D8" s="20" t="s">
        <v>90</v>
      </c>
      <c r="E8" s="10" t="s">
        <v>40</v>
      </c>
      <c r="F8" s="10" t="s">
        <v>74</v>
      </c>
      <c r="G8" s="10">
        <v>1</v>
      </c>
      <c r="H8" s="10" t="s">
        <v>20</v>
      </c>
      <c r="I8" s="21" t="s">
        <v>91</v>
      </c>
    </row>
    <row r="9" spans="2:9" ht="45">
      <c r="B9" s="19" t="s">
        <v>72</v>
      </c>
      <c r="C9" s="10" t="s">
        <v>93</v>
      </c>
      <c r="D9" s="20" t="s">
        <v>94</v>
      </c>
      <c r="E9" s="10" t="s">
        <v>40</v>
      </c>
      <c r="F9" s="10" t="s">
        <v>95</v>
      </c>
      <c r="G9" s="10">
        <v>4</v>
      </c>
      <c r="H9" s="10" t="s">
        <v>30</v>
      </c>
      <c r="I9" s="21" t="s">
        <v>96</v>
      </c>
    </row>
    <row r="10" spans="2:9" ht="30">
      <c r="B10" s="19" t="s">
        <v>72</v>
      </c>
      <c r="C10" s="10" t="s">
        <v>14</v>
      </c>
      <c r="D10" s="20" t="s">
        <v>80</v>
      </c>
      <c r="E10" s="10" t="s">
        <v>40</v>
      </c>
      <c r="F10" s="10" t="s">
        <v>74</v>
      </c>
      <c r="G10" s="10">
        <v>0.5</v>
      </c>
      <c r="H10" s="10" t="s">
        <v>20</v>
      </c>
      <c r="I10" s="21" t="s">
        <v>92</v>
      </c>
    </row>
    <row r="11" spans="2:9" ht="30">
      <c r="B11" s="19" t="s">
        <v>72</v>
      </c>
      <c r="C11" s="10" t="s">
        <v>14</v>
      </c>
      <c r="D11" s="20" t="s">
        <v>82</v>
      </c>
      <c r="E11" s="10" t="s">
        <v>40</v>
      </c>
      <c r="F11" s="10" t="s">
        <v>74</v>
      </c>
      <c r="G11" s="10">
        <v>2</v>
      </c>
      <c r="H11" s="20" t="s">
        <v>20</v>
      </c>
      <c r="I11" s="21" t="s">
        <v>83</v>
      </c>
    </row>
    <row r="12" spans="2:9" ht="30">
      <c r="B12" s="19" t="s">
        <v>72</v>
      </c>
      <c r="C12" s="10" t="s">
        <v>16</v>
      </c>
      <c r="D12" s="20" t="s">
        <v>89</v>
      </c>
      <c r="E12" s="10" t="s">
        <v>40</v>
      </c>
      <c r="F12" s="10" t="s">
        <v>74</v>
      </c>
      <c r="G12" s="10">
        <v>1.5</v>
      </c>
      <c r="H12" s="20" t="s">
        <v>20</v>
      </c>
      <c r="I12" s="21" t="s">
        <v>78</v>
      </c>
    </row>
    <row r="13" spans="2:9" ht="30">
      <c r="B13" s="19" t="s">
        <v>72</v>
      </c>
      <c r="C13" s="10" t="s">
        <v>18</v>
      </c>
      <c r="D13" s="20"/>
      <c r="E13" s="10" t="s">
        <v>40</v>
      </c>
      <c r="F13" s="10" t="s">
        <v>75</v>
      </c>
      <c r="G13" s="10">
        <v>2.5</v>
      </c>
      <c r="H13" s="10" t="s">
        <v>73</v>
      </c>
      <c r="I13" s="21" t="s">
        <v>86</v>
      </c>
    </row>
    <row r="14" spans="2:9">
      <c r="B14" s="23"/>
      <c r="C14" s="10"/>
      <c r="D14" s="10"/>
      <c r="E14" s="10"/>
      <c r="F14" s="10"/>
      <c r="G14" s="10"/>
      <c r="H14" s="10"/>
      <c r="I14" s="22"/>
    </row>
    <row r="15" spans="2:9">
      <c r="B15" s="24"/>
      <c r="C15" s="15"/>
      <c r="D15" s="15"/>
      <c r="E15" s="15"/>
      <c r="F15" s="17" t="s">
        <v>67</v>
      </c>
      <c r="G15" s="29">
        <f>SUM(G3:G14)</f>
        <v>28.5</v>
      </c>
      <c r="H15" s="30"/>
      <c r="I15" s="31"/>
    </row>
    <row r="16" spans="2:9" ht="16" thickBot="1">
      <c r="B16" s="25"/>
      <c r="C16" s="14"/>
      <c r="D16" s="14"/>
      <c r="E16" s="14"/>
      <c r="F16" s="16" t="s">
        <v>68</v>
      </c>
      <c r="G16" s="26" t="s">
        <v>84</v>
      </c>
      <c r="H16" s="27"/>
      <c r="I16" s="28"/>
    </row>
    <row r="17" ht="16" thickTop="1"/>
  </sheetData>
  <mergeCells count="2">
    <mergeCell ref="G16:I16"/>
    <mergeCell ref="G15:I15"/>
  </mergeCells>
  <phoneticPr fontId="7" type="noConversion"/>
  <dataValidations count="2">
    <dataValidation type="list" allowBlank="1" showInputMessage="1" showErrorMessage="1" sqref="H4:H14" xr:uid="{00000000-0002-0000-0000-000000000000}">
      <formula1>hh</formula1>
    </dataValidation>
    <dataValidation type="list" allowBlank="1" showInputMessage="1" showErrorMessage="1" sqref="F4:F1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E4:E16</xm:sqref>
        </x14:dataValidation>
        <x14:dataValidation type="list" allowBlank="1" showInputMessage="1" showErrorMessage="1" xr:uid="{00000000-0002-0000-0000-000002000000}">
          <x14:formula1>
            <xm:f>数据标签!$B$2:$H$2</xm:f>
          </x14:formula1>
          <xm:sqref>C4:C16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2025-06-09T09:07:12Z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