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19131049-B847-3F4A-84A6-AB00AEDF8EBA}" xr6:coauthVersionLast="47" xr6:coauthVersionMax="47" xr10:uidLastSave="{00000000-0000-0000-0000-000000000000}"/>
  <bookViews>
    <workbookView xWindow="780" yWindow="86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<sst xmlns="http://schemas.openxmlformats.org/spreadsheetml/2006/main" count="169" uniqueCount="92">
  <si>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</si>
  <si>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</si>
  <si>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</si>
  <si>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</si>
  <si>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</si>
  <si>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</si>
  <si>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</si>
  <si>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</si>
  <si>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</si>
  <si>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</si>
  <si>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</si>
  <si>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</si>
  <si>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</si>
  <si>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</si>
  <si>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</si>
  <si>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</si>
  <si>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</si>
  <si>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</si>
  <si>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</si>
  <si>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</si>
  <si>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</si>
  <si>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</si>
  <si>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</si>
  <si>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</si>
  <si>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</si>
  <si>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</si>
  <si>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</si>
  <si>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</si>
  <si>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</si>
  <si>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</si>
  <si>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</si>
  <si>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</si>
  <si>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</si>
  <si>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</si>
  <si>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</si>
  <si>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</si>
  <si>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</si>
  <si>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</si>
  <si>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</si>
  <si>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</si>
  <si>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</si>
  <si>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</si>
  <si>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</si>
  <si>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</si>
  <si>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</si>
  <si>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</si>
  <si>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</si>
  <si>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</si>
  <si>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</si>
  <si>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</si>
  <si>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</si>
  <si>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</si>
  <si>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</si>
  <si>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</si>
  <si>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</si>
  <si>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</si>
  <si>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</si>
  <si>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</si>
  <si>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</si>
  <si>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</si>
  <si>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</si>
  <si>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</si>
  <si>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</si>
  <si>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</si>
  <si>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</si>
  <si>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</si>
  <si>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</si>
  <si>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</si>
  <si>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</si>
  <si>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</si>
  <si>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</si>
  <si>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</si>
  <si>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</si>
  <si>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</si>
  <si>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</si>
  <si>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</si>
  <si>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</si>
  <si>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NDA review and negotiations.</t>
  </si>
  <si>
    <t>T-Therapeutics</t>
  </si>
  <si>
    <t>New financing round kickstarted.</t>
  </si>
  <si>
    <t>PB Fintech</t>
  </si>
  <si>
    <t>资本市场、投融资活动创新突破 Innovative breakthroughs in investments and capital market transactions</t>
  </si>
  <si>
    <t>Dribbling trades - documentation/ filings.</t>
  </si>
  <si>
    <t xml:space="preserve">Weekly Work Report. Biweekly report. Timesheets. </t>
  </si>
  <si>
    <t>Regulatory application finalized and filed.</t>
  </si>
  <si>
    <t>PJ Code, Prolium</t>
  </si>
  <si>
    <t>Sharechat</t>
  </si>
  <si>
    <t xml:space="preserve">Borrowings confirmation letters. </t>
  </si>
  <si>
    <t>Ola</t>
  </si>
  <si>
    <t xml:space="preserve">Director disclosures and call with portfolio. </t>
  </si>
  <si>
    <t>MX Media</t>
  </si>
  <si>
    <t xml:space="preserve">Ongoing creditor litigation - shareholder discussions.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</si>
</sst>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5"/>
  <sheetViews>
    <sheetView tabSelected="1" topLeftCell="D3" zoomScale="140" zoomScaleNormal="140" workbookViewId="0">
      <selection activeCell="H11" sqref="H11"/>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76</v>
      </c>
      <c r="E4" s="10" t="s">
        <v>40</v>
      </c>
      <c r="F4" s="10" t="s">
        <v>74</v>
      </c>
      <c r="G4" s="10">
        <v>11</v>
      </c>
      <c r="H4" s="10" t="s">
        <v>20</v>
      </c>
      <c r="I4" s="21" t="s">
        <v>84</v>
      </c>
    </row>
    <row r="5" spans="2:9" ht="45">
      <c r="B5" s="19" t="s">
        <v>72</v>
      </c>
      <c r="C5" s="10" t="s">
        <v>15</v>
      </c>
      <c r="D5" s="20" t="s">
        <v>80</v>
      </c>
      <c r="E5" s="10" t="s">
        <v>40</v>
      </c>
      <c r="F5" s="10" t="s">
        <v>81</v>
      </c>
      <c r="G5" s="10">
        <v>3</v>
      </c>
      <c r="H5" s="20" t="s">
        <v>20</v>
      </c>
      <c r="I5" s="21" t="s">
        <v>82</v>
      </c>
    </row>
    <row r="6" spans="2:9" ht="30">
      <c r="B6" s="19" t="s">
        <v>72</v>
      </c>
      <c r="C6" s="10" t="s">
        <v>14</v>
      </c>
      <c r="D6" s="20" t="s">
        <v>78</v>
      </c>
      <c r="E6" s="10" t="s">
        <v>40</v>
      </c>
      <c r="F6" s="10" t="s">
        <v>74</v>
      </c>
      <c r="G6" s="10">
        <v>10</v>
      </c>
      <c r="H6" s="20" t="s">
        <v>25</v>
      </c>
      <c r="I6" s="21" t="s">
        <v>79</v>
      </c>
    </row>
    <row r="7" spans="2:9" ht="30">
      <c r="B7" s="19" t="s">
        <v>72</v>
      </c>
      <c r="C7" s="10" t="s">
        <v>16</v>
      </c>
      <c r="D7" s="20" t="s">
        <v>86</v>
      </c>
      <c r="E7" s="10" t="s">
        <v>40</v>
      </c>
      <c r="F7" s="10" t="s">
        <v>74</v>
      </c>
      <c r="G7" s="10">
        <v>1</v>
      </c>
      <c r="H7" s="10" t="s">
        <v>20</v>
      </c>
      <c r="I7" s="21" t="s">
        <v>87</v>
      </c>
    </row>
    <row r="8" spans="2:9" ht="30">
      <c r="B8" s="19" t="s">
        <v>72</v>
      </c>
      <c r="C8" s="10" t="s">
        <v>16</v>
      </c>
      <c r="D8" s="20" t="s">
        <v>88</v>
      </c>
      <c r="E8" s="10" t="s">
        <v>40</v>
      </c>
      <c r="F8" s="10" t="s">
        <v>74</v>
      </c>
      <c r="G8" s="10">
        <v>1.5</v>
      </c>
      <c r="H8" s="10" t="s">
        <v>20</v>
      </c>
      <c r="I8" s="21" t="s">
        <v>89</v>
      </c>
    </row>
    <row r="9" spans="2:9" ht="30">
      <c r="B9" s="19" t="s">
        <v>72</v>
      </c>
      <c r="C9" s="10" t="s">
        <v>16</v>
      </c>
      <c r="D9" s="20" t="s">
        <v>90</v>
      </c>
      <c r="E9" s="10" t="s">
        <v>40</v>
      </c>
      <c r="F9" s="10" t="s">
        <v>74</v>
      </c>
      <c r="G9" s="10">
        <v>2</v>
      </c>
      <c r="H9" s="10" t="s">
        <v>36</v>
      </c>
      <c r="I9" s="21" t="s">
        <v>91</v>
      </c>
    </row>
    <row r="10" spans="2:9" ht="30">
      <c r="B10" s="19" t="s">
        <v>72</v>
      </c>
      <c r="C10" s="10" t="s">
        <v>16</v>
      </c>
      <c r="D10" s="20" t="s">
        <v>85</v>
      </c>
      <c r="E10" s="10" t="s">
        <v>40</v>
      </c>
      <c r="F10" s="10" t="s">
        <v>74</v>
      </c>
      <c r="G10" s="10">
        <v>3.5</v>
      </c>
      <c r="H10" s="20" t="s">
        <v>20</v>
      </c>
      <c r="I10" s="21" t="s">
        <v>77</v>
      </c>
    </row>
    <row r="11" spans="2:9" ht="30">
      <c r="B11" s="19" t="s">
        <v>72</v>
      </c>
      <c r="C11" s="10" t="s">
        <v>18</v>
      </c>
      <c r="D11" s="20"/>
      <c r="E11" s="10" t="s">
        <v>40</v>
      </c>
      <c r="F11" s="10" t="s">
        <v>75</v>
      </c>
      <c r="G11" s="10">
        <v>2.5</v>
      </c>
      <c r="H11" s="10" t="s">
        <v>73</v>
      </c>
      <c r="I11" s="21" t="s">
        <v>83</v>
      </c>
    </row>
    <row r="12" spans="2:9">
      <c r="B12" s="23"/>
      <c r="C12" s="10"/>
      <c r="D12" s="10"/>
      <c r="E12" s="10"/>
      <c r="F12" s="10"/>
      <c r="G12" s="10"/>
      <c r="H12" s="10"/>
      <c r="I12" s="22"/>
    </row>
    <row r="13" spans="2:9">
      <c r="B13" s="24"/>
      <c r="C13" s="15"/>
      <c r="D13" s="15"/>
      <c r="E13" s="15"/>
      <c r="F13" s="17" t="s">
        <v>67</v>
      </c>
      <c r="G13" s="29">
        <f>SUM(G3:G12)</f>
        <v>34.5</v>
      </c>
      <c r="H13" s="30"/>
      <c r="I13" s="31"/>
    </row>
    <row r="14" spans="2:9" ht="16" thickBot="1">
      <c r="B14" s="25"/>
      <c r="C14" s="14"/>
      <c r="D14" s="14"/>
      <c r="E14" s="14"/>
      <c r="F14" s="16" t="s">
        <v>68</v>
      </c>
      <c r="G14" s="26">
        <v>4</v>
      </c>
      <c r="H14" s="27"/>
      <c r="I14" s="28"/>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2025-08-11T08:13:13Z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