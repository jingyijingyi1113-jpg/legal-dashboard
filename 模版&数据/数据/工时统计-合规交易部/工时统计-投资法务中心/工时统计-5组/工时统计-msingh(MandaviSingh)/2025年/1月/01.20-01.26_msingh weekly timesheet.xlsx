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Mandavi's 2025 Jan forms\"/>
    </mc:Choice>
  </mc:AlternateContent>
  <xr:revisionPtr revIDLastSave="0" documentId="8_{162C74FC-B732-479C-A62A-33278CD49F3F}"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<sst xmlns="http://schemas.openxmlformats.org/spreadsheetml/2006/main" count="157" uniqueCount="89">
  <si>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</si>
  <si>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</si>
  <si>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</si>
  <si>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</si>
  <si>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</si>
  <si>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</si>
  <si>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</si>
  <si>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</si>
  <si>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</si>
  <si>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</si>
  <si>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</si>
  <si>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</si>
  <si>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</si>
  <si>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</si>
  <si>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</si>
  <si>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</si>
  <si>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</si>
  <si>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</si>
  <si>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</si>
  <si>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</si>
  <si>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</si>
  <si>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</si>
  <si>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</si>
  <si>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</si>
  <si>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</si>
  <si>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</si>
  <si>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</si>
  <si>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</si>
  <si>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</si>
  <si>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</si>
  <si>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</si>
  <si>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</si>
  <si>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</si>
  <si>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</si>
  <si>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</si>
  <si>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</si>
  <si>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</si>
  <si>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</si>
  <si>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</si>
  <si>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</si>
  <si>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</si>
  <si>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</si>
  <si>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</si>
  <si>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</si>
  <si>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</si>
  <si>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</si>
  <si>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</si>
  <si>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</si>
  <si>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</si>
  <si>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</si>
  <si>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</si>
  <si>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</si>
  <si>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</si>
  <si>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</si>
  <si>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</si>
  <si>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</si>
  <si>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</si>
  <si>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</si>
  <si>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</si>
  <si>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</si>
  <si>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</si>
  <si>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</si>
  <si>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</si>
  <si>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</si>
  <si>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</si>
  <si>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</si>
  <si>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</si>
  <si>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</si>
  <si>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</si>
  <si>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</si>
  <si>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</si>
  <si>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</si>
  <si>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phoneticPr fontId="7" type="noConversion"/>
  </si>
  <si>
    <t>投资项目全流程法务支持 Full-process legal support for investments</t>
  </si>
  <si>
    <t>国际监管趋势监测、预判 Monitoring and forecasting international regulatory trends</t>
  </si>
  <si>
    <t>Public - Knowledge Accumulation &amp; Sharing</t>
  </si>
  <si>
    <t>Providing training sessions/knowledge sharing</t>
  </si>
  <si>
    <t>Recording/reviewing deals updates/weekly time reports/other team summaries</t>
  </si>
  <si>
    <t>Flipkart</t>
    <phoneticPr fontId="7" type="noConversion"/>
  </si>
  <si>
    <t>Call with portfolio re recent US and India restrictions on Tencent; EGM requirements.</t>
  </si>
  <si>
    <t>GoStudent</t>
    <phoneticPr fontId="7" type="noConversion"/>
  </si>
  <si>
    <t>New external financing round.</t>
  </si>
  <si>
    <t>Sharechat</t>
    <phoneticPr fontId="7" type="noConversion"/>
  </si>
  <si>
    <t>ESOP structure change/ increase - approvals.</t>
  </si>
  <si>
    <t>Presentation Part 2 revising; call with team.</t>
  </si>
  <si>
    <t>Exit(s) from portfolios due to Regulatory Issues; iManage updates.</t>
  </si>
  <si>
    <t>Invoice management.</t>
  </si>
  <si>
    <t>精细化管理工具搭建 Adoption of refined management tools</t>
  </si>
  <si>
    <t xml:space="preserve">Weekly Work Report.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</si>
</sst>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2"/>
      <scheme val="minor"/>
    </font>
    <font>
      <sz val="1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176" fontId="5" fillId="0" borderId="4" xfId="0" applyNumberFormat="1" applyFont="1" applyBorder="1">
      <alignment vertical="center"/>
    </xf>
    <xf numFmtId="0" fontId="9" fillId="0" borderId="4" xfId="0" applyFont="1" applyBorder="1">
      <alignment vertical="center"/>
    </xf>
    <xf numFmtId="0" fontId="9" fillId="0" borderId="4" xfId="0" applyFont="1" applyBorder="1" applyAlignment="1">
      <alignment vertical="center" wrapText="1"/>
    </xf>
    <xf numFmtId="0" fontId="10"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70" zoomScaleNormal="70" workbookViewId="0">
      <selection activeCell="I9" sqref="I9"/>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14</v>
      </c>
      <c r="D4" s="35" t="s">
        <v>80</v>
      </c>
      <c r="E4" s="9" t="s">
        <v>40</v>
      </c>
      <c r="F4" s="14" t="s">
        <v>73</v>
      </c>
      <c r="G4" s="36">
        <v>2</v>
      </c>
      <c r="H4" s="14" t="s">
        <v>20</v>
      </c>
      <c r="I4" s="39" t="s">
        <v>81</v>
      </c>
    </row>
    <row r="5" spans="2:9" ht="25.35" x14ac:dyDescent="0.45">
      <c r="B5" s="16" t="s">
        <v>72</v>
      </c>
      <c r="C5" s="14" t="s">
        <v>14</v>
      </c>
      <c r="D5" s="35" t="s">
        <v>82</v>
      </c>
      <c r="E5" s="9" t="s">
        <v>40</v>
      </c>
      <c r="F5" s="14" t="s">
        <v>73</v>
      </c>
      <c r="G5" s="36">
        <v>2</v>
      </c>
      <c r="H5" s="14" t="s">
        <v>20</v>
      </c>
      <c r="I5" s="39" t="s">
        <v>83</v>
      </c>
    </row>
    <row r="6" spans="2:9" ht="38" x14ac:dyDescent="0.45">
      <c r="B6" s="16" t="s">
        <v>72</v>
      </c>
      <c r="C6" s="14" t="s">
        <v>75</v>
      </c>
      <c r="D6" s="37"/>
      <c r="E6" s="9" t="s">
        <v>40</v>
      </c>
      <c r="F6" s="14" t="s">
        <v>74</v>
      </c>
      <c r="G6" s="36">
        <v>4</v>
      </c>
      <c r="H6" s="14" t="s">
        <v>76</v>
      </c>
      <c r="I6" s="39" t="s">
        <v>84</v>
      </c>
    </row>
    <row r="7" spans="2:9" ht="25.35" x14ac:dyDescent="0.45">
      <c r="B7" s="16" t="s">
        <v>72</v>
      </c>
      <c r="C7" s="14" t="s">
        <v>16</v>
      </c>
      <c r="D7" s="35" t="s">
        <v>78</v>
      </c>
      <c r="E7" s="9" t="s">
        <v>40</v>
      </c>
      <c r="F7" s="14" t="s">
        <v>73</v>
      </c>
      <c r="G7" s="36">
        <v>0.5</v>
      </c>
      <c r="H7" s="14" t="s">
        <v>20</v>
      </c>
      <c r="I7" s="39" t="s">
        <v>79</v>
      </c>
    </row>
    <row r="8" spans="2:9" ht="25.35" x14ac:dyDescent="0.45">
      <c r="B8" s="16" t="s">
        <v>72</v>
      </c>
      <c r="C8" s="14" t="s">
        <v>18</v>
      </c>
      <c r="D8" s="35"/>
      <c r="E8" s="9" t="s">
        <v>27</v>
      </c>
      <c r="F8" s="14"/>
      <c r="G8" s="36">
        <v>4.5</v>
      </c>
      <c r="H8" s="14" t="s">
        <v>77</v>
      </c>
      <c r="I8" s="39" t="s">
        <v>85</v>
      </c>
    </row>
    <row r="9" spans="2:9" ht="25.35" x14ac:dyDescent="0.45">
      <c r="B9" s="16" t="s">
        <v>72</v>
      </c>
      <c r="C9" s="14" t="s">
        <v>18</v>
      </c>
      <c r="D9" s="38"/>
      <c r="E9" s="9" t="s">
        <v>27</v>
      </c>
      <c r="F9" s="14"/>
      <c r="G9" s="36">
        <v>1</v>
      </c>
      <c r="H9" s="14" t="s">
        <v>38</v>
      </c>
      <c r="I9" s="39" t="s">
        <v>86</v>
      </c>
    </row>
    <row r="10" spans="2:9" ht="25.35" x14ac:dyDescent="0.45">
      <c r="B10" s="16" t="s">
        <v>72</v>
      </c>
      <c r="C10" s="14" t="s">
        <v>18</v>
      </c>
      <c r="D10" s="35"/>
      <c r="E10" s="9" t="s">
        <v>40</v>
      </c>
      <c r="F10" s="14" t="s">
        <v>87</v>
      </c>
      <c r="G10" s="36">
        <v>1.5</v>
      </c>
      <c r="H10" s="14" t="s">
        <v>77</v>
      </c>
      <c r="I10" s="39" t="s">
        <v>88</v>
      </c>
    </row>
    <row r="11" spans="2:9" x14ac:dyDescent="0.45">
      <c r="B11" s="8"/>
      <c r="C11" s="14"/>
      <c r="D11" s="9"/>
      <c r="E11" s="9"/>
      <c r="F11" s="14"/>
      <c r="G11" s="36"/>
      <c r="H11" s="14"/>
      <c r="I11" s="12"/>
    </row>
    <row r="12" spans="2:9" x14ac:dyDescent="0.45">
      <c r="B12" s="24"/>
      <c r="C12" s="25"/>
      <c r="D12" s="26"/>
      <c r="E12" s="26"/>
      <c r="F12" s="28" t="s">
        <v>67</v>
      </c>
      <c r="G12" s="32">
        <f>SUM(G3:G11)</f>
        <v>15.5</v>
      </c>
      <c r="H12" s="33"/>
      <c r="I12" s="34"/>
    </row>
    <row r="13" spans="2:9" ht="14.35" thickBot="1" x14ac:dyDescent="0.5">
      <c r="B13" s="20"/>
      <c r="C13" s="21"/>
      <c r="D13" s="22"/>
      <c r="E13" s="22"/>
      <c r="F13" s="27" t="s">
        <v>68</v>
      </c>
      <c r="G13" s="29"/>
      <c r="H13" s="30"/>
      <c r="I13" s="31"/>
    </row>
    <row r="14" spans="2:9" ht="14.35" thickTop="1" x14ac:dyDescent="0.4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2025-02-10T08:11:13Z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