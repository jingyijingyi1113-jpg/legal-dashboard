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ABD6C0D3-903F-41EB-947B-6830CD526D06}"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<sst xmlns="http://schemas.openxmlformats.org/spreadsheetml/2006/main" count="214" uniqueCount="98">
  <si>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</si>
  <si>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</si>
  <si>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</si>
  <si>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</si>
  <si>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</si>
  <si>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</si>
  <si>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</si>
  <si>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</si>
  <si>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</si>
  <si>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</si>
  <si>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</si>
  <si>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</si>
  <si>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</si>
  <si>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</si>
  <si>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</si>
  <si>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</si>
  <si>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</si>
  <si>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</si>
  <si>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</si>
  <si>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</si>
  <si>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</si>
  <si>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</si>
  <si>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</si>
  <si>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</si>
  <si>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</si>
  <si>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</si>
  <si>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</si>
  <si>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</si>
  <si>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</si>
  <si>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</si>
  <si>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</si>
  <si>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</si>
  <si>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</si>
  <si>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</si>
  <si>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</si>
  <si>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</si>
  <si>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</si>
  <si>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</si>
  <si>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</si>
  <si>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</si>
  <si>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</si>
  <si>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</si>
  <si>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</si>
  <si>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</si>
  <si>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</si>
  <si>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</si>
  <si>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</si>
  <si>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</si>
  <si>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</si>
  <si>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</si>
  <si>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</si>
  <si>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</si>
  <si>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</si>
  <si>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</si>
  <si>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</si>
  <si>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</si>
  <si>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</si>
  <si>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</si>
  <si>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</si>
  <si>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</si>
  <si>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</si>
  <si>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</si>
  <si>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</si>
  <si>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</si>
  <si>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</si>
  <si>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</si>
  <si>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</si>
  <si>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</si>
  <si>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</si>
  <si>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</si>
  <si>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</si>
  <si>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</si>
  <si>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</si>
  <si>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</si>
  <si>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</si>
  <si>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北京爱科农科技有限公司</t>
    <phoneticPr fontId="10" type="noConversion"/>
  </si>
  <si>
    <t>Owlstone Medical Limited</t>
    <phoneticPr fontId="10" type="noConversion"/>
  </si>
  <si>
    <t>Recording/reviewing deals updates/weekly time reports/other team summaries</t>
  </si>
  <si>
    <t>成都腾云忆想科技有限公司</t>
    <phoneticPr fontId="10" type="noConversion"/>
  </si>
  <si>
    <t>Flint Inc.</t>
    <phoneticPr fontId="10" type="noConversion"/>
  </si>
  <si>
    <t>墨光新能科技（苏州）有限公司</t>
    <phoneticPr fontId="10" type="noConversion"/>
  </si>
  <si>
    <t xml:space="preserve">reviewing updated IDG SPA and finalizing the same; reviewing updated SSA, SHA, Target SPA as well as KIL; discussing with deal team and Shihui re issues on LF and deal arrangement; review CFIUS letter </t>
    <phoneticPr fontId="10" type="noConversion"/>
  </si>
  <si>
    <t>reviewing and commenting on udpated version of new financing documents; documents archieving on iManage and iWiki</t>
    <phoneticPr fontId="10" type="noConversion"/>
  </si>
  <si>
    <t>discussing with deal team re deal progress</t>
    <phoneticPr fontId="10" type="noConversion"/>
  </si>
  <si>
    <t>handling execution process; documents archieving on iManage and iWiki;</t>
    <phoneticPr fontId="10" type="noConversion"/>
  </si>
  <si>
    <t xml:space="preserve">LF negotiation </t>
    <phoneticPr fontId="10" type="noConversion"/>
  </si>
  <si>
    <t>reviewing relevant analysis re auto share conversion</t>
    <phoneticPr fontId="10" type="noConversion"/>
  </si>
  <si>
    <t xml:space="preserve">self-study on key legal issues re capital markets </t>
    <phoneticPr fontId="10" type="noConversion"/>
  </si>
  <si>
    <t xml:space="preserve">discussing with Shihui re round-trip investment; resaerching on relevant issues </t>
    <phoneticPr fontId="10" type="noConversion"/>
  </si>
  <si>
    <t>金融JV</t>
    <phoneticPr fontId="10" type="noConversion"/>
  </si>
  <si>
    <t xml:space="preserve">discussing issues re deal arrangement; reivewing documents </t>
    <phoneticPr fontId="10" type="noConversion"/>
  </si>
  <si>
    <t>广州因陀罗软件有限公司</t>
  </si>
  <si>
    <t>discussing deal arrangememt and bankruptcy progress</t>
    <phoneticPr fontId="10" type="noConversion"/>
  </si>
  <si>
    <t xml:space="preserve">reviewing historic financing docs re potential exit </t>
    <phoneticPr fontId="10" type="noConversion"/>
  </si>
  <si>
    <t xml:space="preserve">reviewing and commenting near final draft of financing documents and ancillary docs; discussion with deal team and CC; handle execution process </t>
    <phoneticPr fontId="10" type="noConversion"/>
  </si>
  <si>
    <t>海南阿凡题科技有限公司</t>
  </si>
  <si>
    <t>企鹅辅导教育培训中心</t>
  </si>
  <si>
    <t xml:space="preserve">discussing deal arrangement and conducting legal research;reviewing consititional docs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</si>
</sst>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topLeftCell="A4" zoomScale="85" zoomScaleNormal="85" workbookViewId="0">
      <selection activeCell="G17" sqref="G17"/>
    </sheetView>
  </sheetViews>
  <sheetFormatPr defaultColWidth="9" defaultRowHeight="14" x14ac:dyDescent="0.3"/>
  <cols>
    <col min="3" max="3" width="34.4140625" style="15" customWidth="1"/>
    <col min="4" max="4" width="25.6640625" customWidth="1"/>
    <col min="5" max="5" width="10.58203125" customWidth="1"/>
    <col min="6" max="6" width="29.9140625" style="15" customWidth="1"/>
    <col min="8" max="8" width="41.58203125" style="15" customWidth="1"/>
    <col min="9" max="9" width="39.83203125" customWidth="1"/>
  </cols>
  <sheetData>
    <row r="1" spans="2:9" ht="14.5" thickBot="1" x14ac:dyDescent="0.35"/>
    <row r="2" spans="2:9" ht="26.5" thickTop="1"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52" x14ac:dyDescent="0.3">
      <c r="B4" s="16" t="s">
        <v>72</v>
      </c>
      <c r="C4" s="14" t="s">
        <v>14</v>
      </c>
      <c r="D4" s="30" t="s">
        <v>74</v>
      </c>
      <c r="E4" s="9" t="s">
        <v>40</v>
      </c>
      <c r="F4" s="14" t="s">
        <v>73</v>
      </c>
      <c r="G4" s="29">
        <v>12.5</v>
      </c>
      <c r="H4" s="14" t="s">
        <v>20</v>
      </c>
      <c r="I4" s="37" t="s">
        <v>81</v>
      </c>
    </row>
    <row r="5" spans="2:9" ht="26" x14ac:dyDescent="0.3">
      <c r="B5" s="16" t="s">
        <v>72</v>
      </c>
      <c r="C5" s="14" t="s">
        <v>14</v>
      </c>
      <c r="D5" s="30" t="s">
        <v>74</v>
      </c>
      <c r="E5" s="9" t="s">
        <v>40</v>
      </c>
      <c r="F5" s="14" t="s">
        <v>73</v>
      </c>
      <c r="G5" s="29">
        <v>1.5</v>
      </c>
      <c r="H5" s="14" t="s">
        <v>27</v>
      </c>
      <c r="I5" s="37" t="s">
        <v>85</v>
      </c>
    </row>
    <row r="6" spans="2:9" ht="26" x14ac:dyDescent="0.3">
      <c r="B6" s="16" t="s">
        <v>72</v>
      </c>
      <c r="C6" s="14" t="s">
        <v>14</v>
      </c>
      <c r="D6" s="30" t="s">
        <v>74</v>
      </c>
      <c r="E6" s="9" t="s">
        <v>40</v>
      </c>
      <c r="F6" s="14" t="s">
        <v>73</v>
      </c>
      <c r="G6" s="29">
        <v>1.5</v>
      </c>
      <c r="H6" s="14" t="s">
        <v>28</v>
      </c>
      <c r="I6" s="37" t="s">
        <v>88</v>
      </c>
    </row>
    <row r="7" spans="2:9" ht="39" x14ac:dyDescent="0.3">
      <c r="B7" s="16" t="s">
        <v>72</v>
      </c>
      <c r="C7" s="14" t="s">
        <v>14</v>
      </c>
      <c r="D7" s="30" t="s">
        <v>75</v>
      </c>
      <c r="E7" s="9" t="s">
        <v>40</v>
      </c>
      <c r="F7" s="14" t="s">
        <v>73</v>
      </c>
      <c r="G7" s="9">
        <v>1.5</v>
      </c>
      <c r="H7" s="14" t="s">
        <v>20</v>
      </c>
      <c r="I7" s="37" t="s">
        <v>82</v>
      </c>
    </row>
    <row r="8" spans="2:9" ht="26" x14ac:dyDescent="0.3">
      <c r="B8" s="16" t="s">
        <v>72</v>
      </c>
      <c r="C8" s="14" t="s">
        <v>16</v>
      </c>
      <c r="D8" s="37" t="s">
        <v>89</v>
      </c>
      <c r="E8" s="9" t="s">
        <v>40</v>
      </c>
      <c r="F8" s="14" t="s">
        <v>73</v>
      </c>
      <c r="G8" s="9">
        <v>0.5</v>
      </c>
      <c r="H8" s="14" t="s">
        <v>20</v>
      </c>
      <c r="I8" s="37" t="s">
        <v>90</v>
      </c>
    </row>
    <row r="9" spans="2:9" ht="39" x14ac:dyDescent="0.3">
      <c r="B9" s="16" t="s">
        <v>72</v>
      </c>
      <c r="C9" s="14" t="s">
        <v>14</v>
      </c>
      <c r="D9" s="30" t="s">
        <v>76</v>
      </c>
      <c r="E9" s="9" t="s">
        <v>40</v>
      </c>
      <c r="F9" s="14" t="s">
        <v>73</v>
      </c>
      <c r="G9" s="9">
        <v>7.5</v>
      </c>
      <c r="H9" s="14" t="s">
        <v>20</v>
      </c>
      <c r="I9" s="37" t="s">
        <v>94</v>
      </c>
    </row>
    <row r="10" spans="2:9" ht="26" x14ac:dyDescent="0.3">
      <c r="B10" s="16" t="s">
        <v>72</v>
      </c>
      <c r="C10" s="14" t="s">
        <v>16</v>
      </c>
      <c r="D10" s="30" t="s">
        <v>78</v>
      </c>
      <c r="E10" s="9" t="s">
        <v>40</v>
      </c>
      <c r="F10" s="14" t="s">
        <v>73</v>
      </c>
      <c r="G10" s="9">
        <v>1.5</v>
      </c>
      <c r="H10" s="14" t="s">
        <v>20</v>
      </c>
      <c r="I10" s="37" t="s">
        <v>84</v>
      </c>
    </row>
    <row r="11" spans="2:9" ht="26" x14ac:dyDescent="0.3">
      <c r="B11" s="16" t="s">
        <v>72</v>
      </c>
      <c r="C11" s="14" t="s">
        <v>16</v>
      </c>
      <c r="D11" s="37" t="s">
        <v>95</v>
      </c>
      <c r="E11" s="9" t="s">
        <v>40</v>
      </c>
      <c r="F11" s="14" t="s">
        <v>73</v>
      </c>
      <c r="G11" s="9">
        <v>2</v>
      </c>
      <c r="H11" s="14" t="s">
        <v>20</v>
      </c>
      <c r="I11" s="37" t="s">
        <v>93</v>
      </c>
    </row>
    <row r="12" spans="2:9" ht="26" x14ac:dyDescent="0.3">
      <c r="B12" s="16" t="s">
        <v>72</v>
      </c>
      <c r="C12" s="14" t="s">
        <v>14</v>
      </c>
      <c r="D12" s="30" t="s">
        <v>79</v>
      </c>
      <c r="E12" s="9" t="s">
        <v>40</v>
      </c>
      <c r="F12" s="14" t="s">
        <v>73</v>
      </c>
      <c r="G12" s="9">
        <v>1</v>
      </c>
      <c r="H12" s="14" t="s">
        <v>27</v>
      </c>
      <c r="I12" s="37" t="s">
        <v>86</v>
      </c>
    </row>
    <row r="13" spans="2:9" ht="26" x14ac:dyDescent="0.3">
      <c r="B13" s="16" t="s">
        <v>72</v>
      </c>
      <c r="C13" s="14" t="s">
        <v>14</v>
      </c>
      <c r="D13" s="30" t="s">
        <v>91</v>
      </c>
      <c r="E13" s="9" t="s">
        <v>40</v>
      </c>
      <c r="F13" s="14" t="s">
        <v>73</v>
      </c>
      <c r="G13" s="9">
        <v>0.5</v>
      </c>
      <c r="H13" s="14" t="s">
        <v>20</v>
      </c>
      <c r="I13" s="37" t="s">
        <v>92</v>
      </c>
    </row>
    <row r="14" spans="2:9" ht="26" x14ac:dyDescent="0.3">
      <c r="B14" s="16" t="s">
        <v>72</v>
      </c>
      <c r="C14" s="14" t="s">
        <v>14</v>
      </c>
      <c r="D14" s="30" t="s">
        <v>96</v>
      </c>
      <c r="E14" s="9" t="s">
        <v>40</v>
      </c>
      <c r="F14" s="14" t="s">
        <v>73</v>
      </c>
      <c r="G14" s="9">
        <v>2.5</v>
      </c>
      <c r="H14" s="14" t="s">
        <v>20</v>
      </c>
      <c r="I14" s="37" t="s">
        <v>97</v>
      </c>
    </row>
    <row r="15" spans="2:9" ht="26" x14ac:dyDescent="0.3">
      <c r="B15" s="16" t="s">
        <v>72</v>
      </c>
      <c r="C15" s="14" t="s">
        <v>14</v>
      </c>
      <c r="D15" s="30" t="s">
        <v>80</v>
      </c>
      <c r="E15" s="9" t="s">
        <v>40</v>
      </c>
      <c r="F15" s="14" t="s">
        <v>73</v>
      </c>
      <c r="G15" s="9">
        <v>0.5</v>
      </c>
      <c r="H15" s="14" t="s">
        <v>20</v>
      </c>
      <c r="I15" s="37" t="s">
        <v>83</v>
      </c>
    </row>
    <row r="16" spans="2:9" ht="26" x14ac:dyDescent="0.3">
      <c r="B16" s="16" t="s">
        <v>72</v>
      </c>
      <c r="C16" s="14" t="s">
        <v>18</v>
      </c>
      <c r="D16" s="30"/>
      <c r="E16" s="9" t="s">
        <v>40</v>
      </c>
      <c r="F16" s="14" t="s">
        <v>73</v>
      </c>
      <c r="G16" s="9">
        <v>5</v>
      </c>
      <c r="H16" s="14" t="s">
        <v>27</v>
      </c>
      <c r="I16" s="37" t="s">
        <v>87</v>
      </c>
    </row>
    <row r="17" spans="2:9" ht="26" x14ac:dyDescent="0.3">
      <c r="B17" s="16" t="s">
        <v>72</v>
      </c>
      <c r="C17" s="14" t="s">
        <v>18</v>
      </c>
      <c r="D17" s="30"/>
      <c r="E17" s="9" t="s">
        <v>40</v>
      </c>
      <c r="F17" s="14" t="s">
        <v>73</v>
      </c>
      <c r="G17" s="9">
        <v>0.5</v>
      </c>
      <c r="H17" s="14" t="s">
        <v>77</v>
      </c>
      <c r="I17" s="37"/>
    </row>
    <row r="18" spans="2:9" ht="26" x14ac:dyDescent="0.3">
      <c r="B18" s="16" t="s">
        <v>72</v>
      </c>
      <c r="C18" s="14" t="s">
        <v>18</v>
      </c>
      <c r="D18" s="30"/>
      <c r="E18" s="9" t="s">
        <v>40</v>
      </c>
      <c r="F18" s="14" t="s">
        <v>73</v>
      </c>
      <c r="G18" s="9">
        <v>1</v>
      </c>
      <c r="H18" s="14" t="s">
        <v>38</v>
      </c>
      <c r="I18" s="30"/>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24"/>
      <c r="C26" s="25"/>
      <c r="D26" s="26"/>
      <c r="E26" s="26"/>
      <c r="F26" s="28" t="s">
        <v>67</v>
      </c>
      <c r="G26" s="34">
        <f>SUM(G3:G25)</f>
        <v>39.5</v>
      </c>
      <c r="H26" s="35"/>
      <c r="I26" s="36"/>
    </row>
    <row r="27" spans="2:9" ht="14.5" thickBot="1" x14ac:dyDescent="0.35">
      <c r="B27" s="20"/>
      <c r="C27" s="21"/>
      <c r="D27" s="22"/>
      <c r="E27" s="22"/>
      <c r="F27" s="27" t="s">
        <v>68</v>
      </c>
      <c r="G27" s="31">
        <v>5</v>
      </c>
      <c r="H27" s="32"/>
      <c r="I27" s="33"/>
    </row>
    <row r="28" spans="2:9" ht="14.5" thickTop="1" x14ac:dyDescent="0.3"/>
  </sheetData>
  <mergeCells count="2">
    <mergeCell ref="G27:I27"/>
    <mergeCell ref="G26:I26"/>
  </mergeCells>
  <phoneticPr fontId="10"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2024-12-27T09:36:11Z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