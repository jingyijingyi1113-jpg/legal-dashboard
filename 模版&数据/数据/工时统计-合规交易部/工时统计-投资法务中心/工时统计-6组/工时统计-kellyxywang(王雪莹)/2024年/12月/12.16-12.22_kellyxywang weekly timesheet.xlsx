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周报\"/>
    </mc:Choice>
  </mc:AlternateContent>
  <xr:revisionPtr revIDLastSave="0" documentId="13_ncr:1_{EC25CB50-F08D-4216-A233-9BD37C404A57}"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<sst xmlns="http://schemas.openxmlformats.org/spreadsheetml/2006/main" count="192" uniqueCount="91">
  <si>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</si>
  <si>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</si>
  <si>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</si>
  <si>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</si>
  <si>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</si>
  <si>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</si>
  <si>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</si>
  <si>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</si>
  <si>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</si>
  <si>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</si>
  <si>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</si>
  <si>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</si>
  <si>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</si>
  <si>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</si>
  <si>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</si>
  <si>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</si>
  <si>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</si>
  <si>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</si>
  <si>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</si>
  <si>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</si>
  <si>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</si>
  <si>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</si>
  <si>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</si>
  <si>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</si>
  <si>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</si>
  <si>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</si>
  <si>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</si>
  <si>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</si>
  <si>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</si>
  <si>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</si>
  <si>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</si>
  <si>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</si>
  <si>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</si>
  <si>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</si>
  <si>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</si>
  <si>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</si>
  <si>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</si>
  <si>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</si>
  <si>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</si>
  <si>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</si>
  <si>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</si>
  <si>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</si>
  <si>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</si>
  <si>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</si>
  <si>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</si>
  <si>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</si>
  <si>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</si>
  <si>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</si>
  <si>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</si>
  <si>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</si>
  <si>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</si>
  <si>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</si>
  <si>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</si>
  <si>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</si>
  <si>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</si>
  <si>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</si>
  <si>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</si>
  <si>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</si>
  <si>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</si>
  <si>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</si>
  <si>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</si>
  <si>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</si>
  <si>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</si>
  <si>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</si>
  <si>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</si>
  <si>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</si>
  <si>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</si>
  <si>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</si>
  <si>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</si>
  <si>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</si>
  <si>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</si>
  <si>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</si>
  <si>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</si>
  <si>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</si>
  <si>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reviewing updated IDG SPA and finalizing the same; reviewing updated SSA, SHA, Target SPA as well as KIL; discussing with deal team and Shihui re issues on LF and deal arrangement</t>
    <phoneticPr fontId="10" type="noConversion"/>
  </si>
  <si>
    <t>reviewing and commenting on new financing documents</t>
    <phoneticPr fontId="10" type="noConversion"/>
  </si>
  <si>
    <t>TOPIC小题影视</t>
    <phoneticPr fontId="10" type="noConversion"/>
  </si>
  <si>
    <t xml:space="preserve">reviewing and commenting articles amendments proposed by the company； internal discussion </t>
    <phoneticPr fontId="10" type="noConversion"/>
  </si>
  <si>
    <t>Insta360影石</t>
    <phoneticPr fontId="10" type="noConversion"/>
  </si>
  <si>
    <t>北京爱科农科技有限公司</t>
    <phoneticPr fontId="10" type="noConversion"/>
  </si>
  <si>
    <t>Owlstone Medical Limited</t>
    <phoneticPr fontId="10" type="noConversion"/>
  </si>
  <si>
    <t xml:space="preserve">reviewing sharehoder resolutions and relevant loan agreements; internal discussion </t>
    <phoneticPr fontId="10" type="noConversion"/>
  </si>
  <si>
    <t>Recording/reviewing deals updates/weekly time reports/other team summaries</t>
  </si>
  <si>
    <t>reviewing and commenting financing documents； discussion with deal team and CC</t>
    <phoneticPr fontId="10" type="noConversion"/>
  </si>
  <si>
    <t>成都腾云忆想科技有限公司</t>
    <phoneticPr fontId="10" type="noConversion"/>
  </si>
  <si>
    <t>Flint Inc.</t>
    <phoneticPr fontId="10" type="noConversion"/>
  </si>
  <si>
    <t xml:space="preserve">reviewing DD results </t>
    <phoneticPr fontId="10" type="noConversion"/>
  </si>
  <si>
    <t>documents archieving on iManage and iWiki; reviewing relevant analysis re auto share conversion</t>
    <phoneticPr fontId="10" type="noConversion"/>
  </si>
  <si>
    <t>墨光新能科技（苏州）有限公司</t>
    <phoneticPr fontId="10" type="noConversion"/>
  </si>
  <si>
    <t xml:space="preserve">documents archieving on iManage and iWiki; </t>
  </si>
  <si>
    <t xml:space="preserve">research on several issues re deal arrangement </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</si>
</sst>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5" fillId="0" borderId="8"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zoomScale="115" zoomScaleNormal="115" workbookViewId="0">
      <selection activeCell="D14" sqref="D14"/>
    </sheetView>
  </sheetViews>
  <sheetFormatPr defaultColWidth="9" defaultRowHeight="14" x14ac:dyDescent="0.3"/>
  <cols>
    <col min="3" max="3" width="34.4140625" style="15" customWidth="1"/>
    <col min="4" max="4" width="25.66406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52" x14ac:dyDescent="0.3">
      <c r="B4" s="16" t="s">
        <v>72</v>
      </c>
      <c r="C4" s="14" t="s">
        <v>14</v>
      </c>
      <c r="D4" s="36" t="s">
        <v>78</v>
      </c>
      <c r="E4" s="9" t="s">
        <v>40</v>
      </c>
      <c r="F4" s="14" t="s">
        <v>73</v>
      </c>
      <c r="G4" s="29">
        <v>13</v>
      </c>
      <c r="H4" s="14" t="s">
        <v>20</v>
      </c>
      <c r="I4" s="36" t="s">
        <v>74</v>
      </c>
    </row>
    <row r="5" spans="2:9" ht="26" x14ac:dyDescent="0.3">
      <c r="B5" s="16" t="s">
        <v>72</v>
      </c>
      <c r="C5" s="14" t="s">
        <v>14</v>
      </c>
      <c r="D5" s="36" t="s">
        <v>78</v>
      </c>
      <c r="E5" s="9" t="s">
        <v>40</v>
      </c>
      <c r="F5" s="14" t="s">
        <v>73</v>
      </c>
      <c r="G5" s="29">
        <v>1.5</v>
      </c>
      <c r="H5" s="14" t="s">
        <v>25</v>
      </c>
      <c r="I5" s="36" t="s">
        <v>86</v>
      </c>
    </row>
    <row r="6" spans="2:9" ht="26" x14ac:dyDescent="0.3">
      <c r="B6" s="16" t="s">
        <v>72</v>
      </c>
      <c r="C6" s="14" t="s">
        <v>14</v>
      </c>
      <c r="D6" s="36" t="s">
        <v>78</v>
      </c>
      <c r="E6" s="9" t="s">
        <v>40</v>
      </c>
      <c r="F6" s="14" t="s">
        <v>73</v>
      </c>
      <c r="G6" s="29">
        <v>2.5</v>
      </c>
      <c r="H6" s="14" t="s">
        <v>28</v>
      </c>
      <c r="I6" s="36" t="s">
        <v>90</v>
      </c>
    </row>
    <row r="7" spans="2:9" ht="26" x14ac:dyDescent="0.3">
      <c r="B7" s="16" t="s">
        <v>72</v>
      </c>
      <c r="C7" s="14" t="s">
        <v>14</v>
      </c>
      <c r="D7" s="36" t="s">
        <v>79</v>
      </c>
      <c r="E7" s="9" t="s">
        <v>40</v>
      </c>
      <c r="F7" s="14" t="s">
        <v>73</v>
      </c>
      <c r="G7" s="9">
        <v>3.5</v>
      </c>
      <c r="H7" s="14" t="s">
        <v>20</v>
      </c>
      <c r="I7" s="36" t="s">
        <v>75</v>
      </c>
    </row>
    <row r="8" spans="2:9" ht="26" x14ac:dyDescent="0.3">
      <c r="B8" s="16" t="s">
        <v>72</v>
      </c>
      <c r="C8" s="14" t="s">
        <v>16</v>
      </c>
      <c r="D8" s="36" t="s">
        <v>76</v>
      </c>
      <c r="E8" s="9" t="s">
        <v>40</v>
      </c>
      <c r="F8" s="14" t="s">
        <v>73</v>
      </c>
      <c r="G8" s="9">
        <v>2.5</v>
      </c>
      <c r="H8" s="14" t="s">
        <v>20</v>
      </c>
      <c r="I8" s="36" t="s">
        <v>77</v>
      </c>
    </row>
    <row r="9" spans="2:9" ht="26" x14ac:dyDescent="0.3">
      <c r="B9" s="16" t="s">
        <v>72</v>
      </c>
      <c r="C9" s="14" t="s">
        <v>14</v>
      </c>
      <c r="D9" s="36" t="s">
        <v>80</v>
      </c>
      <c r="E9" s="9" t="s">
        <v>40</v>
      </c>
      <c r="F9" s="14" t="s">
        <v>73</v>
      </c>
      <c r="G9" s="9">
        <v>7.5</v>
      </c>
      <c r="H9" s="14" t="s">
        <v>20</v>
      </c>
      <c r="I9" s="36" t="s">
        <v>83</v>
      </c>
    </row>
    <row r="10" spans="2:9" ht="26" x14ac:dyDescent="0.3">
      <c r="B10" s="16" t="s">
        <v>72</v>
      </c>
      <c r="C10" s="14" t="s">
        <v>16</v>
      </c>
      <c r="D10" s="36" t="s">
        <v>84</v>
      </c>
      <c r="E10" s="9" t="s">
        <v>40</v>
      </c>
      <c r="F10" s="14" t="s">
        <v>73</v>
      </c>
      <c r="G10" s="9">
        <v>4.5</v>
      </c>
      <c r="H10" s="14" t="s">
        <v>20</v>
      </c>
      <c r="I10" s="36" t="s">
        <v>81</v>
      </c>
    </row>
    <row r="11" spans="2:9" ht="26" x14ac:dyDescent="0.3">
      <c r="B11" s="16" t="s">
        <v>72</v>
      </c>
      <c r="C11" s="14" t="s">
        <v>14</v>
      </c>
      <c r="D11" s="36" t="s">
        <v>85</v>
      </c>
      <c r="E11" s="9" t="s">
        <v>40</v>
      </c>
      <c r="F11" s="14" t="s">
        <v>73</v>
      </c>
      <c r="G11" s="9">
        <v>1</v>
      </c>
      <c r="H11" s="14" t="s">
        <v>27</v>
      </c>
      <c r="I11" s="36" t="s">
        <v>87</v>
      </c>
    </row>
    <row r="12" spans="2:9" ht="26" x14ac:dyDescent="0.3">
      <c r="B12" s="16" t="s">
        <v>72</v>
      </c>
      <c r="C12" s="14" t="s">
        <v>14</v>
      </c>
      <c r="D12" s="36" t="s">
        <v>88</v>
      </c>
      <c r="E12" s="9" t="s">
        <v>40</v>
      </c>
      <c r="F12" s="14" t="s">
        <v>73</v>
      </c>
      <c r="G12" s="9">
        <v>0.5</v>
      </c>
      <c r="H12" s="14" t="s">
        <v>20</v>
      </c>
      <c r="I12" s="36" t="s">
        <v>89</v>
      </c>
    </row>
    <row r="13" spans="2:9" ht="26" x14ac:dyDescent="0.3">
      <c r="B13" s="16" t="s">
        <v>72</v>
      </c>
      <c r="C13" s="14" t="s">
        <v>18</v>
      </c>
      <c r="D13" s="36"/>
      <c r="E13" s="9" t="s">
        <v>40</v>
      </c>
      <c r="F13" s="14" t="s">
        <v>73</v>
      </c>
      <c r="G13" s="9">
        <v>1.5</v>
      </c>
      <c r="H13" s="14" t="s">
        <v>24</v>
      </c>
      <c r="I13" s="36"/>
    </row>
    <row r="14" spans="2:9" ht="26" x14ac:dyDescent="0.3">
      <c r="B14" s="16" t="s">
        <v>72</v>
      </c>
      <c r="C14" s="14" t="s">
        <v>18</v>
      </c>
      <c r="D14" s="36"/>
      <c r="E14" s="9" t="s">
        <v>40</v>
      </c>
      <c r="F14" s="14" t="s">
        <v>73</v>
      </c>
      <c r="G14" s="9">
        <v>1</v>
      </c>
      <c r="H14" s="14" t="s">
        <v>82</v>
      </c>
      <c r="I14" s="36"/>
    </row>
    <row r="15" spans="2:9" ht="26" x14ac:dyDescent="0.3">
      <c r="B15" s="16" t="s">
        <v>72</v>
      </c>
      <c r="C15" s="14" t="s">
        <v>18</v>
      </c>
      <c r="D15" s="36"/>
      <c r="E15" s="9" t="s">
        <v>40</v>
      </c>
      <c r="F15" s="14" t="s">
        <v>73</v>
      </c>
      <c r="G15" s="9">
        <v>1</v>
      </c>
      <c r="H15" s="14" t="s">
        <v>38</v>
      </c>
      <c r="I15" s="36"/>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8"/>
      <c r="C21" s="14"/>
      <c r="D21" s="9"/>
      <c r="E21" s="9"/>
      <c r="F21" s="14"/>
      <c r="G21" s="9"/>
      <c r="H21" s="14"/>
      <c r="I21" s="12"/>
    </row>
    <row r="22" spans="2:9" x14ac:dyDescent="0.3">
      <c r="B22" s="8"/>
      <c r="C22" s="14"/>
      <c r="D22" s="9"/>
      <c r="E22" s="9"/>
      <c r="F22" s="14"/>
      <c r="G22" s="9"/>
      <c r="H22" s="14"/>
      <c r="I22" s="12"/>
    </row>
    <row r="23" spans="2:9" x14ac:dyDescent="0.3">
      <c r="B23" s="24"/>
      <c r="C23" s="25"/>
      <c r="D23" s="26"/>
      <c r="E23" s="26"/>
      <c r="F23" s="28" t="s">
        <v>67</v>
      </c>
      <c r="G23" s="33">
        <f>SUM(G3:G22)</f>
        <v>40</v>
      </c>
      <c r="H23" s="34"/>
      <c r="I23" s="35"/>
    </row>
    <row r="24" spans="2:9" ht="14.5" thickBot="1" x14ac:dyDescent="0.35">
      <c r="B24" s="20"/>
      <c r="C24" s="21"/>
      <c r="D24" s="22"/>
      <c r="E24" s="22"/>
      <c r="F24" s="27" t="s">
        <v>68</v>
      </c>
      <c r="G24" s="30">
        <v>5</v>
      </c>
      <c r="H24" s="31"/>
      <c r="I24" s="32"/>
    </row>
    <row r="25" spans="2:9" ht="14.5" thickTop="1" x14ac:dyDescent="0.3"/>
  </sheetData>
  <mergeCells count="2">
    <mergeCell ref="G24:I24"/>
    <mergeCell ref="G23:I23"/>
  </mergeCells>
  <phoneticPr fontId="10"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11" sqref="B11"/>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2024-12-20T09:27:18Z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