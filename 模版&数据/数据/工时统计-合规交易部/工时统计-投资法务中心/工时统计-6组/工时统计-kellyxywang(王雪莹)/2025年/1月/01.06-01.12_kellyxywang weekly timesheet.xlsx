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6E38EA90-391F-4FBA-BEEB-5F552D24796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<sst xmlns="http://schemas.openxmlformats.org/spreadsheetml/2006/main" count="202" uniqueCount="97">
  <si>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</si>
  <si>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</si>
  <si>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</si>
  <si>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</si>
  <si>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</si>
  <si>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</si>
  <si>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</si>
  <si>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</si>
  <si>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</si>
  <si>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</si>
  <si>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</si>
  <si>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</si>
  <si>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</si>
  <si>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</si>
  <si>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</si>
  <si>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</si>
  <si>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</si>
  <si>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</si>
  <si>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</si>
  <si>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</si>
  <si>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</si>
  <si>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</si>
  <si>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</si>
  <si>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</si>
  <si>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</si>
  <si>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</si>
  <si>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</si>
  <si>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</si>
  <si>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</si>
  <si>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</si>
  <si>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</si>
  <si>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</si>
  <si>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</si>
  <si>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</si>
  <si>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</si>
  <si>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</si>
  <si>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</si>
  <si>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</si>
  <si>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</si>
  <si>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</si>
  <si>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</si>
  <si>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</si>
  <si>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</si>
  <si>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</si>
  <si>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</si>
  <si>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</si>
  <si>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</si>
  <si>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</si>
  <si>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</si>
  <si>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</si>
  <si>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</si>
  <si>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</si>
  <si>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</si>
  <si>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</si>
  <si>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</si>
  <si>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</si>
  <si>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</si>
  <si>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</si>
  <si>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</si>
  <si>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</si>
  <si>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</si>
  <si>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</si>
  <si>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</si>
  <si>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</si>
  <si>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</si>
  <si>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</si>
  <si>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</si>
  <si>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</si>
  <si>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</si>
  <si>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</si>
  <si>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</si>
  <si>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</si>
  <si>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</si>
  <si>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</si>
  <si>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</si>
  <si>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</si>
  <si>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广州因陀罗软件有限公司</t>
  </si>
  <si>
    <t>海南阿凡题科技有限公司</t>
  </si>
  <si>
    <t xml:space="preserve">review transaction docs and deal summary info and provide relevant info upon MA's request </t>
    <phoneticPr fontId="10" type="noConversion"/>
  </si>
  <si>
    <t>BLOKS GROUP LIMITED</t>
  </si>
  <si>
    <t>Great Wall Club Inc</t>
  </si>
  <si>
    <t xml:space="preserve">review liquidator's request and discuss the same internally and externally </t>
    <phoneticPr fontId="10" type="noConversion"/>
  </si>
  <si>
    <t>互爱（北京）科技股份有限公司</t>
  </si>
  <si>
    <t>SANOTIZE RESEARCH AND DEVELOPMENT CORP.</t>
  </si>
  <si>
    <t>handling legal fee bills</t>
    <phoneticPr fontId="10" type="noConversion"/>
  </si>
  <si>
    <t>北京爱科农科技有限公司</t>
  </si>
  <si>
    <t xml:space="preserve">fill key terms on TIM based on latest financing docs; archieving docs on iwiki and imanage </t>
    <phoneticPr fontId="10" type="noConversion"/>
  </si>
  <si>
    <t>Owlstone Medical Limited</t>
  </si>
  <si>
    <t>Revolut Group Holdings Ltd</t>
  </si>
  <si>
    <t>handling post-closing matter</t>
    <phoneticPr fontId="10" type="noConversion"/>
  </si>
  <si>
    <t xml:space="preserve">reviewing placing materials; organizing case materials </t>
    <phoneticPr fontId="10" type="noConversion"/>
  </si>
  <si>
    <t xml:space="preserve">reviewing reviewing updated SSA, SHA, Target SPA as well as KIL; discussing with deal team and Shihui re issues on LF and deal arrangement; prepare key terms summary re IC memo; discussing issues with TPP </t>
    <phoneticPr fontId="10" type="noConversion"/>
  </si>
  <si>
    <t xml:space="preserve">reviewing memos re CMC listing; preparing for internal review materials </t>
    <phoneticPr fontId="10" type="noConversion"/>
  </si>
  <si>
    <t xml:space="preserve">review historic docs and discuss relevan issues upon deal team's request </t>
    <phoneticPr fontId="10" type="noConversion"/>
  </si>
  <si>
    <t xml:space="preserve">deal discussion; review deal docs and conduct relevant research </t>
    <phoneticPr fontId="10" type="noConversion"/>
  </si>
  <si>
    <t xml:space="preserve">review execution related materials; handle execution related matters </t>
    <phoneticPr fontId="10" type="noConversion"/>
  </si>
  <si>
    <t xml:space="preserve">reviewing round-trip investment memo and discuss relevant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</si>
</sst>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zoomScale="85" zoomScaleNormal="85" workbookViewId="0">
      <selection activeCell="I14" sqref="I14"/>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8.5</v>
      </c>
      <c r="H4" s="12" t="s">
        <v>20</v>
      </c>
      <c r="I4" s="29" t="s">
        <v>91</v>
      </c>
    </row>
    <row r="5" spans="2:9" ht="26" x14ac:dyDescent="0.3">
      <c r="B5" s="14" t="s">
        <v>72</v>
      </c>
      <c r="C5" s="12" t="s">
        <v>14</v>
      </c>
      <c r="D5" s="28" t="s">
        <v>74</v>
      </c>
      <c r="E5" s="9" t="s">
        <v>40</v>
      </c>
      <c r="F5" s="12" t="s">
        <v>73</v>
      </c>
      <c r="G5" s="27">
        <v>1.5</v>
      </c>
      <c r="H5" s="12" t="s">
        <v>28</v>
      </c>
      <c r="I5" s="29" t="s">
        <v>96</v>
      </c>
    </row>
    <row r="6" spans="2:9" ht="26" x14ac:dyDescent="0.3">
      <c r="B6" s="14" t="s">
        <v>72</v>
      </c>
      <c r="C6" s="12" t="s">
        <v>14</v>
      </c>
      <c r="D6" s="28" t="s">
        <v>83</v>
      </c>
      <c r="E6" s="9" t="s">
        <v>40</v>
      </c>
      <c r="F6" s="12" t="s">
        <v>73</v>
      </c>
      <c r="G6" s="9">
        <v>0.5</v>
      </c>
      <c r="H6" s="12" t="s">
        <v>27</v>
      </c>
      <c r="I6" s="29" t="s">
        <v>84</v>
      </c>
    </row>
    <row r="7" spans="2:9" ht="26" x14ac:dyDescent="0.3">
      <c r="B7" s="14" t="s">
        <v>72</v>
      </c>
      <c r="C7" s="12" t="s">
        <v>16</v>
      </c>
      <c r="D7" s="29" t="s">
        <v>79</v>
      </c>
      <c r="E7" s="9" t="s">
        <v>40</v>
      </c>
      <c r="F7" s="12" t="s">
        <v>73</v>
      </c>
      <c r="G7" s="9">
        <v>2.5</v>
      </c>
      <c r="H7" s="12" t="s">
        <v>20</v>
      </c>
      <c r="I7" s="29" t="s">
        <v>90</v>
      </c>
    </row>
    <row r="8" spans="2:9" ht="26" x14ac:dyDescent="0.3">
      <c r="B8" s="14" t="s">
        <v>72</v>
      </c>
      <c r="C8" s="12" t="s">
        <v>16</v>
      </c>
      <c r="D8" s="29" t="s">
        <v>77</v>
      </c>
      <c r="E8" s="9" t="s">
        <v>40</v>
      </c>
      <c r="F8" s="12" t="s">
        <v>73</v>
      </c>
      <c r="G8" s="9">
        <v>1.5</v>
      </c>
      <c r="H8" s="12" t="s">
        <v>20</v>
      </c>
      <c r="I8" s="29" t="s">
        <v>94</v>
      </c>
    </row>
    <row r="9" spans="2:9" ht="26" x14ac:dyDescent="0.3">
      <c r="B9" s="14" t="s">
        <v>72</v>
      </c>
      <c r="C9" s="12" t="s">
        <v>16</v>
      </c>
      <c r="D9" s="29" t="s">
        <v>85</v>
      </c>
      <c r="E9" s="9" t="s">
        <v>40</v>
      </c>
      <c r="F9" s="12" t="s">
        <v>73</v>
      </c>
      <c r="G9" s="9">
        <v>1.5</v>
      </c>
      <c r="H9" s="12" t="s">
        <v>20</v>
      </c>
      <c r="I9" s="29" t="s">
        <v>86</v>
      </c>
    </row>
    <row r="10" spans="2:9" ht="26" x14ac:dyDescent="0.3">
      <c r="B10" s="14" t="s">
        <v>72</v>
      </c>
      <c r="C10" s="12" t="s">
        <v>14</v>
      </c>
      <c r="D10" s="28" t="s">
        <v>82</v>
      </c>
      <c r="E10" s="9" t="s">
        <v>40</v>
      </c>
      <c r="F10" s="12" t="s">
        <v>73</v>
      </c>
      <c r="G10" s="9">
        <v>1</v>
      </c>
      <c r="H10" s="12" t="s">
        <v>27</v>
      </c>
      <c r="I10" s="29" t="s">
        <v>78</v>
      </c>
    </row>
    <row r="11" spans="2:9" ht="26" x14ac:dyDescent="0.3">
      <c r="B11" s="14" t="s">
        <v>72</v>
      </c>
      <c r="C11" s="12" t="s">
        <v>14</v>
      </c>
      <c r="D11" s="28" t="s">
        <v>76</v>
      </c>
      <c r="E11" s="9" t="s">
        <v>40</v>
      </c>
      <c r="F11" s="12" t="s">
        <v>73</v>
      </c>
      <c r="G11" s="9">
        <v>2.5</v>
      </c>
      <c r="H11" s="12" t="s">
        <v>27</v>
      </c>
      <c r="I11" s="29" t="s">
        <v>81</v>
      </c>
    </row>
    <row r="12" spans="2:9" ht="26" x14ac:dyDescent="0.3">
      <c r="B12" s="14" t="s">
        <v>72</v>
      </c>
      <c r="C12" s="12" t="s">
        <v>14</v>
      </c>
      <c r="D12" s="28" t="s">
        <v>87</v>
      </c>
      <c r="E12" s="9" t="s">
        <v>40</v>
      </c>
      <c r="F12" s="12" t="s">
        <v>73</v>
      </c>
      <c r="G12" s="9">
        <v>4.5</v>
      </c>
      <c r="H12" s="12" t="s">
        <v>27</v>
      </c>
      <c r="I12" s="29" t="s">
        <v>95</v>
      </c>
    </row>
    <row r="13" spans="2:9" ht="26" x14ac:dyDescent="0.3">
      <c r="B13" s="14" t="s">
        <v>72</v>
      </c>
      <c r="C13" s="12" t="s">
        <v>14</v>
      </c>
      <c r="D13" s="28" t="s">
        <v>88</v>
      </c>
      <c r="E13" s="9" t="s">
        <v>40</v>
      </c>
      <c r="F13" s="12" t="s">
        <v>73</v>
      </c>
      <c r="G13" s="9">
        <v>1.5</v>
      </c>
      <c r="H13" s="12" t="s">
        <v>27</v>
      </c>
      <c r="I13" s="29" t="s">
        <v>89</v>
      </c>
    </row>
    <row r="14" spans="2:9" ht="26" x14ac:dyDescent="0.3">
      <c r="B14" s="14" t="s">
        <v>72</v>
      </c>
      <c r="C14" s="12" t="s">
        <v>14</v>
      </c>
      <c r="D14" s="28" t="s">
        <v>80</v>
      </c>
      <c r="E14" s="9" t="s">
        <v>40</v>
      </c>
      <c r="F14" s="12" t="s">
        <v>73</v>
      </c>
      <c r="G14" s="9">
        <v>1.5</v>
      </c>
      <c r="H14" s="12" t="s">
        <v>20</v>
      </c>
      <c r="I14" s="29" t="s">
        <v>93</v>
      </c>
    </row>
    <row r="15" spans="2:9" ht="26" x14ac:dyDescent="0.3">
      <c r="B15" s="14" t="s">
        <v>72</v>
      </c>
      <c r="C15" s="12" t="s">
        <v>18</v>
      </c>
      <c r="D15" s="28"/>
      <c r="E15" s="9" t="s">
        <v>40</v>
      </c>
      <c r="F15" s="12" t="s">
        <v>73</v>
      </c>
      <c r="G15" s="9">
        <v>12</v>
      </c>
      <c r="H15" s="12" t="s">
        <v>27</v>
      </c>
      <c r="I15" s="29" t="s">
        <v>92</v>
      </c>
    </row>
    <row r="16" spans="2:9" ht="26" x14ac:dyDescent="0.3">
      <c r="B16" s="14" t="s">
        <v>72</v>
      </c>
      <c r="C16" s="12" t="s">
        <v>18</v>
      </c>
      <c r="D16" s="28"/>
      <c r="E16" s="9" t="s">
        <v>40</v>
      </c>
      <c r="F16" s="12" t="s">
        <v>73</v>
      </c>
      <c r="G16" s="9">
        <v>0.5</v>
      </c>
      <c r="H16" s="12" t="s">
        <v>75</v>
      </c>
      <c r="I16" s="29"/>
    </row>
    <row r="17" spans="2:9" x14ac:dyDescent="0.3">
      <c r="B17" s="8"/>
      <c r="C17" s="12"/>
      <c r="D17" s="9"/>
      <c r="E17" s="9"/>
      <c r="F17" s="12"/>
      <c r="G17" s="9"/>
      <c r="H17" s="12"/>
      <c r="I17" s="29"/>
    </row>
    <row r="18" spans="2:9" x14ac:dyDescent="0.3">
      <c r="B18" s="8"/>
      <c r="C18" s="12"/>
      <c r="D18" s="9"/>
      <c r="E18" s="9"/>
      <c r="F18" s="12"/>
      <c r="G18" s="9"/>
      <c r="H18" s="12"/>
      <c r="I18" s="29"/>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8"/>
      <c r="C21" s="12"/>
      <c r="D21" s="9"/>
      <c r="E21" s="9"/>
      <c r="F21" s="12"/>
      <c r="G21" s="9"/>
      <c r="H21" s="12"/>
      <c r="I21" s="28"/>
    </row>
    <row r="22" spans="2:9" x14ac:dyDescent="0.3">
      <c r="B22" s="8"/>
      <c r="C22" s="12"/>
      <c r="D22" s="9"/>
      <c r="E22" s="9"/>
      <c r="F22" s="12"/>
      <c r="G22" s="9"/>
      <c r="H22" s="12"/>
      <c r="I22" s="28"/>
    </row>
    <row r="23" spans="2:9" x14ac:dyDescent="0.3">
      <c r="B23" s="8"/>
      <c r="C23" s="12"/>
      <c r="D23" s="9"/>
      <c r="E23" s="9"/>
      <c r="F23" s="12"/>
      <c r="G23" s="9"/>
      <c r="H23" s="12"/>
      <c r="I23" s="28"/>
    </row>
    <row r="24" spans="2:9" x14ac:dyDescent="0.3">
      <c r="B24" s="22"/>
      <c r="C24" s="23"/>
      <c r="D24" s="24"/>
      <c r="E24" s="24"/>
      <c r="F24" s="26" t="s">
        <v>67</v>
      </c>
      <c r="G24" s="34">
        <f>SUM(G3:G23)</f>
        <v>39.5</v>
      </c>
      <c r="H24" s="35"/>
      <c r="I24" s="36"/>
    </row>
    <row r="25" spans="2:9" ht="14.5" thickBot="1" x14ac:dyDescent="0.35">
      <c r="B25" s="18"/>
      <c r="C25" s="19"/>
      <c r="D25" s="20"/>
      <c r="E25" s="20"/>
      <c r="F25" s="25" t="s">
        <v>68</v>
      </c>
      <c r="G25" s="31">
        <v>5</v>
      </c>
      <c r="H25" s="32"/>
      <c r="I25" s="33"/>
    </row>
    <row r="26" spans="2:9" ht="14.5" thickTop="1" x14ac:dyDescent="0.3"/>
  </sheetData>
  <mergeCells count="2">
    <mergeCell ref="G25:I25"/>
    <mergeCell ref="G24:I24"/>
  </mergeCells>
  <phoneticPr fontId="10"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2025-01-13T03:06:04Z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