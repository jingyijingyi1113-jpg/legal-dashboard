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5D20B9EF-CD69-40FE-BA7A-C44F6F86F2A5}"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<sst xmlns="http://schemas.openxmlformats.org/spreadsheetml/2006/main" count="274" uniqueCount="115">
  <si>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</si>
  <si>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</si>
  <si>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</si>
  <si>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</si>
  <si>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</si>
  <si>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</si>
  <si>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</si>
  <si>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</si>
  <si>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</si>
  <si>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</si>
  <si>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</si>
  <si>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</si>
  <si>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</si>
  <si>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</si>
  <si>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</si>
  <si>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</si>
  <si>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</si>
  <si>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</si>
  <si>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</si>
  <si>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</si>
  <si>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</si>
  <si>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</si>
  <si>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</si>
  <si>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</si>
  <si>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</si>
  <si>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</si>
  <si>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</si>
  <si>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</si>
  <si>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</si>
  <si>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</si>
  <si>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</si>
  <si>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</si>
  <si>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</si>
  <si>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</si>
  <si>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</si>
  <si>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</si>
  <si>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</si>
  <si>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</si>
  <si>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</si>
  <si>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</si>
  <si>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</si>
  <si>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</si>
  <si>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</si>
  <si>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</si>
  <si>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</si>
  <si>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</si>
  <si>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</si>
  <si>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</si>
  <si>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</si>
  <si>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</si>
  <si>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</si>
  <si>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</si>
  <si>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</si>
  <si>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</si>
  <si>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</si>
  <si>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</si>
  <si>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</si>
  <si>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</si>
  <si>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</si>
  <si>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</si>
  <si>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</si>
  <si>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</si>
  <si>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</si>
  <si>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</si>
  <si>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</si>
  <si>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</si>
  <si>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</si>
  <si>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</si>
  <si>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</si>
  <si>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</si>
  <si>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</si>
  <si>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</si>
  <si>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</si>
  <si>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</si>
  <si>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</si>
  <si>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</si>
  <si>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</si>
  <si>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精细化管理工具搭建 Adoption of refined management tools</t>
  </si>
  <si>
    <t>Eleventh Hour Games, Inc.</t>
  </si>
  <si>
    <t>Eleventh Hour Games, Inc.</t>
    <phoneticPr fontId="9" type="noConversion"/>
  </si>
  <si>
    <t>上海达龙信息科技有限公司</t>
  </si>
  <si>
    <t>北京爱科农科技有限公司</t>
  </si>
  <si>
    <t>上海无问芯穹智能科技有限公司...</t>
  </si>
  <si>
    <t>Tezign Tech&amp;Design Limited</t>
  </si>
  <si>
    <t>互爱（北京）科技股份有限公司</t>
  </si>
  <si>
    <t>CarParts</t>
    <phoneticPr fontId="9" type="noConversion"/>
  </si>
  <si>
    <t>杭州十字星文化创意有限公司</t>
  </si>
  <si>
    <t>discuss CFIUS issues with Ian and MA</t>
    <phoneticPr fontId="9" type="noConversion"/>
  </si>
  <si>
    <t xml:space="preserve">archieve B+ financing docs on iWiki; discuss redemption issues with deal team </t>
    <phoneticPr fontId="9" type="noConversion"/>
  </si>
  <si>
    <t>review B+ AIC filig docs to confirm new QIPO due date</t>
    <phoneticPr fontId="9" type="noConversion"/>
  </si>
  <si>
    <t xml:space="preserve">discuss with MA and target's counsel re SHA amendment </t>
    <phoneticPr fontId="9" type="noConversion"/>
  </si>
  <si>
    <t xml:space="preserve">review and commment on merger agreement, support agreement and BCA; review allocation schedule </t>
    <phoneticPr fontId="9" type="noConversion"/>
  </si>
  <si>
    <t xml:space="preserve">attend to emails re trade sale; discuss with deal team re merger agreement </t>
    <phoneticPr fontId="9" type="noConversion"/>
  </si>
  <si>
    <t>handle 2025Q2 legal fees summary</t>
    <phoneticPr fontId="9" type="noConversion"/>
  </si>
  <si>
    <t>handle sanction summary sent by Martin; Handle DI filing summary sent by Flora; Handle WFOE investment by Huanhao</t>
    <phoneticPr fontId="9" type="noConversion"/>
  </si>
  <si>
    <t>discuss update re DSP and follow up with Latham re the same</t>
    <phoneticPr fontId="9" type="noConversion"/>
  </si>
  <si>
    <t>闻泰生物</t>
  </si>
  <si>
    <t>discuss road-trip investment issues with Alicefeng</t>
    <phoneticPr fontId="9" type="noConversion"/>
  </si>
  <si>
    <t xml:space="preserve">review CFIUS and DSP analysis by Cov; draft follow questions with Cov; draft report email to Yan </t>
    <phoneticPr fontId="9" type="noConversion"/>
  </si>
  <si>
    <t>review updated SPA and email draft re name use</t>
    <phoneticPr fontId="9" type="noConversion"/>
  </si>
  <si>
    <t>Prepare deal summary and hand over to colleagues</t>
    <phoneticPr fontId="9" type="noConversion"/>
  </si>
  <si>
    <t>Owlstone Medical Ltd</t>
  </si>
  <si>
    <t xml:space="preserve">review monthly update sent by target </t>
    <phoneticPr fontId="9" type="noConversion"/>
  </si>
  <si>
    <t xml:space="preserve">further review NRL letter for finance team </t>
    <phoneticPr fontId="9" type="noConversion"/>
  </si>
  <si>
    <t xml:space="preserve">review and update comments to founder exit documents </t>
    <phoneticPr fontId="9" type="noConversion"/>
  </si>
  <si>
    <t>attend CTD meeting</t>
    <phoneticPr fontId="9" type="noConversion"/>
  </si>
  <si>
    <t>深圳市腾讯教育科技有限公司</t>
  </si>
  <si>
    <t xml:space="preserve">discuss deal issues with deal leader </t>
    <phoneticPr fontId="9" type="noConversion"/>
  </si>
  <si>
    <t>墨光新能科技（苏州）有限公司</t>
  </si>
  <si>
    <t>review and comment on new financing docs</t>
    <phoneticPr fontId="9" type="noConversion"/>
  </si>
  <si>
    <t>北京深言科技有限责任公司</t>
  </si>
  <si>
    <t xml:space="preserve">review financing docs and handle TIM execution </t>
    <phoneticPr fontId="9" type="noConversion"/>
  </si>
  <si>
    <t xml:space="preserve">review updated SHA </t>
    <phoneticPr fontId="9" type="noConversion"/>
  </si>
  <si>
    <t xml:space="preserve">review several versions of historic docs and summarize key terms re redemption right upon MA's request </t>
    <phoneticPr fontId="9" type="noConversion"/>
  </si>
  <si>
    <t>discuss terms issues with MA</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</si>
</sst>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3"/>
  <sheetViews>
    <sheetView tabSelected="1" topLeftCell="A4" zoomScaleNormal="100" workbookViewId="0">
      <selection activeCell="A11" sqref="A11:XFD11"/>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6">
      <c r="B4" s="14" t="s">
        <v>72</v>
      </c>
      <c r="C4" s="12" t="s">
        <v>14</v>
      </c>
      <c r="D4" s="28" t="s">
        <v>76</v>
      </c>
      <c r="E4" s="9" t="s">
        <v>40</v>
      </c>
      <c r="F4" s="12" t="s">
        <v>73</v>
      </c>
      <c r="G4" s="9">
        <v>0.5</v>
      </c>
      <c r="H4" s="12" t="s">
        <v>20</v>
      </c>
      <c r="I4" s="30" t="s">
        <v>103</v>
      </c>
    </row>
    <row r="5" spans="2:9" ht="42">
      <c r="B5" s="14" t="s">
        <v>72</v>
      </c>
      <c r="C5" s="12" t="s">
        <v>16</v>
      </c>
      <c r="D5" s="28" t="s">
        <v>85</v>
      </c>
      <c r="E5" s="9" t="s">
        <v>40</v>
      </c>
      <c r="F5" s="12" t="s">
        <v>73</v>
      </c>
      <c r="G5" s="9">
        <v>3</v>
      </c>
      <c r="H5" s="12" t="s">
        <v>20</v>
      </c>
      <c r="I5" s="30" t="s">
        <v>98</v>
      </c>
    </row>
    <row r="6" spans="2:9" ht="26">
      <c r="B6" s="14" t="s">
        <v>72</v>
      </c>
      <c r="C6" s="12" t="s">
        <v>16</v>
      </c>
      <c r="D6" s="28" t="s">
        <v>85</v>
      </c>
      <c r="E6" s="9" t="s">
        <v>40</v>
      </c>
      <c r="F6" s="12" t="s">
        <v>73</v>
      </c>
      <c r="G6" s="9">
        <v>2</v>
      </c>
      <c r="H6" s="12" t="s">
        <v>27</v>
      </c>
      <c r="I6" s="30" t="s">
        <v>87</v>
      </c>
    </row>
    <row r="7" spans="2:9" ht="42">
      <c r="B7" s="32" t="s">
        <v>72</v>
      </c>
      <c r="C7" s="12" t="s">
        <v>16</v>
      </c>
      <c r="D7" s="32" t="s">
        <v>84</v>
      </c>
      <c r="E7" s="9" t="s">
        <v>40</v>
      </c>
      <c r="F7" s="12" t="s">
        <v>73</v>
      </c>
      <c r="G7" s="9">
        <v>3</v>
      </c>
      <c r="H7" s="12" t="s">
        <v>20</v>
      </c>
      <c r="I7" s="30" t="s">
        <v>113</v>
      </c>
    </row>
    <row r="8" spans="2:9" ht="26">
      <c r="B8" s="32" t="s">
        <v>72</v>
      </c>
      <c r="C8" s="12" t="s">
        <v>16</v>
      </c>
      <c r="D8" s="32" t="s">
        <v>84</v>
      </c>
      <c r="E8" s="9" t="s">
        <v>40</v>
      </c>
      <c r="F8" s="12" t="s">
        <v>73</v>
      </c>
      <c r="G8" s="9">
        <v>0.5</v>
      </c>
      <c r="H8" s="12" t="s">
        <v>27</v>
      </c>
      <c r="I8" s="30" t="s">
        <v>114</v>
      </c>
    </row>
    <row r="9" spans="2:9" ht="42">
      <c r="B9" s="32" t="s">
        <v>72</v>
      </c>
      <c r="C9" s="12" t="s">
        <v>14</v>
      </c>
      <c r="D9" s="31" t="s">
        <v>79</v>
      </c>
      <c r="E9" s="9" t="s">
        <v>40</v>
      </c>
      <c r="F9" s="12" t="s">
        <v>73</v>
      </c>
      <c r="G9" s="9">
        <v>3.5</v>
      </c>
      <c r="H9" s="12" t="s">
        <v>20</v>
      </c>
      <c r="I9" s="30" t="s">
        <v>91</v>
      </c>
    </row>
    <row r="10" spans="2:9" ht="28">
      <c r="B10" s="32" t="s">
        <v>72</v>
      </c>
      <c r="C10" s="12" t="s">
        <v>14</v>
      </c>
      <c r="D10" s="31" t="s">
        <v>78</v>
      </c>
      <c r="E10" s="9" t="s">
        <v>40</v>
      </c>
      <c r="F10" s="12" t="s">
        <v>73</v>
      </c>
      <c r="G10" s="9">
        <v>1.5</v>
      </c>
      <c r="H10" s="12" t="s">
        <v>27</v>
      </c>
      <c r="I10" s="30" t="s">
        <v>92</v>
      </c>
    </row>
    <row r="11" spans="2:9" ht="26">
      <c r="B11" s="33" t="s">
        <v>72</v>
      </c>
      <c r="C11" s="34" t="s">
        <v>14</v>
      </c>
      <c r="D11" s="35" t="s">
        <v>80</v>
      </c>
      <c r="E11" s="36" t="s">
        <v>40</v>
      </c>
      <c r="F11" s="34" t="s">
        <v>73</v>
      </c>
      <c r="G11" s="36">
        <v>2.5</v>
      </c>
      <c r="H11" s="34" t="s">
        <v>20</v>
      </c>
      <c r="I11" s="30" t="s">
        <v>99</v>
      </c>
    </row>
    <row r="12" spans="2:9" ht="28">
      <c r="B12" s="33" t="s">
        <v>72</v>
      </c>
      <c r="C12" s="34" t="s">
        <v>14</v>
      </c>
      <c r="D12" s="35" t="s">
        <v>83</v>
      </c>
      <c r="E12" s="36" t="s">
        <v>40</v>
      </c>
      <c r="F12" s="34" t="s">
        <v>73</v>
      </c>
      <c r="G12" s="36">
        <v>2</v>
      </c>
      <c r="H12" s="34" t="s">
        <v>20</v>
      </c>
      <c r="I12" s="30" t="s">
        <v>104</v>
      </c>
    </row>
    <row r="13" spans="2:9" ht="26">
      <c r="B13" s="33" t="s">
        <v>72</v>
      </c>
      <c r="C13" s="34" t="s">
        <v>16</v>
      </c>
      <c r="D13" s="35" t="s">
        <v>101</v>
      </c>
      <c r="E13" s="36" t="s">
        <v>40</v>
      </c>
      <c r="F13" s="34" t="s">
        <v>73</v>
      </c>
      <c r="G13" s="36">
        <v>1</v>
      </c>
      <c r="H13" s="34" t="s">
        <v>20</v>
      </c>
      <c r="I13" s="30" t="s">
        <v>102</v>
      </c>
    </row>
    <row r="14" spans="2:9" ht="26">
      <c r="B14" s="33" t="s">
        <v>72</v>
      </c>
      <c r="C14" s="34" t="s">
        <v>14</v>
      </c>
      <c r="D14" s="35" t="s">
        <v>96</v>
      </c>
      <c r="E14" s="36" t="s">
        <v>40</v>
      </c>
      <c r="F14" s="34" t="s">
        <v>73</v>
      </c>
      <c r="G14" s="36">
        <v>0.5</v>
      </c>
      <c r="H14" s="34" t="s">
        <v>36</v>
      </c>
      <c r="I14" s="30" t="s">
        <v>97</v>
      </c>
    </row>
    <row r="15" spans="2:9" ht="26">
      <c r="B15" s="33" t="s">
        <v>72</v>
      </c>
      <c r="C15" s="34" t="s">
        <v>14</v>
      </c>
      <c r="D15" s="35" t="s">
        <v>110</v>
      </c>
      <c r="E15" s="36" t="s">
        <v>40</v>
      </c>
      <c r="F15" s="34" t="s">
        <v>73</v>
      </c>
      <c r="G15" s="36">
        <v>1</v>
      </c>
      <c r="H15" s="34" t="s">
        <v>20</v>
      </c>
      <c r="I15" s="30" t="s">
        <v>111</v>
      </c>
    </row>
    <row r="16" spans="2:9" ht="26">
      <c r="B16" s="33" t="s">
        <v>72</v>
      </c>
      <c r="C16" s="34" t="s">
        <v>14</v>
      </c>
      <c r="D16" s="35" t="s">
        <v>82</v>
      </c>
      <c r="E16" s="36" t="s">
        <v>40</v>
      </c>
      <c r="F16" s="34" t="s">
        <v>73</v>
      </c>
      <c r="G16" s="36">
        <v>0.5</v>
      </c>
      <c r="H16" s="34" t="s">
        <v>20</v>
      </c>
      <c r="I16" s="30" t="s">
        <v>112</v>
      </c>
    </row>
    <row r="17" spans="2:9" ht="28">
      <c r="B17" s="33" t="s">
        <v>72</v>
      </c>
      <c r="C17" s="34" t="s">
        <v>14</v>
      </c>
      <c r="D17" s="35" t="s">
        <v>82</v>
      </c>
      <c r="E17" s="36" t="s">
        <v>40</v>
      </c>
      <c r="F17" s="34" t="s">
        <v>73</v>
      </c>
      <c r="G17" s="36">
        <v>2</v>
      </c>
      <c r="H17" s="34" t="s">
        <v>27</v>
      </c>
      <c r="I17" s="30" t="s">
        <v>90</v>
      </c>
    </row>
    <row r="18" spans="2:9" ht="28">
      <c r="B18" s="33" t="s">
        <v>72</v>
      </c>
      <c r="C18" s="34" t="s">
        <v>16</v>
      </c>
      <c r="D18" s="35" t="s">
        <v>86</v>
      </c>
      <c r="E18" s="36" t="s">
        <v>40</v>
      </c>
      <c r="F18" s="34" t="s">
        <v>73</v>
      </c>
      <c r="G18" s="36">
        <v>2</v>
      </c>
      <c r="H18" s="34" t="s">
        <v>20</v>
      </c>
      <c r="I18" s="30" t="s">
        <v>89</v>
      </c>
    </row>
    <row r="19" spans="2:9" ht="28">
      <c r="B19" s="33" t="s">
        <v>72</v>
      </c>
      <c r="C19" s="34" t="s">
        <v>16</v>
      </c>
      <c r="D19" s="35" t="s">
        <v>86</v>
      </c>
      <c r="E19" s="36" t="s">
        <v>40</v>
      </c>
      <c r="F19" s="34" t="s">
        <v>73</v>
      </c>
      <c r="G19" s="36">
        <v>0.5</v>
      </c>
      <c r="H19" s="34" t="s">
        <v>27</v>
      </c>
      <c r="I19" s="30" t="s">
        <v>88</v>
      </c>
    </row>
    <row r="20" spans="2:9" ht="26">
      <c r="B20" s="33" t="s">
        <v>72</v>
      </c>
      <c r="C20" s="34" t="s">
        <v>16</v>
      </c>
      <c r="D20" s="35" t="s">
        <v>106</v>
      </c>
      <c r="E20" s="36" t="s">
        <v>40</v>
      </c>
      <c r="F20" s="34" t="s">
        <v>73</v>
      </c>
      <c r="G20" s="36">
        <v>0.5</v>
      </c>
      <c r="H20" s="34" t="s">
        <v>27</v>
      </c>
      <c r="I20" s="30" t="s">
        <v>107</v>
      </c>
    </row>
    <row r="21" spans="2:9" ht="26">
      <c r="B21" s="33" t="s">
        <v>72</v>
      </c>
      <c r="C21" s="34" t="s">
        <v>14</v>
      </c>
      <c r="D21" s="35" t="s">
        <v>108</v>
      </c>
      <c r="E21" s="36" t="s">
        <v>40</v>
      </c>
      <c r="F21" s="34" t="s">
        <v>73</v>
      </c>
      <c r="G21" s="36">
        <v>2.5</v>
      </c>
      <c r="H21" s="34" t="s">
        <v>20</v>
      </c>
      <c r="I21" s="30" t="s">
        <v>109</v>
      </c>
    </row>
    <row r="22" spans="2:9" ht="42">
      <c r="B22" s="14" t="s">
        <v>72</v>
      </c>
      <c r="C22" s="12" t="s">
        <v>18</v>
      </c>
      <c r="D22" s="12"/>
      <c r="E22" s="9" t="s">
        <v>40</v>
      </c>
      <c r="F22" s="12" t="s">
        <v>77</v>
      </c>
      <c r="G22" s="9">
        <v>4.5</v>
      </c>
      <c r="H22" s="12" t="s">
        <v>74</v>
      </c>
      <c r="I22" s="30" t="s">
        <v>94</v>
      </c>
    </row>
    <row r="23" spans="2:9" ht="26">
      <c r="B23" s="14" t="s">
        <v>72</v>
      </c>
      <c r="C23" s="12" t="s">
        <v>18</v>
      </c>
      <c r="D23" s="12"/>
      <c r="E23" s="9" t="s">
        <v>27</v>
      </c>
      <c r="F23" s="12" t="s">
        <v>77</v>
      </c>
      <c r="G23" s="9">
        <v>2</v>
      </c>
      <c r="H23" s="12" t="s">
        <v>38</v>
      </c>
      <c r="I23" s="30" t="s">
        <v>93</v>
      </c>
    </row>
    <row r="24" spans="2:9" ht="26">
      <c r="B24" s="14" t="s">
        <v>72</v>
      </c>
      <c r="C24" s="12" t="s">
        <v>18</v>
      </c>
      <c r="D24" s="27"/>
      <c r="E24" s="9" t="s">
        <v>27</v>
      </c>
      <c r="F24" s="12"/>
      <c r="G24" s="9">
        <v>1</v>
      </c>
      <c r="H24" s="12" t="s">
        <v>74</v>
      </c>
      <c r="I24" s="37"/>
    </row>
    <row r="25" spans="2:9" ht="28">
      <c r="B25" s="14" t="s">
        <v>72</v>
      </c>
      <c r="C25" s="12" t="s">
        <v>75</v>
      </c>
      <c r="D25" s="27"/>
      <c r="E25" s="9" t="s">
        <v>40</v>
      </c>
      <c r="F25" s="12" t="s">
        <v>77</v>
      </c>
      <c r="G25" s="9">
        <v>1</v>
      </c>
      <c r="H25" s="12" t="s">
        <v>23</v>
      </c>
      <c r="I25" s="30" t="s">
        <v>95</v>
      </c>
    </row>
    <row r="26" spans="2:9" ht="26">
      <c r="B26" s="14" t="s">
        <v>72</v>
      </c>
      <c r="C26" s="12" t="s">
        <v>18</v>
      </c>
      <c r="D26" s="27"/>
      <c r="E26" s="9" t="s">
        <v>40</v>
      </c>
      <c r="F26" s="12" t="s">
        <v>77</v>
      </c>
      <c r="G26" s="9">
        <v>0.5</v>
      </c>
      <c r="H26" s="12" t="s">
        <v>24</v>
      </c>
      <c r="I26" s="30" t="s">
        <v>105</v>
      </c>
    </row>
    <row r="27" spans="2:9" ht="28">
      <c r="B27" s="14" t="s">
        <v>72</v>
      </c>
      <c r="C27" s="12" t="s">
        <v>18</v>
      </c>
      <c r="D27" s="27"/>
      <c r="E27" s="9" t="s">
        <v>27</v>
      </c>
      <c r="F27" s="12"/>
      <c r="G27" s="9">
        <v>2.5</v>
      </c>
      <c r="H27" s="12" t="s">
        <v>27</v>
      </c>
      <c r="I27" s="30" t="s">
        <v>100</v>
      </c>
    </row>
    <row r="28" spans="2:9">
      <c r="B28" s="8"/>
      <c r="C28" s="12"/>
      <c r="D28" s="9"/>
      <c r="E28" s="9"/>
      <c r="F28" s="12"/>
      <c r="G28" s="9"/>
      <c r="H28" s="12"/>
      <c r="I28" s="27"/>
    </row>
    <row r="29" spans="2:9">
      <c r="B29" s="22"/>
      <c r="C29" s="23"/>
      <c r="D29" s="24"/>
      <c r="E29" s="24"/>
      <c r="F29" s="26" t="s">
        <v>67</v>
      </c>
      <c r="G29" s="42">
        <f>SUM(G3:G28)</f>
        <v>40.5</v>
      </c>
      <c r="H29" s="43"/>
      <c r="I29" s="44"/>
    </row>
    <row r="30" spans="2:9" ht="14.5" thickBot="1">
      <c r="B30" s="18"/>
      <c r="C30" s="19"/>
      <c r="D30" s="20"/>
      <c r="E30" s="20"/>
      <c r="F30" s="25" t="s">
        <v>68</v>
      </c>
      <c r="G30" s="39">
        <v>5</v>
      </c>
      <c r="H30" s="40"/>
      <c r="I30" s="41"/>
    </row>
    <row r="31" spans="2:9" ht="14.5" thickTop="1"/>
    <row r="33" spans="4:4">
      <c r="D33" s="38" t="s">
        <v>81</v>
      </c>
    </row>
  </sheetData>
  <mergeCells count="2">
    <mergeCell ref="G30:I30"/>
    <mergeCell ref="G29:I29"/>
  </mergeCells>
  <phoneticPr fontId="9" type="noConversion"/>
  <dataValidations count="2">
    <dataValidation type="list" allowBlank="1" showInputMessage="1" showErrorMessage="1" sqref="H4:H28" xr:uid="{0BF10170-DCE1-4490-BC75-58E0D530AC22}">
      <formula1>hh</formula1>
    </dataValidation>
    <dataValidation type="list" allowBlank="1" showInputMessage="1" showErrorMessage="1" sqref="F4:F28"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E4:E30</xm:sqref>
        </x14:dataValidation>
        <x14:dataValidation type="list" allowBlank="1" showInputMessage="1" showErrorMessage="1" xr:uid="{A5CA3101-23BF-4ADF-B4C7-F040CA3B71C2}">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2025-07-11T10:16:29Z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