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D:\周报\"/>
    </mc:Choice>
  </mc:AlternateContent>
  <xr:revisionPtr revIDLastSave="0" documentId="13_ncr:1_{89C7DF72-62B9-45A9-A3AC-7BAD033F2144}" xr6:coauthVersionLast="47" xr6:coauthVersionMax="47" xr10:uidLastSave="{00000000-0000-0000-0000-000000000000}"/>
  <bookViews>
    <workbookView xWindow="-110" yWindow="-110" windowWidth="38620" windowHeight="212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LE_LINK1" localSheetId="0">个人工时记录表!#REF!</definedName>
    <definedName name="Others">数据标签!$D$12:$D$27</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6" i="1" l="1"/>
</calcChain>
</file>

<file path=xl/sharedStrings.xml><?xml version="1.0" encoding="utf-8"?>
<sst xmlns="http://schemas.openxmlformats.org/spreadsheetml/2006/main" count="254" uniqueCount="110">
  <si>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</si>
  <si>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</si>
  <si>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</si>
  <si>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</si>
  <si>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</si>
  <si>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</si>
  <si>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</si>
  <si>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</si>
  <si>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</si>
  <si>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</si>
  <si>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</si>
  <si>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</si>
  <si>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</si>
  <si>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</si>
  <si>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</si>
  <si>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</si>
  <si>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</si>
  <si>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</si>
  <si>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</si>
  <si>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</si>
  <si>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</si>
  <si>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</si>
  <si>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</si>
  <si>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</si>
  <si>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</si>
  <si>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</si>
  <si>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</si>
  <si>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</si>
  <si>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</si>
  <si>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</si>
  <si>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</si>
  <si>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</si>
  <si>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</si>
  <si>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</si>
  <si>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</si>
  <si>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</si>
  <si>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</si>
  <si>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</si>
  <si>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</si>
  <si>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</si>
  <si>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</si>
  <si>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</si>
  <si>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</si>
  <si>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</si>
  <si>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</si>
  <si>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</si>
  <si>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</si>
  <si>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</si>
  <si>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</si>
  <si>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</si>
  <si>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</si>
  <si>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</si>
  <si>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</si>
  <si>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</si>
  <si>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</si>
  <si>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</si>
  <si>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</si>
  <si>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</si>
  <si>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</si>
  <si>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</si>
  <si>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</si>
  <si>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</si>
  <si>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</si>
  <si>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</si>
  <si>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</si>
  <si>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</si>
  <si>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</si>
  <si>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</si>
  <si>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</si>
  <si>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</si>
  <si>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</si>
  <si>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</si>
  <si>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kellyxywang</t>
    <phoneticPr fontId="7" type="noConversion"/>
  </si>
  <si>
    <t>投资项目全流程法务支持 Full-process legal support for investments</t>
  </si>
  <si>
    <t>Recording/reviewing deals updates/weekly time reports/other team summaries</t>
  </si>
  <si>
    <t>Public - Knowledge Accumulation &amp; Sharing</t>
  </si>
  <si>
    <t>影石创新科技股份有限公司</t>
  </si>
  <si>
    <t>国际监管趋势监测、预判 Monitoring and forecasting international regulatory trends</t>
  </si>
  <si>
    <t>精细化管理工具搭建 Adoption of refined management tools</t>
  </si>
  <si>
    <t>Eleventh Hour Games, Inc.</t>
  </si>
  <si>
    <t>Eleventh Hour Games, Inc.</t>
    <phoneticPr fontId="9" type="noConversion"/>
  </si>
  <si>
    <t>上海达龙信息科技有限公司</t>
  </si>
  <si>
    <t>北京爱科农科技有限公司</t>
  </si>
  <si>
    <t>墨光新能科技（苏州）有限公司</t>
  </si>
  <si>
    <t>Providing training sessions/knowledge sharing</t>
  </si>
  <si>
    <t>上海无问芯穹智能科技有限公司...</t>
  </si>
  <si>
    <t xml:space="preserve">review LDDR for new financing round </t>
    <phoneticPr fontId="9" type="noConversion"/>
  </si>
  <si>
    <t>腾云悦智科技（深圳）有限责任公司</t>
  </si>
  <si>
    <t xml:space="preserve">review and comment declaration letter re confidential qualification </t>
    <phoneticPr fontId="9" type="noConversion"/>
  </si>
  <si>
    <t xml:space="preserve">discuss with deal team about declaration letter re confidential qualification </t>
    <phoneticPr fontId="9" type="noConversion"/>
  </si>
  <si>
    <t>Tezign Tech&amp;Design Limited</t>
  </si>
  <si>
    <t xml:space="preserve">review closing docs for IDG transfer; review NRL&amp;fee sharing agreement for finance team </t>
    <phoneticPr fontId="9" type="noConversion"/>
  </si>
  <si>
    <t xml:space="preserve">review a set of documents re founder exit  along with historic financing docs and VIE docs </t>
    <phoneticPr fontId="9" type="noConversion"/>
  </si>
  <si>
    <t xml:space="preserve">install new comparison software </t>
    <phoneticPr fontId="9" type="noConversion"/>
  </si>
  <si>
    <t>study Legal Update - Nippon Steel/US Steel Acquisition</t>
    <phoneticPr fontId="9" type="noConversion"/>
  </si>
  <si>
    <t>review and comments restructuring plan</t>
    <phoneticPr fontId="9" type="noConversion"/>
  </si>
  <si>
    <t xml:space="preserve">review several versions of transaction docs re merger </t>
    <phoneticPr fontId="9" type="noConversion"/>
  </si>
  <si>
    <t>互爱（北京）科技股份有限公司</t>
  </si>
  <si>
    <t xml:space="preserve">review board resolutions along with historic financing docs </t>
    <phoneticPr fontId="9" type="noConversion"/>
  </si>
  <si>
    <t xml:space="preserve">review several versions of transaction docs re exit; review AIC filing docs  </t>
    <phoneticPr fontId="9" type="noConversion"/>
  </si>
  <si>
    <t>discuss issues re exit agreements with counsel</t>
    <phoneticPr fontId="9" type="noConversion"/>
  </si>
  <si>
    <t>review and comment on new financing docs; tidy up comments re financing agreements and send the same to target</t>
    <phoneticPr fontId="9" type="noConversion"/>
  </si>
  <si>
    <t>广州因陀罗软件有限公司</t>
  </si>
  <si>
    <t xml:space="preserve">review bankruptcy related docs </t>
    <phoneticPr fontId="9" type="noConversion"/>
  </si>
  <si>
    <t xml:space="preserve">handle TIM filing </t>
    <phoneticPr fontId="9" type="noConversion"/>
  </si>
  <si>
    <t>厦门小题旅行科技有限公司</t>
  </si>
  <si>
    <t>download and review last round financing docs; file the same on iWiki/; discuss issues with MA</t>
    <phoneticPr fontId="9" type="noConversion"/>
  </si>
  <si>
    <t>draft and handle multiple emails re merger related issues internally and exteranlly; report legal fee update to Erintian</t>
    <phoneticPr fontId="9" type="noConversion"/>
  </si>
  <si>
    <t>法务管理节点第二批的填写; draft email in CFIUS/DSP summary</t>
    <phoneticPr fontId="9" type="noConversion"/>
  </si>
  <si>
    <t>review several versions of updated ESOP docs</t>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</si>
</sst>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9"/>
      <name val="等线"/>
      <family val="2"/>
      <charset val="134"/>
      <scheme val="minor"/>
    </font>
    <font>
      <sz val="11"/>
      <color theme="1"/>
      <name val="等线"/>
      <family val="3"/>
      <charset val="134"/>
      <scheme val="minor"/>
    </font>
    <font>
      <sz val="7"/>
      <color rgb="FFFFFFFF"/>
      <name val="PingFang SC"/>
      <family val="2"/>
    </font>
  </fonts>
  <fills count="3">
    <fill>
      <patternFill patternType="none"/>
    </fill>
    <fill>
      <patternFill patternType="gray125"/>
    </fill>
    <fill>
      <patternFill patternType="solid">
        <fgColor theme="8" tint="0.79995117038483843"/>
        <bgColor indexed="64"/>
      </patternFill>
    </fill>
  </fills>
  <borders count="20">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alignment vertical="center"/>
    </xf>
  </cellStyleXfs>
  <cellXfs count="4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5" fillId="0" borderId="8" xfId="0" applyFont="1" applyBorder="1" applyAlignment="1">
      <alignment vertical="center" wrapText="1"/>
    </xf>
    <xf numFmtId="0" fontId="1" fillId="0" borderId="8" xfId="0" applyFont="1" applyBorder="1" applyAlignment="1">
      <alignment vertical="center" wrapText="1"/>
    </xf>
    <xf numFmtId="0" fontId="6" fillId="0" borderId="7" xfId="0" applyFont="1" applyBorder="1" applyAlignment="1">
      <alignment horizontal="center" vertical="center" wrapText="1"/>
    </xf>
    <xf numFmtId="0" fontId="10" fillId="0" borderId="4" xfId="0" applyFont="1" applyBorder="1" applyAlignment="1">
      <alignment vertical="center" wrapText="1"/>
    </xf>
    <xf numFmtId="0" fontId="10" fillId="0" borderId="4" xfId="0" applyFont="1" applyBorder="1">
      <alignment vertical="center"/>
    </xf>
    <xf numFmtId="0" fontId="1" fillId="0" borderId="4" xfId="0" applyFont="1" applyBorder="1">
      <alignment vertical="center"/>
    </xf>
    <xf numFmtId="0" fontId="1" fillId="0" borderId="19" xfId="0" applyFont="1" applyBorder="1">
      <alignment vertical="center"/>
    </xf>
    <xf numFmtId="0" fontId="5" fillId="0" borderId="19" xfId="0" applyFont="1" applyBorder="1" applyAlignment="1">
      <alignment vertical="center" wrapText="1"/>
    </xf>
    <xf numFmtId="0" fontId="1" fillId="0" borderId="19" xfId="0" applyFont="1" applyBorder="1" applyAlignment="1">
      <alignment vertical="center" wrapText="1"/>
    </xf>
    <xf numFmtId="0" fontId="5" fillId="0" borderId="19" xfId="0" applyFont="1" applyBorder="1">
      <alignment vertical="center"/>
    </xf>
    <xf numFmtId="0" fontId="0" fillId="0" borderId="4" xfId="0" applyBorder="1" applyAlignment="1">
      <alignment vertical="center" wrapText="1"/>
    </xf>
    <xf numFmtId="0" fontId="11" fillId="0" borderId="0" xfId="0" applyFont="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30"/>
  <sheetViews>
    <sheetView tabSelected="1" topLeftCell="A3" zoomScaleNormal="100" workbookViewId="0">
      <selection activeCell="G9" sqref="G9"/>
    </sheetView>
  </sheetViews>
  <sheetFormatPr defaultColWidth="9" defaultRowHeight="14"/>
  <cols>
    <col min="3" max="3" width="34.4140625" style="13" customWidth="1"/>
    <col min="4" max="4" width="25.6640625" customWidth="1"/>
    <col min="5" max="5" width="10.58203125" customWidth="1"/>
    <col min="6" max="6" width="29.9140625" style="13" customWidth="1"/>
    <col min="8" max="8" width="41.58203125" style="13" customWidth="1"/>
    <col min="9" max="9" width="39.83203125" style="13" customWidth="1"/>
  </cols>
  <sheetData>
    <row r="1" spans="2:9" ht="14.5" thickBot="1"/>
    <row r="2" spans="2:9" ht="26.5" thickTop="1">
      <c r="B2" s="4" t="s">
        <v>0</v>
      </c>
      <c r="C2" s="5" t="s">
        <v>70</v>
      </c>
      <c r="D2" s="5" t="s">
        <v>1</v>
      </c>
      <c r="E2" s="5" t="s">
        <v>2</v>
      </c>
      <c r="F2" s="5" t="s">
        <v>3</v>
      </c>
      <c r="G2" s="5" t="s">
        <v>4</v>
      </c>
      <c r="H2" s="5" t="s">
        <v>5</v>
      </c>
      <c r="I2" s="29" t="s">
        <v>6</v>
      </c>
    </row>
    <row r="3" spans="2:9" ht="207.9" customHeight="1">
      <c r="B3" s="6" t="s">
        <v>7</v>
      </c>
      <c r="C3" s="7" t="s">
        <v>8</v>
      </c>
      <c r="D3" s="7" t="s">
        <v>9</v>
      </c>
      <c r="E3" s="7" t="s">
        <v>59</v>
      </c>
      <c r="F3" s="7" t="s">
        <v>57</v>
      </c>
      <c r="G3" s="7" t="s">
        <v>10</v>
      </c>
      <c r="H3" s="7" t="s">
        <v>11</v>
      </c>
      <c r="I3" s="10" t="s">
        <v>12</v>
      </c>
    </row>
    <row r="4" spans="2:9" ht="28">
      <c r="B4" s="14" t="s">
        <v>72</v>
      </c>
      <c r="C4" s="12" t="s">
        <v>14</v>
      </c>
      <c r="D4" s="28" t="s">
        <v>76</v>
      </c>
      <c r="E4" s="9" t="s">
        <v>40</v>
      </c>
      <c r="F4" s="12" t="s">
        <v>73</v>
      </c>
      <c r="G4" s="9">
        <v>1.5</v>
      </c>
      <c r="H4" s="12" t="s">
        <v>20</v>
      </c>
      <c r="I4" s="30" t="s">
        <v>91</v>
      </c>
    </row>
    <row r="5" spans="2:9" ht="26">
      <c r="B5" s="14" t="s">
        <v>72</v>
      </c>
      <c r="C5" s="12" t="s">
        <v>14</v>
      </c>
      <c r="D5" s="28" t="s">
        <v>82</v>
      </c>
      <c r="E5" s="9" t="s">
        <v>40</v>
      </c>
      <c r="F5" s="12" t="s">
        <v>73</v>
      </c>
      <c r="G5" s="9">
        <v>1</v>
      </c>
      <c r="H5" s="12" t="s">
        <v>27</v>
      </c>
      <c r="I5" s="30" t="s">
        <v>95</v>
      </c>
    </row>
    <row r="6" spans="2:9" ht="26">
      <c r="B6" s="14" t="s">
        <v>72</v>
      </c>
      <c r="C6" s="12" t="s">
        <v>14</v>
      </c>
      <c r="D6" s="28" t="s">
        <v>83</v>
      </c>
      <c r="E6" s="9" t="s">
        <v>40</v>
      </c>
      <c r="F6" s="12" t="s">
        <v>73</v>
      </c>
      <c r="G6" s="9">
        <v>0.5</v>
      </c>
      <c r="H6" s="12" t="s">
        <v>27</v>
      </c>
      <c r="I6" s="30" t="s">
        <v>104</v>
      </c>
    </row>
    <row r="7" spans="2:9" ht="28">
      <c r="B7" s="32" t="s">
        <v>72</v>
      </c>
      <c r="C7" s="12" t="s">
        <v>16</v>
      </c>
      <c r="D7" s="32" t="s">
        <v>97</v>
      </c>
      <c r="E7" s="9" t="s">
        <v>40</v>
      </c>
      <c r="F7" s="12" t="s">
        <v>73</v>
      </c>
      <c r="G7" s="9">
        <v>2</v>
      </c>
      <c r="H7" s="12" t="s">
        <v>25</v>
      </c>
      <c r="I7" s="30" t="s">
        <v>98</v>
      </c>
    </row>
    <row r="8" spans="2:9" ht="28">
      <c r="B8" s="32" t="s">
        <v>72</v>
      </c>
      <c r="C8" s="12" t="s">
        <v>16</v>
      </c>
      <c r="D8" s="31" t="s">
        <v>80</v>
      </c>
      <c r="E8" s="9" t="s">
        <v>40</v>
      </c>
      <c r="F8" s="12" t="s">
        <v>73</v>
      </c>
      <c r="G8" s="9">
        <v>5.5</v>
      </c>
      <c r="H8" s="12" t="s">
        <v>20</v>
      </c>
      <c r="I8" s="30" t="s">
        <v>96</v>
      </c>
    </row>
    <row r="9" spans="2:9" ht="42">
      <c r="B9" s="32" t="s">
        <v>72</v>
      </c>
      <c r="C9" s="12" t="s">
        <v>16</v>
      </c>
      <c r="D9" s="31" t="s">
        <v>79</v>
      </c>
      <c r="E9" s="9" t="s">
        <v>40</v>
      </c>
      <c r="F9" s="12" t="s">
        <v>73</v>
      </c>
      <c r="G9" s="9">
        <v>2.5</v>
      </c>
      <c r="H9" s="12" t="s">
        <v>27</v>
      </c>
      <c r="I9" s="30" t="s">
        <v>107</v>
      </c>
    </row>
    <row r="10" spans="2:9" ht="26">
      <c r="B10" s="32" t="s">
        <v>72</v>
      </c>
      <c r="C10" s="12" t="s">
        <v>16</v>
      </c>
      <c r="D10" s="31" t="s">
        <v>105</v>
      </c>
      <c r="E10" s="9" t="s">
        <v>40</v>
      </c>
      <c r="F10" s="12" t="s">
        <v>73</v>
      </c>
      <c r="G10" s="9">
        <v>2.5</v>
      </c>
      <c r="H10" s="12" t="s">
        <v>20</v>
      </c>
      <c r="I10" s="30" t="s">
        <v>109</v>
      </c>
    </row>
    <row r="11" spans="2:9" ht="28">
      <c r="B11" s="33" t="s">
        <v>72</v>
      </c>
      <c r="C11" s="34" t="s">
        <v>16</v>
      </c>
      <c r="D11" s="35" t="s">
        <v>81</v>
      </c>
      <c r="E11" s="36" t="s">
        <v>40</v>
      </c>
      <c r="F11" s="34" t="s">
        <v>73</v>
      </c>
      <c r="G11" s="36">
        <v>3.5</v>
      </c>
      <c r="H11" s="34" t="s">
        <v>20</v>
      </c>
      <c r="I11" s="30" t="s">
        <v>99</v>
      </c>
    </row>
    <row r="12" spans="2:9" ht="26">
      <c r="B12" s="33" t="s">
        <v>72</v>
      </c>
      <c r="C12" s="34" t="s">
        <v>16</v>
      </c>
      <c r="D12" s="35" t="s">
        <v>81</v>
      </c>
      <c r="E12" s="36" t="s">
        <v>40</v>
      </c>
      <c r="F12" s="34" t="s">
        <v>73</v>
      </c>
      <c r="G12" s="36">
        <v>1</v>
      </c>
      <c r="H12" s="34" t="s">
        <v>27</v>
      </c>
      <c r="I12" s="30" t="s">
        <v>100</v>
      </c>
    </row>
    <row r="13" spans="2:9" ht="28">
      <c r="B13" s="33" t="s">
        <v>72</v>
      </c>
      <c r="C13" s="34" t="s">
        <v>16</v>
      </c>
      <c r="D13" s="35" t="s">
        <v>90</v>
      </c>
      <c r="E13" s="36" t="s">
        <v>40</v>
      </c>
      <c r="F13" s="34" t="s">
        <v>73</v>
      </c>
      <c r="G13" s="36">
        <v>5.5</v>
      </c>
      <c r="H13" s="34" t="s">
        <v>20</v>
      </c>
      <c r="I13" s="30" t="s">
        <v>92</v>
      </c>
    </row>
    <row r="14" spans="2:9" ht="26">
      <c r="B14" s="33" t="s">
        <v>72</v>
      </c>
      <c r="C14" s="34" t="s">
        <v>16</v>
      </c>
      <c r="D14" s="35" t="s">
        <v>85</v>
      </c>
      <c r="E14" s="36" t="s">
        <v>40</v>
      </c>
      <c r="F14" s="34" t="s">
        <v>73</v>
      </c>
      <c r="G14" s="36">
        <v>2</v>
      </c>
      <c r="H14" s="34" t="s">
        <v>25</v>
      </c>
      <c r="I14" s="30" t="s">
        <v>86</v>
      </c>
    </row>
    <row r="15" spans="2:9" ht="42">
      <c r="B15" s="33" t="s">
        <v>72</v>
      </c>
      <c r="C15" s="34" t="s">
        <v>16</v>
      </c>
      <c r="D15" s="35" t="s">
        <v>85</v>
      </c>
      <c r="E15" s="36" t="s">
        <v>40</v>
      </c>
      <c r="F15" s="34" t="s">
        <v>73</v>
      </c>
      <c r="G15" s="36">
        <v>3.5</v>
      </c>
      <c r="H15" s="34" t="s">
        <v>20</v>
      </c>
      <c r="I15" s="30" t="s">
        <v>101</v>
      </c>
    </row>
    <row r="16" spans="2:9" ht="28">
      <c r="B16" s="33" t="s">
        <v>72</v>
      </c>
      <c r="C16" s="34" t="s">
        <v>16</v>
      </c>
      <c r="D16" s="35" t="s">
        <v>85</v>
      </c>
      <c r="E16" s="36" t="s">
        <v>40</v>
      </c>
      <c r="F16" s="34" t="s">
        <v>73</v>
      </c>
      <c r="G16" s="36">
        <v>1.5</v>
      </c>
      <c r="H16" s="34" t="s">
        <v>27</v>
      </c>
      <c r="I16" s="30" t="s">
        <v>106</v>
      </c>
    </row>
    <row r="17" spans="2:9" ht="26">
      <c r="B17" s="33" t="s">
        <v>72</v>
      </c>
      <c r="C17" s="34" t="s">
        <v>16</v>
      </c>
      <c r="D17" s="35" t="s">
        <v>102</v>
      </c>
      <c r="E17" s="36" t="s">
        <v>40</v>
      </c>
      <c r="F17" s="34" t="s">
        <v>73</v>
      </c>
      <c r="G17" s="36">
        <v>1.5</v>
      </c>
      <c r="H17" s="34" t="s">
        <v>20</v>
      </c>
      <c r="I17" s="30" t="s">
        <v>103</v>
      </c>
    </row>
    <row r="18" spans="2:9" ht="28">
      <c r="B18" s="33" t="s">
        <v>72</v>
      </c>
      <c r="C18" s="34" t="s">
        <v>16</v>
      </c>
      <c r="D18" s="35" t="s">
        <v>87</v>
      </c>
      <c r="E18" s="36" t="s">
        <v>40</v>
      </c>
      <c r="F18" s="34" t="s">
        <v>73</v>
      </c>
      <c r="G18" s="36">
        <v>1</v>
      </c>
      <c r="H18" s="34" t="s">
        <v>20</v>
      </c>
      <c r="I18" s="30" t="s">
        <v>88</v>
      </c>
    </row>
    <row r="19" spans="2:9" ht="28">
      <c r="B19" s="33" t="s">
        <v>72</v>
      </c>
      <c r="C19" s="34" t="s">
        <v>16</v>
      </c>
      <c r="D19" s="35" t="s">
        <v>87</v>
      </c>
      <c r="E19" s="36" t="s">
        <v>40</v>
      </c>
      <c r="F19" s="34" t="s">
        <v>73</v>
      </c>
      <c r="G19" s="36">
        <v>1</v>
      </c>
      <c r="H19" s="34" t="s">
        <v>27</v>
      </c>
      <c r="I19" s="30" t="s">
        <v>89</v>
      </c>
    </row>
    <row r="20" spans="2:9" ht="28">
      <c r="B20" s="14" t="s">
        <v>72</v>
      </c>
      <c r="C20" s="12" t="s">
        <v>18</v>
      </c>
      <c r="D20" s="12"/>
      <c r="E20" s="9" t="s">
        <v>40</v>
      </c>
      <c r="F20" s="12" t="s">
        <v>78</v>
      </c>
      <c r="G20" s="9">
        <v>2</v>
      </c>
      <c r="H20" s="12" t="s">
        <v>74</v>
      </c>
      <c r="I20" s="30" t="s">
        <v>108</v>
      </c>
    </row>
    <row r="21" spans="2:9" ht="26">
      <c r="B21" s="14" t="s">
        <v>72</v>
      </c>
      <c r="C21" s="12" t="s">
        <v>18</v>
      </c>
      <c r="D21" s="12"/>
      <c r="E21" s="9" t="s">
        <v>40</v>
      </c>
      <c r="F21" s="12" t="s">
        <v>78</v>
      </c>
      <c r="G21" s="9">
        <v>0.5</v>
      </c>
      <c r="H21" s="12" t="s">
        <v>27</v>
      </c>
      <c r="I21" s="30" t="s">
        <v>93</v>
      </c>
    </row>
    <row r="22" spans="2:9" ht="26">
      <c r="B22" s="14" t="s">
        <v>72</v>
      </c>
      <c r="C22" s="12" t="s">
        <v>18</v>
      </c>
      <c r="D22" s="27"/>
      <c r="E22" s="9" t="s">
        <v>27</v>
      </c>
      <c r="F22" s="12"/>
      <c r="G22" s="9">
        <v>1</v>
      </c>
      <c r="H22" s="12" t="s">
        <v>74</v>
      </c>
      <c r="I22" s="37"/>
    </row>
    <row r="23" spans="2:9" ht="26">
      <c r="B23" s="14" t="s">
        <v>72</v>
      </c>
      <c r="C23" s="12" t="s">
        <v>75</v>
      </c>
      <c r="D23" s="27"/>
      <c r="E23" s="9" t="s">
        <v>40</v>
      </c>
      <c r="F23" s="12" t="s">
        <v>78</v>
      </c>
      <c r="G23" s="9">
        <v>0</v>
      </c>
      <c r="H23" s="12" t="s">
        <v>84</v>
      </c>
      <c r="I23" s="37"/>
    </row>
    <row r="24" spans="2:9" ht="39">
      <c r="B24" s="14" t="s">
        <v>72</v>
      </c>
      <c r="C24" s="12" t="s">
        <v>75</v>
      </c>
      <c r="D24" s="27"/>
      <c r="E24" s="9" t="s">
        <v>40</v>
      </c>
      <c r="F24" s="12" t="s">
        <v>77</v>
      </c>
      <c r="G24" s="9">
        <v>1</v>
      </c>
      <c r="H24" s="12" t="s">
        <v>23</v>
      </c>
      <c r="I24" s="30" t="s">
        <v>94</v>
      </c>
    </row>
    <row r="25" spans="2:9">
      <c r="B25" s="8"/>
      <c r="C25" s="12"/>
      <c r="D25" s="9"/>
      <c r="E25" s="9"/>
      <c r="F25" s="12"/>
      <c r="G25" s="9"/>
      <c r="H25" s="12"/>
      <c r="I25" s="27"/>
    </row>
    <row r="26" spans="2:9">
      <c r="B26" s="22"/>
      <c r="C26" s="23"/>
      <c r="D26" s="24"/>
      <c r="E26" s="24"/>
      <c r="F26" s="26" t="s">
        <v>67</v>
      </c>
      <c r="G26" s="42">
        <f>SUM(G3:G25)</f>
        <v>40.5</v>
      </c>
      <c r="H26" s="43"/>
      <c r="I26" s="44"/>
    </row>
    <row r="27" spans="2:9" ht="14.5" thickBot="1">
      <c r="B27" s="18"/>
      <c r="C27" s="19"/>
      <c r="D27" s="20"/>
      <c r="E27" s="20"/>
      <c r="F27" s="25" t="s">
        <v>68</v>
      </c>
      <c r="G27" s="39">
        <v>5</v>
      </c>
      <c r="H27" s="40"/>
      <c r="I27" s="41"/>
    </row>
    <row r="28" spans="2:9" ht="14.5" thickTop="1"/>
    <row r="30" spans="2:9">
      <c r="D30" s="38" t="s">
        <v>82</v>
      </c>
    </row>
  </sheetData>
  <mergeCells count="2">
    <mergeCell ref="G27:I27"/>
    <mergeCell ref="G26:I26"/>
  </mergeCells>
  <phoneticPr fontId="9" type="noConversion"/>
  <dataValidations count="2">
    <dataValidation type="list" allowBlank="1" showInputMessage="1" showErrorMessage="1" sqref="H4:H25" xr:uid="{0BF10170-DCE1-4490-BC75-58E0D530AC22}">
      <formula1>hh</formula1>
    </dataValidation>
    <dataValidation type="list" allowBlank="1" showInputMessage="1" showErrorMessage="1" sqref="F4:F25" xr:uid="{7E6E4996-2D41-4469-BD4F-31E4EF528390}">
      <formula1>INDIRECT(E4)</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51C81F93-FF43-4BB7-AF98-4D8069A4303A}">
          <x14:formula1>
            <xm:f>数据标签!$B$11:$D$11</xm:f>
          </x14:formula1>
          <xm:sqref>E4:E27</xm:sqref>
        </x14:dataValidation>
        <x14:dataValidation type="list" allowBlank="1" showInputMessage="1" showErrorMessage="1" xr:uid="{A5CA3101-23BF-4ADF-B4C7-F040CA3B71C2}">
          <x14:formula1>
            <xm:f>数据标签!$B$2:$H$2</xm:f>
          </x14:formula1>
          <xm:sqref>C4:C27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7" workbookViewId="0">
      <selection activeCell="G2" sqref="G2"/>
    </sheetView>
  </sheetViews>
  <sheetFormatPr defaultColWidth="8.83203125" defaultRowHeight="13"/>
  <cols>
    <col min="1" max="1" width="8.83203125" style="1"/>
    <col min="2" max="2" width="26.83203125" style="1" customWidth="1"/>
    <col min="3" max="3" width="21.6640625" style="1" customWidth="1"/>
    <col min="4" max="7" width="28.58203125" style="1" customWidth="1"/>
    <col min="8" max="8" width="27.33203125" style="1" customWidth="1"/>
    <col min="9" max="16384" width="8.83203125" style="1"/>
  </cols>
  <sheetData>
    <row r="2" spans="1:8" ht="26">
      <c r="A2" s="2" t="s">
        <v>13</v>
      </c>
      <c r="B2" s="3" t="s">
        <v>14</v>
      </c>
      <c r="C2" s="3" t="s">
        <v>15</v>
      </c>
      <c r="D2" s="3" t="s">
        <v>16</v>
      </c>
      <c r="E2" s="3" t="s">
        <v>17</v>
      </c>
      <c r="F2" s="3" t="s">
        <v>69</v>
      </c>
      <c r="G2" s="3" t="s">
        <v>60</v>
      </c>
      <c r="H2" s="3" t="s">
        <v>18</v>
      </c>
    </row>
    <row r="3" spans="1:8" ht="26">
      <c r="A3" s="2" t="s">
        <v>19</v>
      </c>
      <c r="B3" s="3" t="s">
        <v>20</v>
      </c>
      <c r="C3" s="3" t="s">
        <v>20</v>
      </c>
      <c r="D3" s="3" t="s">
        <v>20</v>
      </c>
      <c r="E3" s="3" t="s">
        <v>21</v>
      </c>
      <c r="F3" s="3" t="s">
        <v>22</v>
      </c>
      <c r="G3" s="3" t="s">
        <v>23</v>
      </c>
      <c r="H3" s="3" t="s">
        <v>24</v>
      </c>
    </row>
    <row r="4" spans="1:8" ht="39">
      <c r="B4" s="3" t="s">
        <v>25</v>
      </c>
      <c r="C4" s="3" t="s">
        <v>25</v>
      </c>
      <c r="D4" s="3" t="s">
        <v>25</v>
      </c>
      <c r="E4" s="3" t="s">
        <v>26</v>
      </c>
      <c r="F4" s="15" t="s">
        <v>62</v>
      </c>
      <c r="G4" s="3" t="s">
        <v>58</v>
      </c>
      <c r="H4" s="3" t="s">
        <v>61</v>
      </c>
    </row>
    <row r="5" spans="1:8">
      <c r="B5" s="3" t="s">
        <v>28</v>
      </c>
      <c r="C5" s="3" t="s">
        <v>28</v>
      </c>
      <c r="D5" s="3" t="s">
        <v>28</v>
      </c>
      <c r="E5" s="3" t="s">
        <v>29</v>
      </c>
      <c r="F5" s="1" t="s">
        <v>27</v>
      </c>
      <c r="G5" s="3" t="s">
        <v>30</v>
      </c>
      <c r="H5" s="3" t="s">
        <v>31</v>
      </c>
    </row>
    <row r="6" spans="1:8" ht="26">
      <c r="B6" s="3" t="s">
        <v>32</v>
      </c>
      <c r="C6" s="3" t="s">
        <v>32</v>
      </c>
      <c r="D6" s="3" t="s">
        <v>32</v>
      </c>
      <c r="E6" s="3" t="s">
        <v>33</v>
      </c>
      <c r="G6" s="3" t="s">
        <v>34</v>
      </c>
      <c r="H6" s="3" t="s">
        <v>35</v>
      </c>
    </row>
    <row r="7" spans="1:8" ht="39">
      <c r="B7" s="3" t="s">
        <v>36</v>
      </c>
      <c r="C7" s="3" t="s">
        <v>36</v>
      </c>
      <c r="D7" s="3" t="s">
        <v>36</v>
      </c>
      <c r="E7" s="3" t="s">
        <v>37</v>
      </c>
      <c r="G7" s="1" t="s">
        <v>27</v>
      </c>
      <c r="H7" s="3" t="s">
        <v>38</v>
      </c>
    </row>
    <row r="8" spans="1:8">
      <c r="B8" s="1" t="s">
        <v>27</v>
      </c>
      <c r="C8" s="1" t="s">
        <v>27</v>
      </c>
      <c r="D8" s="1" t="s">
        <v>27</v>
      </c>
      <c r="E8" s="16"/>
      <c r="F8" s="15"/>
      <c r="G8" s="16"/>
      <c r="H8" s="21" t="s">
        <v>71</v>
      </c>
    </row>
    <row r="9" spans="1:8">
      <c r="C9" s="16"/>
      <c r="D9" s="16"/>
      <c r="H9" s="1" t="s">
        <v>66</v>
      </c>
    </row>
    <row r="11" spans="1:8">
      <c r="A11" s="1" t="s">
        <v>39</v>
      </c>
      <c r="B11" s="1" t="s">
        <v>40</v>
      </c>
      <c r="C11" s="1" t="s">
        <v>41</v>
      </c>
      <c r="D11" s="1" t="s">
        <v>27</v>
      </c>
    </row>
    <row r="12" spans="1:8" ht="39">
      <c r="A12" s="1" t="s">
        <v>42</v>
      </c>
      <c r="B12" s="3" t="s">
        <v>43</v>
      </c>
    </row>
    <row r="13" spans="1:8" ht="26">
      <c r="B13" s="17" t="s">
        <v>55</v>
      </c>
      <c r="C13" s="11" t="s">
        <v>56</v>
      </c>
      <c r="D13" s="11" t="s">
        <v>56</v>
      </c>
    </row>
    <row r="14" spans="1:8" ht="26">
      <c r="B14" s="17" t="s">
        <v>44</v>
      </c>
      <c r="C14" s="11" t="s">
        <v>56</v>
      </c>
      <c r="D14" s="11" t="s">
        <v>56</v>
      </c>
    </row>
    <row r="15" spans="1:8" ht="52">
      <c r="B15" s="17" t="s">
        <v>45</v>
      </c>
      <c r="C15" s="11" t="s">
        <v>56</v>
      </c>
      <c r="D15" s="11" t="s">
        <v>56</v>
      </c>
    </row>
    <row r="16" spans="1:8" ht="52">
      <c r="B16" s="17" t="s">
        <v>46</v>
      </c>
      <c r="C16" s="11" t="s">
        <v>56</v>
      </c>
      <c r="D16" s="11" t="s">
        <v>56</v>
      </c>
    </row>
    <row r="17" spans="2:4" ht="39">
      <c r="B17" s="17" t="s">
        <v>47</v>
      </c>
      <c r="C17" s="11" t="s">
        <v>56</v>
      </c>
      <c r="D17" s="11" t="s">
        <v>56</v>
      </c>
    </row>
    <row r="18" spans="2:4" ht="52">
      <c r="B18" s="17" t="s">
        <v>48</v>
      </c>
      <c r="C18" s="11" t="s">
        <v>56</v>
      </c>
      <c r="D18" s="11" t="s">
        <v>56</v>
      </c>
    </row>
    <row r="19" spans="2:4" ht="39">
      <c r="B19" s="17" t="s">
        <v>49</v>
      </c>
      <c r="C19" s="11" t="s">
        <v>56</v>
      </c>
      <c r="D19" s="11" t="s">
        <v>56</v>
      </c>
    </row>
    <row r="20" spans="2:4" ht="39">
      <c r="B20" s="17" t="s">
        <v>63</v>
      </c>
      <c r="C20" s="11" t="s">
        <v>56</v>
      </c>
      <c r="D20" s="11" t="s">
        <v>56</v>
      </c>
    </row>
    <row r="21" spans="2:4" ht="26">
      <c r="B21" s="17" t="s">
        <v>50</v>
      </c>
      <c r="C21" s="11" t="s">
        <v>56</v>
      </c>
      <c r="D21" s="11" t="s">
        <v>56</v>
      </c>
    </row>
    <row r="22" spans="2:4" ht="39">
      <c r="B22" s="17" t="s">
        <v>64</v>
      </c>
      <c r="C22" s="11" t="s">
        <v>56</v>
      </c>
      <c r="D22" s="11" t="s">
        <v>56</v>
      </c>
    </row>
    <row r="23" spans="2:4" ht="39">
      <c r="B23" s="17" t="s">
        <v>65</v>
      </c>
      <c r="C23" s="11"/>
      <c r="D23" s="11"/>
    </row>
    <row r="24" spans="2:4" ht="65">
      <c r="B24" s="17" t="s">
        <v>54</v>
      </c>
      <c r="C24" s="11" t="s">
        <v>56</v>
      </c>
      <c r="D24" s="11" t="s">
        <v>56</v>
      </c>
    </row>
    <row r="25" spans="2:4" ht="39">
      <c r="B25" s="17" t="s">
        <v>51</v>
      </c>
      <c r="C25" s="11" t="s">
        <v>56</v>
      </c>
      <c r="D25" s="11" t="s">
        <v>56</v>
      </c>
    </row>
    <row r="26" spans="2:4" ht="39">
      <c r="B26" s="17" t="s">
        <v>52</v>
      </c>
      <c r="C26" s="11" t="s">
        <v>56</v>
      </c>
      <c r="D26" s="11" t="s">
        <v>56</v>
      </c>
    </row>
    <row r="27" spans="2:4" ht="26">
      <c r="B27" s="17"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2025-06-30T07:45:31Z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