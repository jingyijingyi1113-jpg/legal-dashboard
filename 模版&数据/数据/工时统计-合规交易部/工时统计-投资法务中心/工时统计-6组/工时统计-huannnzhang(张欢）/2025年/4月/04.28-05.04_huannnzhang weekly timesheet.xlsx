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A51AE5F8-19FA-4F75-A5BE-95005B018404}"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<sst xmlns="http://schemas.openxmlformats.org/spreadsheetml/2006/main" count="161" uniqueCount="88">
  <si>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</si>
  <si>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</si>
  <si>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</si>
  <si>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</si>
  <si>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</si>
  <si>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</si>
  <si>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</si>
  <si>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</si>
  <si>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</si>
  <si>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</si>
  <si>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</si>
  <si>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</si>
  <si>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</si>
  <si>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</si>
  <si>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</si>
  <si>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</si>
  <si>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</si>
  <si>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</si>
  <si>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</si>
  <si>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</si>
  <si>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</si>
  <si>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</si>
  <si>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</si>
  <si>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</si>
  <si>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</si>
  <si>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</si>
  <si>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</si>
  <si>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</si>
  <si>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</si>
  <si>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</si>
  <si>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</si>
  <si>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</si>
  <si>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</si>
  <si>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</si>
  <si>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</si>
  <si>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</si>
  <si>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</si>
  <si>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</si>
  <si>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</si>
  <si>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</si>
  <si>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</si>
  <si>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</si>
  <si>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</si>
  <si>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</si>
  <si>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</si>
  <si>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</si>
  <si>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</si>
  <si>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</si>
  <si>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</si>
  <si>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</si>
  <si>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</si>
  <si>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</si>
  <si>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</si>
  <si>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</si>
  <si>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</si>
  <si>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</si>
  <si>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</si>
  <si>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</si>
  <si>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</si>
  <si>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</si>
  <si>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</si>
  <si>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</si>
  <si>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</si>
  <si>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</si>
  <si>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</si>
  <si>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</si>
  <si>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</si>
  <si>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</si>
  <si>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</si>
  <si>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</si>
  <si>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</si>
  <si>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</si>
  <si>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</si>
  <si>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</si>
  <si>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TPP</t>
    <phoneticPr fontId="7" type="noConversion"/>
  </si>
  <si>
    <t>huannnzhang</t>
  </si>
  <si>
    <t>Sofinnova XI</t>
  </si>
  <si>
    <t>Recording/reviewing deals updates/weekly time reports/other team summaries</t>
  </si>
  <si>
    <t>东莞风铃</t>
    <phoneticPr fontId="7" type="noConversion"/>
  </si>
  <si>
    <t>审阅反馈科拓股东核查资料</t>
    <phoneticPr fontId="7" type="noConversion"/>
  </si>
  <si>
    <t>讨论转股安排</t>
    <phoneticPr fontId="7" type="noConversion"/>
  </si>
  <si>
    <t>爱芯科技</t>
    <phoneticPr fontId="7" type="noConversion"/>
  </si>
  <si>
    <t>讨论并反馈全流通意见</t>
    <phoneticPr fontId="7" type="noConversion"/>
  </si>
  <si>
    <t>蓝芯科技</t>
    <phoneticPr fontId="7" type="noConversion"/>
  </si>
  <si>
    <t>沟通交割进展</t>
    <phoneticPr fontId="7" type="noConversion"/>
  </si>
  <si>
    <t>确认交割安排</t>
    <phoneticPr fontId="7" type="noConversion"/>
  </si>
  <si>
    <t>更新项目清单</t>
    <phoneticPr fontId="7" type="noConversion"/>
  </si>
  <si>
    <t>讨论反馈科拓股东核查资料</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</si>
</sst>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70" zoomScaleNormal="70" workbookViewId="0">
      <selection activeCell="F21" sqref="F21"/>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72</v>
      </c>
      <c r="C4" s="12" t="s">
        <v>14</v>
      </c>
      <c r="D4" s="28" t="s">
        <v>78</v>
      </c>
      <c r="E4" s="8" t="s">
        <v>40</v>
      </c>
      <c r="F4" s="12" t="s">
        <v>73</v>
      </c>
      <c r="G4" s="8">
        <v>0.5</v>
      </c>
      <c r="H4" s="12" t="s">
        <v>20</v>
      </c>
      <c r="I4" s="27" t="s">
        <v>80</v>
      </c>
    </row>
    <row r="5" spans="2:9" ht="25.5" x14ac:dyDescent="0.4">
      <c r="B5" s="14" t="s">
        <v>72</v>
      </c>
      <c r="C5" s="12" t="s">
        <v>17</v>
      </c>
      <c r="D5" s="28" t="s">
        <v>74</v>
      </c>
      <c r="E5" s="8" t="s">
        <v>40</v>
      </c>
      <c r="F5" s="12" t="s">
        <v>73</v>
      </c>
      <c r="G5" s="8">
        <v>2.6</v>
      </c>
      <c r="H5" s="12" t="s">
        <v>20</v>
      </c>
      <c r="I5" s="27" t="s">
        <v>79</v>
      </c>
    </row>
    <row r="6" spans="2:9" ht="25.5" x14ac:dyDescent="0.4">
      <c r="B6" s="14" t="s">
        <v>75</v>
      </c>
      <c r="C6" s="12" t="s">
        <v>15</v>
      </c>
      <c r="D6" s="28" t="s">
        <v>81</v>
      </c>
      <c r="E6" s="8" t="s">
        <v>40</v>
      </c>
      <c r="F6" s="12" t="s">
        <v>73</v>
      </c>
      <c r="G6" s="8">
        <v>0.5</v>
      </c>
      <c r="H6" s="12" t="s">
        <v>20</v>
      </c>
      <c r="I6" s="27" t="s">
        <v>82</v>
      </c>
    </row>
    <row r="7" spans="2:9" ht="25.5" x14ac:dyDescent="0.4">
      <c r="B7" s="14" t="s">
        <v>75</v>
      </c>
      <c r="C7" s="12" t="s">
        <v>14</v>
      </c>
      <c r="D7" s="28" t="s">
        <v>76</v>
      </c>
      <c r="E7" s="8" t="s">
        <v>40</v>
      </c>
      <c r="F7" s="12" t="s">
        <v>73</v>
      </c>
      <c r="G7" s="8">
        <v>0.7</v>
      </c>
      <c r="H7" s="12" t="s">
        <v>20</v>
      </c>
      <c r="I7" s="27" t="s">
        <v>85</v>
      </c>
    </row>
    <row r="8" spans="2:9" ht="25.5" x14ac:dyDescent="0.4">
      <c r="B8" s="14" t="s">
        <v>75</v>
      </c>
      <c r="C8" s="12" t="s">
        <v>18</v>
      </c>
      <c r="D8" s="28"/>
      <c r="E8" s="8" t="s">
        <v>27</v>
      </c>
      <c r="F8" s="12"/>
      <c r="G8" s="8">
        <v>0.8</v>
      </c>
      <c r="H8" s="12" t="s">
        <v>77</v>
      </c>
      <c r="I8" s="27" t="s">
        <v>86</v>
      </c>
    </row>
    <row r="9" spans="2:9" ht="25.5" x14ac:dyDescent="0.4">
      <c r="B9" s="14" t="s">
        <v>72</v>
      </c>
      <c r="C9" s="12" t="s">
        <v>17</v>
      </c>
      <c r="D9" s="28" t="s">
        <v>74</v>
      </c>
      <c r="E9" s="8" t="s">
        <v>40</v>
      </c>
      <c r="F9" s="12" t="s">
        <v>73</v>
      </c>
      <c r="G9" s="8">
        <v>0.6</v>
      </c>
      <c r="H9" s="12" t="s">
        <v>20</v>
      </c>
      <c r="I9" s="27" t="s">
        <v>87</v>
      </c>
    </row>
    <row r="10" spans="2:9" ht="25.5" x14ac:dyDescent="0.4">
      <c r="B10" s="14" t="s">
        <v>75</v>
      </c>
      <c r="C10" s="12" t="s">
        <v>14</v>
      </c>
      <c r="D10" s="28" t="s">
        <v>83</v>
      </c>
      <c r="E10" s="8" t="s">
        <v>40</v>
      </c>
      <c r="F10" s="12" t="s">
        <v>73</v>
      </c>
      <c r="G10" s="8">
        <v>0.3</v>
      </c>
      <c r="H10" s="12" t="s">
        <v>20</v>
      </c>
      <c r="I10" s="27" t="s">
        <v>84</v>
      </c>
    </row>
    <row r="11" spans="2:9" x14ac:dyDescent="0.4">
      <c r="B11" s="22"/>
      <c r="C11" s="23"/>
      <c r="D11" s="24"/>
      <c r="E11" s="24"/>
      <c r="F11" s="26" t="s">
        <v>67</v>
      </c>
      <c r="G11" s="32">
        <f>SUM(G3:G10)</f>
        <v>5.9999999999999991</v>
      </c>
      <c r="H11" s="33"/>
      <c r="I11" s="34"/>
    </row>
    <row r="12" spans="2:9" ht="14.25" thickBot="1" x14ac:dyDescent="0.45">
      <c r="B12" s="18"/>
      <c r="C12" s="19"/>
      <c r="D12" s="20"/>
      <c r="E12" s="20"/>
      <c r="F12" s="25" t="s">
        <v>68</v>
      </c>
      <c r="G12" s="29">
        <v>0</v>
      </c>
      <c r="H12" s="30"/>
      <c r="I12" s="31"/>
    </row>
    <row r="13" spans="2:9" ht="14.25" thickTop="1" x14ac:dyDescent="0.4"/>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2025-05-06T03:08:39Z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