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8D99444D-0673-4D93-B827-77FC1F423DF2}"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<sst xmlns="http://schemas.openxmlformats.org/spreadsheetml/2006/main" count="311" uniqueCount="116">
  <si>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</si>
  <si>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</si>
  <si>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</si>
  <si>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</si>
  <si>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</si>
  <si>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</si>
  <si>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</si>
  <si>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</si>
  <si>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</si>
  <si>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</si>
  <si>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</si>
  <si>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</si>
  <si>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</si>
  <si>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</si>
  <si>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</si>
  <si>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</si>
  <si>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</si>
  <si>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</si>
  <si>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</si>
  <si>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</si>
  <si>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</si>
  <si>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</si>
  <si>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</si>
  <si>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</si>
  <si>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</si>
  <si>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</si>
  <si>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</si>
  <si>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</si>
  <si>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</si>
  <si>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</si>
  <si>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</si>
  <si>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</si>
  <si>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</si>
  <si>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</si>
  <si>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</si>
  <si>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</si>
  <si>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</si>
  <si>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</si>
  <si>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</si>
  <si>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</si>
  <si>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</si>
  <si>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</si>
  <si>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</si>
  <si>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</si>
  <si>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</si>
  <si>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</si>
  <si>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</si>
  <si>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</si>
  <si>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</si>
  <si>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</si>
  <si>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</si>
  <si>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</si>
  <si>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</si>
  <si>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</si>
  <si>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</si>
  <si>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</si>
  <si>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</si>
  <si>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</si>
  <si>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</si>
  <si>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</si>
  <si>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</si>
  <si>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</si>
  <si>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</si>
  <si>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</si>
  <si>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</si>
  <si>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</si>
  <si>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</si>
  <si>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</si>
  <si>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</si>
  <si>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</si>
  <si>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</si>
  <si>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</si>
  <si>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</si>
  <si>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投资项目全流程法务支持 Full-process legal support for investments</t>
  </si>
  <si>
    <t>TPP</t>
    <phoneticPr fontId="7" type="noConversion"/>
  </si>
  <si>
    <t>Project Zebra</t>
    <phoneticPr fontId="7" type="noConversion"/>
  </si>
  <si>
    <t>审阅反馈融资文件</t>
    <phoneticPr fontId="7" type="noConversion"/>
  </si>
  <si>
    <t>Project Benitoite</t>
    <phoneticPr fontId="7" type="noConversion"/>
  </si>
  <si>
    <t>智慧星空集团</t>
    <phoneticPr fontId="7" type="noConversion"/>
  </si>
  <si>
    <t>耀金</t>
    <phoneticPr fontId="7" type="noConversion"/>
  </si>
  <si>
    <t>huannnzhang</t>
  </si>
  <si>
    <t>Sofinnova XI</t>
  </si>
  <si>
    <t>Public - Knowledge Accumulation &amp; Sharing</t>
  </si>
  <si>
    <t xml:space="preserve">Mangrove VI </t>
    <phoneticPr fontId="7" type="noConversion"/>
  </si>
  <si>
    <t>卫瓴科技</t>
    <phoneticPr fontId="7" type="noConversion"/>
  </si>
  <si>
    <t>智慧图</t>
    <phoneticPr fontId="7" type="noConversion"/>
  </si>
  <si>
    <t>讨论转股退出</t>
    <phoneticPr fontId="7" type="noConversion"/>
  </si>
  <si>
    <t>Recording/reviewing deals updates/weekly time reports/other team summaries</t>
  </si>
  <si>
    <t>更新deals update</t>
    <phoneticPr fontId="7" type="noConversion"/>
  </si>
  <si>
    <t>讨论MNPI流程</t>
    <phoneticPr fontId="7" type="noConversion"/>
  </si>
  <si>
    <t>审阅修订补充协议</t>
    <phoneticPr fontId="7" type="noConversion"/>
  </si>
  <si>
    <t>青藤云</t>
    <phoneticPr fontId="7" type="noConversion"/>
  </si>
  <si>
    <t>起草准备董事委任、辞职文件</t>
    <phoneticPr fontId="7" type="noConversion"/>
  </si>
  <si>
    <t>Treelab</t>
    <phoneticPr fontId="7" type="noConversion"/>
  </si>
  <si>
    <t>讨论退出问题</t>
    <phoneticPr fontId="7" type="noConversion"/>
  </si>
  <si>
    <t>东莞风铃</t>
    <phoneticPr fontId="7" type="noConversion"/>
  </si>
  <si>
    <t>讨论竞业问题</t>
    <phoneticPr fontId="7" type="noConversion"/>
  </si>
  <si>
    <t>讨论反馈管鲍、新世界交割问题</t>
    <phoneticPr fontId="7" type="noConversion"/>
  </si>
  <si>
    <t>审阅反馈认购文件及交易文件</t>
    <phoneticPr fontId="7" type="noConversion"/>
  </si>
  <si>
    <t>更新回购协议</t>
    <phoneticPr fontId="7" type="noConversion"/>
  </si>
  <si>
    <t>审阅合伙人会议决议</t>
    <phoneticPr fontId="7" type="noConversion"/>
  </si>
  <si>
    <t>审阅反馈云豹智能交易文件</t>
    <phoneticPr fontId="7" type="noConversion"/>
  </si>
  <si>
    <t>平台影视内容风险合规</t>
    <phoneticPr fontId="7" type="noConversion"/>
  </si>
  <si>
    <t>青藤文化</t>
    <phoneticPr fontId="7" type="noConversion"/>
  </si>
  <si>
    <t>审阅年度股东会会议</t>
    <phoneticPr fontId="7" type="noConversion"/>
  </si>
  <si>
    <t>中泽基金</t>
    <phoneticPr fontId="7" type="noConversion"/>
  </si>
  <si>
    <t>审阅文件并讨论延期、管理费问题</t>
    <phoneticPr fontId="7" type="noConversion"/>
  </si>
  <si>
    <t>审阅文件并讨论延期问题</t>
    <phoneticPr fontId="7" type="noConversion"/>
  </si>
  <si>
    <t>AH Parallel Fund I</t>
    <phoneticPr fontId="7" type="noConversion"/>
  </si>
  <si>
    <t>讨论附属协议及认购文件审阅意见</t>
    <phoneticPr fontId="7" type="noConversion"/>
  </si>
  <si>
    <t>讨论融资文件主要条款意见</t>
    <phoneticPr fontId="7" type="noConversion"/>
  </si>
  <si>
    <t>审阅科拓全流通配套文件及终止协议</t>
    <phoneticPr fontId="7" type="noConversion"/>
  </si>
  <si>
    <t>跟进、讨论管鲍B轮交割问题</t>
    <phoneticPr fontId="7" type="noConversion"/>
  </si>
  <si>
    <t>沟通交割文件情况</t>
    <phoneticPr fontId="7" type="noConversion"/>
  </si>
  <si>
    <t>讨论退出安排</t>
    <phoneticPr fontId="7" type="noConversion"/>
  </si>
  <si>
    <t>HSR training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</si>
</sst>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5"/>
  <sheetViews>
    <sheetView tabSelected="1" topLeftCell="A5" zoomScaleNormal="100" workbookViewId="0">
      <selection activeCell="C7" sqref="C7"/>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05" customHeight="1" x14ac:dyDescent="0.4">
      <c r="B3" s="6" t="s">
        <v>7</v>
      </c>
      <c r="C3" s="7" t="s">
        <v>8</v>
      </c>
      <c r="D3" s="7" t="s">
        <v>9</v>
      </c>
      <c r="E3" s="7" t="s">
        <v>59</v>
      </c>
      <c r="F3" s="7" t="s">
        <v>57</v>
      </c>
      <c r="G3" s="7" t="s">
        <v>10</v>
      </c>
      <c r="H3" s="7" t="s">
        <v>11</v>
      </c>
      <c r="I3" s="10" t="s">
        <v>12</v>
      </c>
    </row>
    <row r="4" spans="2:9" ht="25.5" x14ac:dyDescent="0.4">
      <c r="B4" s="14" t="s">
        <v>72</v>
      </c>
      <c r="C4" s="12" t="s">
        <v>18</v>
      </c>
      <c r="D4" s="28"/>
      <c r="E4" s="8" t="s">
        <v>27</v>
      </c>
      <c r="F4" s="12"/>
      <c r="G4" s="8">
        <v>0.5</v>
      </c>
      <c r="H4" s="12" t="s">
        <v>87</v>
      </c>
      <c r="I4" s="27" t="s">
        <v>88</v>
      </c>
    </row>
    <row r="5" spans="2:9" ht="25.5" x14ac:dyDescent="0.4">
      <c r="B5" s="14" t="s">
        <v>72</v>
      </c>
      <c r="C5" s="12" t="s">
        <v>14</v>
      </c>
      <c r="D5" s="28" t="s">
        <v>85</v>
      </c>
      <c r="E5" s="8" t="s">
        <v>40</v>
      </c>
      <c r="F5" s="12" t="s">
        <v>73</v>
      </c>
      <c r="G5" s="8">
        <v>0.3</v>
      </c>
      <c r="H5" s="12" t="s">
        <v>20</v>
      </c>
      <c r="I5" s="27" t="s">
        <v>86</v>
      </c>
    </row>
    <row r="6" spans="2:9" ht="25.5" x14ac:dyDescent="0.4">
      <c r="B6" s="14" t="s">
        <v>72</v>
      </c>
      <c r="C6" s="12" t="s">
        <v>14</v>
      </c>
      <c r="D6" s="28" t="s">
        <v>77</v>
      </c>
      <c r="E6" s="8" t="s">
        <v>40</v>
      </c>
      <c r="F6" s="12" t="s">
        <v>73</v>
      </c>
      <c r="G6" s="8">
        <v>0.3</v>
      </c>
      <c r="H6" s="12" t="s">
        <v>20</v>
      </c>
      <c r="I6" s="27" t="s">
        <v>89</v>
      </c>
    </row>
    <row r="7" spans="2:9" ht="25.5" x14ac:dyDescent="0.4">
      <c r="B7" s="14" t="s">
        <v>72</v>
      </c>
      <c r="C7" s="12" t="s">
        <v>14</v>
      </c>
      <c r="D7" s="28" t="s">
        <v>78</v>
      </c>
      <c r="E7" s="8" t="s">
        <v>40</v>
      </c>
      <c r="F7" s="12" t="s">
        <v>73</v>
      </c>
      <c r="G7" s="8">
        <v>2</v>
      </c>
      <c r="H7" s="12" t="s">
        <v>20</v>
      </c>
      <c r="I7" s="27" t="s">
        <v>90</v>
      </c>
    </row>
    <row r="8" spans="2:9" ht="25.5" x14ac:dyDescent="0.4">
      <c r="B8" s="14" t="s">
        <v>72</v>
      </c>
      <c r="C8" s="12" t="s">
        <v>16</v>
      </c>
      <c r="D8" s="28" t="s">
        <v>91</v>
      </c>
      <c r="E8" s="8" t="s">
        <v>40</v>
      </c>
      <c r="F8" s="12" t="s">
        <v>73</v>
      </c>
      <c r="G8" s="8">
        <v>1.6</v>
      </c>
      <c r="H8" s="12" t="s">
        <v>20</v>
      </c>
      <c r="I8" s="27" t="s">
        <v>92</v>
      </c>
    </row>
    <row r="9" spans="2:9" ht="25.5" x14ac:dyDescent="0.4">
      <c r="B9" s="14" t="s">
        <v>72</v>
      </c>
      <c r="C9" s="12" t="s">
        <v>14</v>
      </c>
      <c r="D9" s="28" t="s">
        <v>93</v>
      </c>
      <c r="E9" s="8" t="s">
        <v>40</v>
      </c>
      <c r="F9" s="12" t="s">
        <v>73</v>
      </c>
      <c r="G9" s="8">
        <v>0.2</v>
      </c>
      <c r="H9" s="12" t="s">
        <v>20</v>
      </c>
      <c r="I9" s="27" t="s">
        <v>94</v>
      </c>
    </row>
    <row r="10" spans="2:9" ht="25.5" x14ac:dyDescent="0.4">
      <c r="B10" s="14" t="s">
        <v>72</v>
      </c>
      <c r="C10" s="12" t="s">
        <v>14</v>
      </c>
      <c r="D10" s="28" t="s">
        <v>95</v>
      </c>
      <c r="E10" s="8" t="s">
        <v>40</v>
      </c>
      <c r="F10" s="12" t="s">
        <v>73</v>
      </c>
      <c r="G10" s="8">
        <v>0.3</v>
      </c>
      <c r="H10" s="12" t="s">
        <v>20</v>
      </c>
      <c r="I10" s="27" t="s">
        <v>96</v>
      </c>
    </row>
    <row r="11" spans="2:9" ht="25.5" x14ac:dyDescent="0.4">
      <c r="B11" s="14" t="s">
        <v>72</v>
      </c>
      <c r="C11" s="12" t="s">
        <v>16</v>
      </c>
      <c r="D11" s="28" t="s">
        <v>108</v>
      </c>
      <c r="E11" s="8" t="s">
        <v>40</v>
      </c>
      <c r="F11" s="12" t="s">
        <v>73</v>
      </c>
      <c r="G11" s="8">
        <v>0.5</v>
      </c>
      <c r="H11" s="12" t="s">
        <v>20</v>
      </c>
      <c r="I11" s="27" t="s">
        <v>106</v>
      </c>
    </row>
    <row r="12" spans="2:9" ht="25.5" x14ac:dyDescent="0.4">
      <c r="B12" s="14" t="s">
        <v>72</v>
      </c>
      <c r="C12" s="12" t="s">
        <v>16</v>
      </c>
      <c r="D12" s="28" t="s">
        <v>105</v>
      </c>
      <c r="E12" s="8" t="s">
        <v>40</v>
      </c>
      <c r="F12" s="12" t="s">
        <v>73</v>
      </c>
      <c r="G12" s="8">
        <v>0.6</v>
      </c>
      <c r="H12" s="12" t="s">
        <v>20</v>
      </c>
      <c r="I12" s="27" t="s">
        <v>107</v>
      </c>
    </row>
    <row r="13" spans="2:9" ht="25.5" x14ac:dyDescent="0.4">
      <c r="B13" s="14" t="s">
        <v>72</v>
      </c>
      <c r="C13" s="12" t="s">
        <v>14</v>
      </c>
      <c r="D13" s="28" t="s">
        <v>79</v>
      </c>
      <c r="E13" s="8" t="s">
        <v>40</v>
      </c>
      <c r="F13" s="12" t="s">
        <v>73</v>
      </c>
      <c r="G13" s="8">
        <v>0.8</v>
      </c>
      <c r="H13" s="12" t="s">
        <v>20</v>
      </c>
      <c r="I13" s="27" t="s">
        <v>76</v>
      </c>
    </row>
    <row r="14" spans="2:9" ht="25.5" x14ac:dyDescent="0.4">
      <c r="B14" s="14" t="s">
        <v>72</v>
      </c>
      <c r="C14" s="12" t="s">
        <v>14</v>
      </c>
      <c r="D14" s="28" t="s">
        <v>75</v>
      </c>
      <c r="E14" s="8" t="s">
        <v>40</v>
      </c>
      <c r="F14" s="12" t="s">
        <v>73</v>
      </c>
      <c r="G14" s="8">
        <v>0.7</v>
      </c>
      <c r="H14" s="12" t="s">
        <v>20</v>
      </c>
      <c r="I14" s="27" t="s">
        <v>97</v>
      </c>
    </row>
    <row r="15" spans="2:9" ht="25.5" x14ac:dyDescent="0.4">
      <c r="B15" s="14" t="s">
        <v>80</v>
      </c>
      <c r="C15" s="12" t="s">
        <v>14</v>
      </c>
      <c r="D15" s="28" t="s">
        <v>81</v>
      </c>
      <c r="E15" s="8" t="s">
        <v>40</v>
      </c>
      <c r="F15" s="12" t="s">
        <v>73</v>
      </c>
      <c r="G15" s="8">
        <v>4.7</v>
      </c>
      <c r="H15" s="12" t="s">
        <v>20</v>
      </c>
      <c r="I15" s="27" t="s">
        <v>98</v>
      </c>
    </row>
    <row r="16" spans="2:9" ht="25.5" x14ac:dyDescent="0.4">
      <c r="B16" s="14" t="s">
        <v>72</v>
      </c>
      <c r="C16" s="12" t="s">
        <v>14</v>
      </c>
      <c r="D16" s="28" t="s">
        <v>84</v>
      </c>
      <c r="E16" s="8" t="s">
        <v>40</v>
      </c>
      <c r="F16" s="12" t="s">
        <v>73</v>
      </c>
      <c r="G16" s="8">
        <v>0.4</v>
      </c>
      <c r="H16" s="12" t="s">
        <v>20</v>
      </c>
      <c r="I16" s="27" t="s">
        <v>99</v>
      </c>
    </row>
    <row r="17" spans="2:9" ht="25.5" x14ac:dyDescent="0.4">
      <c r="B17" s="14" t="s">
        <v>72</v>
      </c>
      <c r="C17" s="12" t="s">
        <v>16</v>
      </c>
      <c r="D17" s="28" t="s">
        <v>83</v>
      </c>
      <c r="E17" s="8" t="s">
        <v>40</v>
      </c>
      <c r="F17" s="12" t="s">
        <v>73</v>
      </c>
      <c r="G17" s="8">
        <v>0.7</v>
      </c>
      <c r="H17" s="12" t="s">
        <v>20</v>
      </c>
      <c r="I17" s="27" t="s">
        <v>100</v>
      </c>
    </row>
    <row r="18" spans="2:9" ht="25.5" x14ac:dyDescent="0.4">
      <c r="B18" s="14" t="s">
        <v>72</v>
      </c>
      <c r="C18" s="12" t="s">
        <v>17</v>
      </c>
      <c r="D18" s="28" t="s">
        <v>74</v>
      </c>
      <c r="E18" s="8" t="s">
        <v>40</v>
      </c>
      <c r="F18" s="12" t="s">
        <v>73</v>
      </c>
      <c r="G18" s="8">
        <v>1.8</v>
      </c>
      <c r="H18" s="12" t="s">
        <v>20</v>
      </c>
      <c r="I18" s="27" t="s">
        <v>101</v>
      </c>
    </row>
    <row r="19" spans="2:9" ht="25.5" x14ac:dyDescent="0.4">
      <c r="B19" s="14" t="s">
        <v>72</v>
      </c>
      <c r="C19" s="12" t="s">
        <v>82</v>
      </c>
      <c r="D19" s="28"/>
      <c r="E19" s="8" t="s">
        <v>27</v>
      </c>
      <c r="F19" s="12"/>
      <c r="G19" s="8">
        <v>2</v>
      </c>
      <c r="H19" s="12" t="s">
        <v>34</v>
      </c>
      <c r="I19" s="27" t="s">
        <v>102</v>
      </c>
    </row>
    <row r="20" spans="2:9" ht="25.5" x14ac:dyDescent="0.4">
      <c r="B20" s="14" t="s">
        <v>72</v>
      </c>
      <c r="C20" s="12" t="s">
        <v>16</v>
      </c>
      <c r="D20" s="28" t="s">
        <v>103</v>
      </c>
      <c r="E20" s="8" t="s">
        <v>40</v>
      </c>
      <c r="F20" s="12" t="s">
        <v>73</v>
      </c>
      <c r="G20" s="8">
        <v>2.2999999999999998</v>
      </c>
      <c r="H20" s="12" t="s">
        <v>20</v>
      </c>
      <c r="I20" s="27" t="s">
        <v>104</v>
      </c>
    </row>
    <row r="21" spans="2:9" ht="25.5" x14ac:dyDescent="0.4">
      <c r="B21" s="14" t="s">
        <v>72</v>
      </c>
      <c r="C21" s="12" t="s">
        <v>16</v>
      </c>
      <c r="D21" s="28" t="s">
        <v>105</v>
      </c>
      <c r="E21" s="8" t="s">
        <v>40</v>
      </c>
      <c r="F21" s="12" t="s">
        <v>73</v>
      </c>
      <c r="G21" s="8">
        <v>0.3</v>
      </c>
      <c r="H21" s="12" t="s">
        <v>20</v>
      </c>
      <c r="I21" s="27" t="s">
        <v>106</v>
      </c>
    </row>
    <row r="22" spans="2:9" ht="25.5" x14ac:dyDescent="0.4">
      <c r="B22" s="14" t="s">
        <v>72</v>
      </c>
      <c r="C22" s="12" t="s">
        <v>14</v>
      </c>
      <c r="D22" s="28" t="s">
        <v>79</v>
      </c>
      <c r="E22" s="8" t="s">
        <v>40</v>
      </c>
      <c r="F22" s="12" t="s">
        <v>73</v>
      </c>
      <c r="G22" s="8">
        <v>0.4</v>
      </c>
      <c r="H22" s="12" t="s">
        <v>20</v>
      </c>
      <c r="I22" s="27" t="s">
        <v>76</v>
      </c>
    </row>
    <row r="23" spans="2:9" ht="25.5" x14ac:dyDescent="0.4">
      <c r="B23" s="14" t="s">
        <v>72</v>
      </c>
      <c r="C23" s="12" t="s">
        <v>14</v>
      </c>
      <c r="D23" s="28" t="s">
        <v>78</v>
      </c>
      <c r="E23" s="8" t="s">
        <v>40</v>
      </c>
      <c r="F23" s="12" t="s">
        <v>73</v>
      </c>
      <c r="G23" s="8">
        <v>0.5</v>
      </c>
      <c r="H23" s="12" t="s">
        <v>20</v>
      </c>
      <c r="I23" s="27" t="s">
        <v>113</v>
      </c>
    </row>
    <row r="24" spans="2:9" ht="25.5" x14ac:dyDescent="0.4">
      <c r="B24" s="14" t="s">
        <v>72</v>
      </c>
      <c r="C24" s="12" t="s">
        <v>14</v>
      </c>
      <c r="D24" s="28" t="s">
        <v>77</v>
      </c>
      <c r="E24" s="8" t="s">
        <v>40</v>
      </c>
      <c r="F24" s="12" t="s">
        <v>73</v>
      </c>
      <c r="G24" s="8">
        <v>0.6</v>
      </c>
      <c r="H24" s="12" t="s">
        <v>20</v>
      </c>
      <c r="I24" s="27" t="s">
        <v>89</v>
      </c>
    </row>
    <row r="25" spans="2:9" ht="25.5" x14ac:dyDescent="0.4">
      <c r="B25" s="14" t="s">
        <v>72</v>
      </c>
      <c r="C25" s="12" t="s">
        <v>14</v>
      </c>
      <c r="D25" s="28" t="s">
        <v>75</v>
      </c>
      <c r="E25" s="8" t="s">
        <v>40</v>
      </c>
      <c r="F25" s="12" t="s">
        <v>73</v>
      </c>
      <c r="G25" s="8">
        <v>2</v>
      </c>
      <c r="H25" s="12" t="s">
        <v>20</v>
      </c>
      <c r="I25" s="27" t="s">
        <v>112</v>
      </c>
    </row>
    <row r="26" spans="2:9" ht="25.5" x14ac:dyDescent="0.4">
      <c r="B26" s="14" t="s">
        <v>80</v>
      </c>
      <c r="C26" s="12" t="s">
        <v>14</v>
      </c>
      <c r="D26" s="28" t="s">
        <v>81</v>
      </c>
      <c r="E26" s="8" t="s">
        <v>40</v>
      </c>
      <c r="F26" s="12" t="s">
        <v>73</v>
      </c>
      <c r="G26" s="8">
        <v>0.8</v>
      </c>
      <c r="H26" s="12" t="s">
        <v>20</v>
      </c>
      <c r="I26" s="27" t="s">
        <v>109</v>
      </c>
    </row>
    <row r="27" spans="2:9" ht="25.5" x14ac:dyDescent="0.4">
      <c r="B27" s="14" t="s">
        <v>72</v>
      </c>
      <c r="C27" s="12" t="s">
        <v>16</v>
      </c>
      <c r="D27" s="28" t="s">
        <v>103</v>
      </c>
      <c r="E27" s="8" t="s">
        <v>40</v>
      </c>
      <c r="F27" s="12" t="s">
        <v>73</v>
      </c>
      <c r="G27" s="8">
        <v>0.3</v>
      </c>
      <c r="H27" s="12" t="s">
        <v>20</v>
      </c>
      <c r="I27" s="27" t="s">
        <v>104</v>
      </c>
    </row>
    <row r="28" spans="2:9" ht="25.5" x14ac:dyDescent="0.4">
      <c r="B28" s="14" t="s">
        <v>72</v>
      </c>
      <c r="C28" s="12" t="s">
        <v>17</v>
      </c>
      <c r="D28" s="28" t="s">
        <v>74</v>
      </c>
      <c r="E28" s="8" t="s">
        <v>40</v>
      </c>
      <c r="F28" s="12" t="s">
        <v>73</v>
      </c>
      <c r="G28" s="8">
        <v>4.5999999999999996</v>
      </c>
      <c r="H28" s="12" t="s">
        <v>20</v>
      </c>
      <c r="I28" s="27" t="s">
        <v>111</v>
      </c>
    </row>
    <row r="29" spans="2:9" ht="25.5" x14ac:dyDescent="0.4">
      <c r="B29" s="14" t="s">
        <v>80</v>
      </c>
      <c r="C29" s="12" t="s">
        <v>14</v>
      </c>
      <c r="D29" s="28" t="s">
        <v>81</v>
      </c>
      <c r="E29" s="8" t="s">
        <v>40</v>
      </c>
      <c r="F29" s="12" t="s">
        <v>73</v>
      </c>
      <c r="G29" s="8">
        <v>2.9</v>
      </c>
      <c r="H29" s="12" t="s">
        <v>20</v>
      </c>
      <c r="I29" s="27" t="s">
        <v>109</v>
      </c>
    </row>
    <row r="30" spans="2:9" ht="25.5" x14ac:dyDescent="0.4">
      <c r="B30" s="14" t="s">
        <v>72</v>
      </c>
      <c r="C30" s="12" t="s">
        <v>14</v>
      </c>
      <c r="D30" s="28" t="s">
        <v>79</v>
      </c>
      <c r="E30" s="8" t="s">
        <v>40</v>
      </c>
      <c r="F30" s="12" t="s">
        <v>73</v>
      </c>
      <c r="G30" s="8">
        <v>1</v>
      </c>
      <c r="H30" s="12" t="s">
        <v>20</v>
      </c>
      <c r="I30" s="27" t="s">
        <v>110</v>
      </c>
    </row>
    <row r="31" spans="2:9" ht="25.5" x14ac:dyDescent="0.4">
      <c r="B31" s="14" t="s">
        <v>72</v>
      </c>
      <c r="C31" s="12" t="s">
        <v>82</v>
      </c>
      <c r="D31" s="28"/>
      <c r="E31" s="8" t="s">
        <v>27</v>
      </c>
      <c r="F31" s="12"/>
      <c r="G31" s="8">
        <v>2</v>
      </c>
      <c r="H31" s="12" t="s">
        <v>34</v>
      </c>
      <c r="I31" s="27" t="s">
        <v>115</v>
      </c>
    </row>
    <row r="32" spans="2:9" ht="25.5" x14ac:dyDescent="0.4">
      <c r="B32" s="14" t="s">
        <v>72</v>
      </c>
      <c r="C32" s="12" t="s">
        <v>14</v>
      </c>
      <c r="D32" s="28" t="s">
        <v>95</v>
      </c>
      <c r="E32" s="8" t="s">
        <v>40</v>
      </c>
      <c r="F32" s="12" t="s">
        <v>73</v>
      </c>
      <c r="G32" s="8">
        <v>1.5</v>
      </c>
      <c r="H32" s="12" t="s">
        <v>20</v>
      </c>
      <c r="I32" s="27" t="s">
        <v>114</v>
      </c>
    </row>
    <row r="33" spans="2:9" x14ac:dyDescent="0.4">
      <c r="B33" s="22"/>
      <c r="C33" s="23"/>
      <c r="D33" s="24"/>
      <c r="E33" s="24"/>
      <c r="F33" s="26" t="s">
        <v>67</v>
      </c>
      <c r="G33" s="32">
        <f>SUM(G3:G32)</f>
        <v>36.6</v>
      </c>
      <c r="H33" s="33"/>
      <c r="I33" s="34"/>
    </row>
    <row r="34" spans="2:9" ht="14.25" thickBot="1" x14ac:dyDescent="0.45">
      <c r="B34" s="18"/>
      <c r="C34" s="19"/>
      <c r="D34" s="20"/>
      <c r="E34" s="20"/>
      <c r="F34" s="25" t="s">
        <v>68</v>
      </c>
      <c r="G34" s="29">
        <v>5</v>
      </c>
      <c r="H34" s="30"/>
      <c r="I34" s="31"/>
    </row>
    <row r="35" spans="2:9" ht="14.25" thickTop="1" x14ac:dyDescent="0.4"/>
  </sheetData>
  <mergeCells count="2">
    <mergeCell ref="G34:I34"/>
    <mergeCell ref="G33:I33"/>
  </mergeCells>
  <phoneticPr fontId="7" type="noConversion"/>
  <dataValidations count="2">
    <dataValidation type="list" allowBlank="1" showInputMessage="1" showErrorMessage="1" sqref="H4:H32" xr:uid="{00000000-0002-0000-0000-000000000000}">
      <formula1>hh</formula1>
    </dataValidation>
    <dataValidation type="list" allowBlank="1" showInputMessage="1" showErrorMessage="1" sqref="F4:F32"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E4:E34</xm:sqref>
        </x14:dataValidation>
        <x14:dataValidation type="list" allowBlank="1" showInputMessage="1" showErrorMessage="1" xr:uid="{00000000-0002-0000-0000-000002000000}">
          <x14:formula1>
            <xm:f>数据标签!$B$2:$H$2</xm:f>
          </x14:formula1>
          <xm:sqref>C4:C34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2025-06-23T07:21:25Z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