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3855E416-1936-4C1F-B7DD-0246FA915AF9}"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<sst xmlns="http://schemas.openxmlformats.org/spreadsheetml/2006/main" count="206" uniqueCount="98">
  <si>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</si>
  <si>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</si>
  <si>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</si>
  <si>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</si>
  <si>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</si>
  <si>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</si>
  <si>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</si>
  <si>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</si>
  <si>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</si>
  <si>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</si>
  <si>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</si>
  <si>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</si>
  <si>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</si>
  <si>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</si>
  <si>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</si>
  <si>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</si>
  <si>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</si>
  <si>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</si>
  <si>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</si>
  <si>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</si>
  <si>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</si>
  <si>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</si>
  <si>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</si>
  <si>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</si>
  <si>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</si>
  <si>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</si>
  <si>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</si>
  <si>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</si>
  <si>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</si>
  <si>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</si>
  <si>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</si>
  <si>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</si>
  <si>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</si>
  <si>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</si>
  <si>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</si>
  <si>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</si>
  <si>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</si>
  <si>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</si>
  <si>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</si>
  <si>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</si>
  <si>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</si>
  <si>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</si>
  <si>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</si>
  <si>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</si>
  <si>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</si>
  <si>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</si>
  <si>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</si>
  <si>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</si>
  <si>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</si>
  <si>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</si>
  <si>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</si>
  <si>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</si>
  <si>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</si>
  <si>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</si>
  <si>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</si>
  <si>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</si>
  <si>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</si>
  <si>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</si>
  <si>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</si>
  <si>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</si>
  <si>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</si>
  <si>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</si>
  <si>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</si>
  <si>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</si>
  <si>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</si>
  <si>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</si>
  <si>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</si>
  <si>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</si>
  <si>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</si>
  <si>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</si>
  <si>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</si>
  <si>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</si>
  <si>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</si>
  <si>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</si>
  <si>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Project Zebra</t>
    <phoneticPr fontId="7" type="noConversion"/>
  </si>
  <si>
    <t>耀金</t>
    <phoneticPr fontId="7" type="noConversion"/>
  </si>
  <si>
    <t>审阅反馈股权转让协议</t>
    <phoneticPr fontId="7" type="noConversion"/>
  </si>
  <si>
    <t>Public - Knowledge Accumulation &amp; Sharing</t>
  </si>
  <si>
    <t>东莞风铃</t>
    <phoneticPr fontId="7" type="noConversion"/>
  </si>
  <si>
    <t>爱芯科技</t>
    <phoneticPr fontId="7" type="noConversion"/>
  </si>
  <si>
    <t>从法律视角看直播带货风口下的众生百态——电商直播行业法律风险管控</t>
    <phoneticPr fontId="7" type="noConversion"/>
  </si>
  <si>
    <t>AI时代你的脸很重要——“人脸新规”速递</t>
    <phoneticPr fontId="7" type="noConversion"/>
  </si>
  <si>
    <t>荣芯半导体</t>
    <phoneticPr fontId="7" type="noConversion"/>
  </si>
  <si>
    <t>审批缴款安排</t>
    <phoneticPr fontId="7" type="noConversion"/>
  </si>
  <si>
    <t>Hua Capital Integrated Circuit Fund</t>
    <phoneticPr fontId="7" type="noConversion"/>
  </si>
  <si>
    <t>讨论缴款违约问题</t>
    <phoneticPr fontId="7" type="noConversion"/>
  </si>
  <si>
    <t>审阅华图收购文件及安排签署</t>
    <phoneticPr fontId="7" type="noConversion"/>
  </si>
  <si>
    <t>TOPIC燃也</t>
    <phoneticPr fontId="7" type="noConversion"/>
  </si>
  <si>
    <t>审阅修订退出文件</t>
    <phoneticPr fontId="7" type="noConversion"/>
  </si>
  <si>
    <t>Treelab</t>
    <phoneticPr fontId="7" type="noConversion"/>
  </si>
  <si>
    <t>内部沟通CFIUS相关风险问题</t>
    <phoneticPr fontId="7" type="noConversion"/>
  </si>
  <si>
    <t>审阅反馈回购协议文件</t>
    <phoneticPr fontId="7" type="noConversion"/>
  </si>
  <si>
    <t>招行项目-宜家&amp;思妍丽</t>
    <phoneticPr fontId="7" type="noConversion"/>
  </si>
  <si>
    <t>NDA审阅</t>
    <phoneticPr fontId="7" type="noConversion"/>
  </si>
  <si>
    <t>审阅反馈补充协议意见</t>
    <phoneticPr fontId="7" type="noConversion"/>
  </si>
  <si>
    <t>讨论反馈补充协议意见</t>
    <phoneticPr fontId="7" type="noConversion"/>
  </si>
  <si>
    <t>近期资本市场趋势</t>
    <phoneticPr fontId="7" type="noConversion"/>
  </si>
  <si>
    <t>huannnzhang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</si>
</sst>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zoomScaleNormal="100" workbookViewId="0">
      <selection activeCell="K3" sqref="K3"/>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15" customHeight="1" x14ac:dyDescent="0.4">
      <c r="B3" s="6" t="s">
        <v>7</v>
      </c>
      <c r="C3" s="7" t="s">
        <v>8</v>
      </c>
      <c r="D3" s="7" t="s">
        <v>9</v>
      </c>
      <c r="E3" s="7" t="s">
        <v>59</v>
      </c>
      <c r="F3" s="7" t="s">
        <v>57</v>
      </c>
      <c r="G3" s="7" t="s">
        <v>10</v>
      </c>
      <c r="H3" s="7" t="s">
        <v>11</v>
      </c>
      <c r="I3" s="10" t="s">
        <v>12</v>
      </c>
    </row>
    <row r="4" spans="2:9" ht="25.5" x14ac:dyDescent="0.4">
      <c r="B4" s="14" t="s">
        <v>73</v>
      </c>
      <c r="C4" s="12" t="s">
        <v>14</v>
      </c>
      <c r="D4" s="28" t="s">
        <v>74</v>
      </c>
      <c r="E4" s="8" t="s">
        <v>40</v>
      </c>
      <c r="F4" s="12" t="s">
        <v>72</v>
      </c>
      <c r="G4" s="8">
        <v>3.4</v>
      </c>
      <c r="H4" s="12" t="s">
        <v>20</v>
      </c>
      <c r="I4" s="27" t="s">
        <v>95</v>
      </c>
    </row>
    <row r="5" spans="2:9" ht="25.5" x14ac:dyDescent="0.4">
      <c r="B5" s="14" t="s">
        <v>73</v>
      </c>
      <c r="C5" s="12" t="s">
        <v>77</v>
      </c>
      <c r="D5" s="28"/>
      <c r="E5" s="8" t="s">
        <v>27</v>
      </c>
      <c r="F5" s="12"/>
      <c r="G5" s="8">
        <v>2</v>
      </c>
      <c r="H5" s="12" t="s">
        <v>34</v>
      </c>
      <c r="I5" s="27" t="s">
        <v>80</v>
      </c>
    </row>
    <row r="6" spans="2:9" ht="25.5" x14ac:dyDescent="0.4">
      <c r="B6" s="14" t="s">
        <v>73</v>
      </c>
      <c r="C6" s="12" t="s">
        <v>77</v>
      </c>
      <c r="D6" s="28"/>
      <c r="E6" s="8" t="s">
        <v>27</v>
      </c>
      <c r="F6" s="12"/>
      <c r="G6" s="8">
        <v>0.8</v>
      </c>
      <c r="H6" s="12" t="s">
        <v>34</v>
      </c>
      <c r="I6" s="27" t="s">
        <v>96</v>
      </c>
    </row>
    <row r="7" spans="2:9" ht="25.5" x14ac:dyDescent="0.4">
      <c r="B7" s="14" t="s">
        <v>73</v>
      </c>
      <c r="C7" s="12" t="s">
        <v>14</v>
      </c>
      <c r="D7" s="28" t="s">
        <v>74</v>
      </c>
      <c r="E7" s="8" t="s">
        <v>40</v>
      </c>
      <c r="F7" s="12" t="s">
        <v>72</v>
      </c>
      <c r="G7" s="8">
        <v>2</v>
      </c>
      <c r="H7" s="12" t="s">
        <v>20</v>
      </c>
      <c r="I7" s="27" t="s">
        <v>94</v>
      </c>
    </row>
    <row r="8" spans="2:9" ht="25.5" x14ac:dyDescent="0.4">
      <c r="B8" s="14" t="s">
        <v>73</v>
      </c>
      <c r="C8" s="12" t="s">
        <v>77</v>
      </c>
      <c r="D8" s="28"/>
      <c r="E8" s="8" t="s">
        <v>27</v>
      </c>
      <c r="F8" s="12"/>
      <c r="G8" s="8">
        <v>1.5</v>
      </c>
      <c r="H8" s="12" t="s">
        <v>34</v>
      </c>
      <c r="I8" s="27" t="s">
        <v>81</v>
      </c>
    </row>
    <row r="9" spans="2:9" ht="25.5" x14ac:dyDescent="0.4">
      <c r="B9" s="14" t="s">
        <v>97</v>
      </c>
      <c r="C9" s="12" t="s">
        <v>14</v>
      </c>
      <c r="D9" s="28" t="s">
        <v>78</v>
      </c>
      <c r="E9" s="8" t="s">
        <v>40</v>
      </c>
      <c r="F9" s="12" t="s">
        <v>72</v>
      </c>
      <c r="G9" s="8">
        <v>1.8</v>
      </c>
      <c r="H9" s="12" t="s">
        <v>20</v>
      </c>
      <c r="I9" s="27" t="s">
        <v>76</v>
      </c>
    </row>
    <row r="10" spans="2:9" ht="25.5" x14ac:dyDescent="0.4">
      <c r="B10" s="14" t="s">
        <v>73</v>
      </c>
      <c r="C10" s="12" t="s">
        <v>16</v>
      </c>
      <c r="D10" s="28" t="s">
        <v>92</v>
      </c>
      <c r="E10" s="8" t="s">
        <v>40</v>
      </c>
      <c r="F10" s="12" t="s">
        <v>72</v>
      </c>
      <c r="G10" s="8">
        <v>0.9</v>
      </c>
      <c r="H10" s="12" t="s">
        <v>20</v>
      </c>
      <c r="I10" s="27" t="s">
        <v>93</v>
      </c>
    </row>
    <row r="11" spans="2:9" ht="25.5" x14ac:dyDescent="0.4">
      <c r="B11" s="14" t="s">
        <v>73</v>
      </c>
      <c r="C11" s="12" t="s">
        <v>14</v>
      </c>
      <c r="D11" s="28" t="s">
        <v>75</v>
      </c>
      <c r="E11" s="8" t="s">
        <v>40</v>
      </c>
      <c r="F11" s="12" t="s">
        <v>72</v>
      </c>
      <c r="G11" s="8">
        <v>2.5</v>
      </c>
      <c r="H11" s="12" t="s">
        <v>20</v>
      </c>
      <c r="I11" s="27" t="s">
        <v>91</v>
      </c>
    </row>
    <row r="12" spans="2:9" ht="25.5" x14ac:dyDescent="0.4">
      <c r="B12" s="14" t="s">
        <v>73</v>
      </c>
      <c r="C12" s="12" t="s">
        <v>16</v>
      </c>
      <c r="D12" s="28" t="s">
        <v>84</v>
      </c>
      <c r="E12" s="8" t="s">
        <v>40</v>
      </c>
      <c r="F12" s="12" t="s">
        <v>72</v>
      </c>
      <c r="G12" s="8">
        <v>2</v>
      </c>
      <c r="H12" s="12" t="s">
        <v>20</v>
      </c>
      <c r="I12" s="27" t="s">
        <v>85</v>
      </c>
    </row>
    <row r="13" spans="2:9" ht="25.5" x14ac:dyDescent="0.4">
      <c r="B13" s="14" t="s">
        <v>73</v>
      </c>
      <c r="C13" s="12" t="s">
        <v>16</v>
      </c>
      <c r="D13" s="28" t="s">
        <v>89</v>
      </c>
      <c r="E13" s="8" t="s">
        <v>40</v>
      </c>
      <c r="F13" s="12" t="s">
        <v>72</v>
      </c>
      <c r="G13" s="8">
        <v>1</v>
      </c>
      <c r="H13" s="12" t="s">
        <v>20</v>
      </c>
      <c r="I13" s="27" t="s">
        <v>90</v>
      </c>
    </row>
    <row r="14" spans="2:9" ht="25.5" x14ac:dyDescent="0.4">
      <c r="B14" s="14" t="s">
        <v>73</v>
      </c>
      <c r="C14" s="12" t="s">
        <v>14</v>
      </c>
      <c r="D14" s="28" t="s">
        <v>87</v>
      </c>
      <c r="E14" s="8" t="s">
        <v>40</v>
      </c>
      <c r="F14" s="12" t="s">
        <v>72</v>
      </c>
      <c r="G14" s="8">
        <v>2.2000000000000002</v>
      </c>
      <c r="H14" s="12" t="s">
        <v>20</v>
      </c>
      <c r="I14" s="27" t="s">
        <v>88</v>
      </c>
    </row>
    <row r="15" spans="2:9" ht="25.5" x14ac:dyDescent="0.4">
      <c r="B15" s="14" t="s">
        <v>73</v>
      </c>
      <c r="C15" s="12" t="s">
        <v>14</v>
      </c>
      <c r="D15" s="28" t="s">
        <v>79</v>
      </c>
      <c r="E15" s="8" t="s">
        <v>40</v>
      </c>
      <c r="F15" s="12" t="s">
        <v>72</v>
      </c>
      <c r="G15" s="8">
        <v>0.7</v>
      </c>
      <c r="H15" s="12" t="s">
        <v>20</v>
      </c>
      <c r="I15" s="27" t="s">
        <v>86</v>
      </c>
    </row>
    <row r="16" spans="2:9" ht="25.5" x14ac:dyDescent="0.4">
      <c r="B16" s="14" t="s">
        <v>73</v>
      </c>
      <c r="C16" s="12" t="s">
        <v>16</v>
      </c>
      <c r="D16" s="28" t="s">
        <v>82</v>
      </c>
      <c r="E16" s="8" t="s">
        <v>40</v>
      </c>
      <c r="F16" s="12" t="s">
        <v>72</v>
      </c>
      <c r="G16" s="8">
        <v>0.3</v>
      </c>
      <c r="H16" s="12" t="s">
        <v>20</v>
      </c>
      <c r="I16" s="27" t="s">
        <v>83</v>
      </c>
    </row>
    <row r="17" spans="2:9" ht="25.5" x14ac:dyDescent="0.4">
      <c r="B17" s="14" t="s">
        <v>73</v>
      </c>
      <c r="C17" s="12" t="s">
        <v>16</v>
      </c>
      <c r="D17" s="28" t="s">
        <v>84</v>
      </c>
      <c r="E17" s="8" t="s">
        <v>40</v>
      </c>
      <c r="F17" s="12" t="s">
        <v>72</v>
      </c>
      <c r="G17" s="8">
        <v>1</v>
      </c>
      <c r="H17" s="12" t="s">
        <v>20</v>
      </c>
      <c r="I17" s="27" t="s">
        <v>85</v>
      </c>
    </row>
    <row r="18" spans="2:9" x14ac:dyDescent="0.4">
      <c r="B18" s="22"/>
      <c r="C18" s="23"/>
      <c r="D18" s="24"/>
      <c r="E18" s="24"/>
      <c r="F18" s="26" t="s">
        <v>67</v>
      </c>
      <c r="G18" s="32">
        <f>SUM(G3:G17)</f>
        <v>22.099999999999998</v>
      </c>
      <c r="H18" s="33"/>
      <c r="I18" s="34"/>
    </row>
    <row r="19" spans="2:9" ht="14.25" thickBot="1" x14ac:dyDescent="0.45">
      <c r="B19" s="18"/>
      <c r="C19" s="19"/>
      <c r="D19" s="20"/>
      <c r="E19" s="20"/>
      <c r="F19" s="25" t="s">
        <v>68</v>
      </c>
      <c r="G19" s="29">
        <v>5</v>
      </c>
      <c r="H19" s="30"/>
      <c r="I19" s="31"/>
    </row>
    <row r="20" spans="2:9" ht="14.25" thickTop="1" x14ac:dyDescent="0.4"/>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2025-06-03T03:05:49Z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