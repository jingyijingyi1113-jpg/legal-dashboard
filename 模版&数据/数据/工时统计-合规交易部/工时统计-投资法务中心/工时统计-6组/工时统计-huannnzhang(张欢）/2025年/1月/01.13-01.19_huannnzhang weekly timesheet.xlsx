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EA8DC634-C9CC-459B-BD51-B1885AA3CECC}"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<sst xmlns="http://schemas.openxmlformats.org/spreadsheetml/2006/main" count="234" uniqueCount="102">
  <si>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</si>
  <si>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</si>
  <si>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</si>
  <si>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</si>
  <si>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</si>
  <si>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</si>
  <si>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</si>
  <si>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</si>
  <si>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</si>
  <si>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</si>
  <si>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</si>
  <si>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</si>
  <si>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</si>
  <si>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</si>
  <si>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</si>
  <si>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</si>
  <si>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</si>
  <si>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</si>
  <si>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</si>
  <si>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</si>
  <si>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</si>
  <si>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</si>
  <si>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</si>
  <si>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</si>
  <si>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</si>
  <si>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</si>
  <si>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</si>
  <si>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</si>
  <si>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</si>
  <si>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</si>
  <si>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</si>
  <si>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</si>
  <si>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</si>
  <si>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</si>
  <si>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</si>
  <si>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</si>
  <si>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</si>
  <si>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</si>
  <si>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</si>
  <si>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</si>
  <si>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</si>
  <si>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</si>
  <si>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</si>
  <si>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</si>
  <si>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</si>
  <si>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</si>
  <si>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</si>
  <si>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</si>
  <si>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</si>
  <si>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</si>
  <si>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</si>
  <si>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</si>
  <si>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</si>
  <si>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</si>
  <si>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</si>
  <si>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</si>
  <si>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</si>
  <si>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</si>
  <si>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</si>
  <si>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</si>
  <si>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</si>
  <si>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</si>
  <si>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</si>
  <si>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</si>
  <si>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</si>
  <si>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</si>
  <si>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</si>
  <si>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</si>
  <si>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</si>
  <si>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</si>
  <si>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</si>
  <si>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</si>
  <si>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</si>
  <si>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</si>
  <si>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智慧星空</t>
    <phoneticPr fontId="7" type="noConversion"/>
  </si>
  <si>
    <t>拓数派</t>
    <phoneticPr fontId="7" type="noConversion"/>
  </si>
  <si>
    <t>青藤云</t>
    <phoneticPr fontId="7" type="noConversion"/>
  </si>
  <si>
    <t>苹果树</t>
    <phoneticPr fontId="7" type="noConversion"/>
  </si>
  <si>
    <t>Recording/reviewing deals updates/weekly time reports/other team summaries</t>
  </si>
  <si>
    <t>更新deals update</t>
    <phoneticPr fontId="7" type="noConversion"/>
  </si>
  <si>
    <t>安排工商变更资料</t>
    <phoneticPr fontId="7" type="noConversion"/>
  </si>
  <si>
    <t>OKR宣讲</t>
    <phoneticPr fontId="7" type="noConversion"/>
  </si>
  <si>
    <t>例会</t>
    <phoneticPr fontId="7" type="noConversion"/>
  </si>
  <si>
    <t>Sofinnova XI</t>
    <phoneticPr fontId="7" type="noConversion"/>
  </si>
  <si>
    <t>嗨普智能</t>
    <phoneticPr fontId="7" type="noConversion"/>
  </si>
  <si>
    <t>内部沟通基金情况</t>
    <phoneticPr fontId="7" type="noConversion"/>
  </si>
  <si>
    <t>众乐互娱</t>
    <phoneticPr fontId="7" type="noConversion"/>
  </si>
  <si>
    <t>抱抱</t>
    <phoneticPr fontId="7" type="noConversion"/>
  </si>
  <si>
    <t>Insight Partners XII</t>
    <phoneticPr fontId="7" type="noConversion"/>
  </si>
  <si>
    <t>Insight Partners XII Buyout Annex Fund</t>
    <phoneticPr fontId="7" type="noConversion"/>
  </si>
  <si>
    <t>Insight Partners XIII</t>
    <phoneticPr fontId="7" type="noConversion"/>
  </si>
  <si>
    <t>Insight Partners XIII Growth Buyout Fund</t>
    <phoneticPr fontId="7" type="noConversion"/>
  </si>
  <si>
    <t>初步审阅文件；与律师沟通报价</t>
    <phoneticPr fontId="7" type="noConversion"/>
  </si>
  <si>
    <t>反馈文件审阅意见</t>
    <phoneticPr fontId="7" type="noConversion"/>
  </si>
  <si>
    <t>审阅反馈转股意见</t>
    <phoneticPr fontId="7" type="noConversion"/>
  </si>
  <si>
    <t>审阅反馈LPA Amendment</t>
    <phoneticPr fontId="7" type="noConversion"/>
  </si>
  <si>
    <t>反馈股东会审议意见</t>
    <phoneticPr fontId="7" type="noConversion"/>
  </si>
  <si>
    <t>审阅退出协议</t>
    <phoneticPr fontId="7" type="noConversion"/>
  </si>
  <si>
    <t>沟通项目情况</t>
    <phoneticPr fontId="7" type="noConversion"/>
  </si>
  <si>
    <t>沟通项目情况及初步审阅文件</t>
    <phoneticPr fontId="7" type="noConversion"/>
  </si>
  <si>
    <t>讨论审阅股东会董事会决议</t>
    <phoneticPr fontId="7" type="noConversion"/>
  </si>
  <si>
    <t>讨论审议年终奖相关问题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</si>
</sst>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5" zoomScaleNormal="100" workbookViewId="0">
      <selection activeCell="H28" sqref="H28"/>
    </sheetView>
  </sheetViews>
  <sheetFormatPr defaultColWidth="9" defaultRowHeight="13.9" x14ac:dyDescent="0.4"/>
  <cols>
    <col min="3" max="3" width="34.3984375" style="13" customWidth="1"/>
    <col min="4" max="4" width="15.06640625" customWidth="1"/>
    <col min="5" max="5" width="10.59765625" customWidth="1"/>
    <col min="6" max="6" width="29.86328125" style="13" customWidth="1"/>
    <col min="8" max="8" width="41.59765625" style="13"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14" t="s">
        <v>72</v>
      </c>
      <c r="C4" s="12" t="s">
        <v>18</v>
      </c>
      <c r="D4" s="8"/>
      <c r="E4" s="8" t="s">
        <v>27</v>
      </c>
      <c r="F4" s="12"/>
      <c r="G4" s="8">
        <v>0.5</v>
      </c>
      <c r="H4" s="12" t="s">
        <v>78</v>
      </c>
      <c r="I4" s="27" t="s">
        <v>79</v>
      </c>
    </row>
    <row r="5" spans="2:9" ht="25.5" x14ac:dyDescent="0.4">
      <c r="B5" s="14" t="s">
        <v>72</v>
      </c>
      <c r="C5" s="12" t="s">
        <v>16</v>
      </c>
      <c r="D5" s="28" t="s">
        <v>76</v>
      </c>
      <c r="E5" s="8" t="s">
        <v>40</v>
      </c>
      <c r="F5" s="12" t="s">
        <v>73</v>
      </c>
      <c r="G5" s="8">
        <v>1.9</v>
      </c>
      <c r="H5" s="12" t="s">
        <v>20</v>
      </c>
      <c r="I5" s="27" t="s">
        <v>101</v>
      </c>
    </row>
    <row r="6" spans="2:9" ht="25.5" x14ac:dyDescent="0.4">
      <c r="B6" s="14" t="s">
        <v>72</v>
      </c>
      <c r="C6" s="12" t="s">
        <v>14</v>
      </c>
      <c r="D6" s="28" t="s">
        <v>74</v>
      </c>
      <c r="E6" s="8" t="s">
        <v>40</v>
      </c>
      <c r="F6" s="12" t="s">
        <v>73</v>
      </c>
      <c r="G6" s="8">
        <v>0.3</v>
      </c>
      <c r="H6" s="12" t="s">
        <v>20</v>
      </c>
      <c r="I6" s="27" t="s">
        <v>80</v>
      </c>
    </row>
    <row r="7" spans="2:9" x14ac:dyDescent="0.4">
      <c r="B7" s="14" t="s">
        <v>72</v>
      </c>
      <c r="C7" s="12" t="s">
        <v>18</v>
      </c>
      <c r="D7" s="8"/>
      <c r="E7" s="8" t="s">
        <v>27</v>
      </c>
      <c r="F7" s="12"/>
      <c r="G7" s="8">
        <v>1.1000000000000001</v>
      </c>
      <c r="H7" s="12" t="s">
        <v>24</v>
      </c>
      <c r="I7" s="27" t="s">
        <v>81</v>
      </c>
    </row>
    <row r="8" spans="2:9" ht="25.5" x14ac:dyDescent="0.4">
      <c r="B8" s="14" t="s">
        <v>72</v>
      </c>
      <c r="C8" s="12" t="s">
        <v>14</v>
      </c>
      <c r="D8" s="28" t="s">
        <v>83</v>
      </c>
      <c r="E8" s="8" t="s">
        <v>40</v>
      </c>
      <c r="F8" s="12" t="s">
        <v>73</v>
      </c>
      <c r="G8" s="8">
        <v>0.5</v>
      </c>
      <c r="H8" s="12" t="s">
        <v>20</v>
      </c>
      <c r="I8" s="27" t="s">
        <v>85</v>
      </c>
    </row>
    <row r="9" spans="2:9" x14ac:dyDescent="0.4">
      <c r="B9" s="14" t="s">
        <v>72</v>
      </c>
      <c r="C9" s="12" t="s">
        <v>18</v>
      </c>
      <c r="D9" s="8"/>
      <c r="E9" s="8" t="s">
        <v>27</v>
      </c>
      <c r="F9" s="12"/>
      <c r="G9" s="8">
        <v>1.2</v>
      </c>
      <c r="H9" s="12" t="s">
        <v>24</v>
      </c>
      <c r="I9" s="27" t="s">
        <v>82</v>
      </c>
    </row>
    <row r="10" spans="2:9" ht="25.5" x14ac:dyDescent="0.4">
      <c r="B10" s="14" t="s">
        <v>72</v>
      </c>
      <c r="C10" s="12" t="s">
        <v>16</v>
      </c>
      <c r="D10" s="28" t="s">
        <v>84</v>
      </c>
      <c r="E10" s="8" t="s">
        <v>40</v>
      </c>
      <c r="F10" s="12" t="s">
        <v>73</v>
      </c>
      <c r="G10" s="8">
        <v>2</v>
      </c>
      <c r="H10" s="12" t="s">
        <v>20</v>
      </c>
      <c r="I10" s="27" t="s">
        <v>100</v>
      </c>
    </row>
    <row r="11" spans="2:9" ht="25.5" x14ac:dyDescent="0.4">
      <c r="B11" s="14" t="s">
        <v>72</v>
      </c>
      <c r="C11" s="12" t="s">
        <v>14</v>
      </c>
      <c r="D11" s="28" t="s">
        <v>83</v>
      </c>
      <c r="E11" s="8" t="s">
        <v>40</v>
      </c>
      <c r="F11" s="12" t="s">
        <v>73</v>
      </c>
      <c r="G11" s="8">
        <v>2.2000000000000002</v>
      </c>
      <c r="H11" s="12" t="s">
        <v>20</v>
      </c>
      <c r="I11" s="27" t="s">
        <v>99</v>
      </c>
    </row>
    <row r="12" spans="2:9" ht="25.5" x14ac:dyDescent="0.4">
      <c r="B12" s="14" t="s">
        <v>72</v>
      </c>
      <c r="C12" s="12" t="s">
        <v>16</v>
      </c>
      <c r="D12" s="28" t="s">
        <v>86</v>
      </c>
      <c r="E12" s="8" t="s">
        <v>40</v>
      </c>
      <c r="F12" s="12" t="s">
        <v>73</v>
      </c>
      <c r="G12" s="8">
        <v>0.6</v>
      </c>
      <c r="H12" s="12" t="s">
        <v>20</v>
      </c>
      <c r="I12" s="27" t="s">
        <v>98</v>
      </c>
    </row>
    <row r="13" spans="2:9" ht="25.5" x14ac:dyDescent="0.4">
      <c r="B13" s="14" t="s">
        <v>72</v>
      </c>
      <c r="C13" s="12" t="s">
        <v>14</v>
      </c>
      <c r="D13" s="28" t="s">
        <v>87</v>
      </c>
      <c r="E13" s="8" t="s">
        <v>40</v>
      </c>
      <c r="F13" s="12" t="s">
        <v>73</v>
      </c>
      <c r="G13" s="8">
        <v>0.8</v>
      </c>
      <c r="H13" s="12" t="s">
        <v>20</v>
      </c>
      <c r="I13" s="27" t="s">
        <v>97</v>
      </c>
    </row>
    <row r="14" spans="2:9" ht="25.5" x14ac:dyDescent="0.4">
      <c r="B14" s="14" t="s">
        <v>72</v>
      </c>
      <c r="C14" s="12" t="s">
        <v>16</v>
      </c>
      <c r="D14" s="28" t="s">
        <v>88</v>
      </c>
      <c r="E14" s="8" t="s">
        <v>40</v>
      </c>
      <c r="F14" s="12" t="s">
        <v>73</v>
      </c>
      <c r="G14" s="8">
        <v>0.6</v>
      </c>
      <c r="H14" s="12" t="s">
        <v>20</v>
      </c>
      <c r="I14" s="27" t="s">
        <v>95</v>
      </c>
    </row>
    <row r="15" spans="2:9" ht="25.5" x14ac:dyDescent="0.4">
      <c r="B15" s="14" t="s">
        <v>72</v>
      </c>
      <c r="C15" s="12" t="s">
        <v>14</v>
      </c>
      <c r="D15" s="28" t="s">
        <v>89</v>
      </c>
      <c r="E15" s="8" t="s">
        <v>40</v>
      </c>
      <c r="F15" s="12" t="s">
        <v>73</v>
      </c>
      <c r="G15" s="8">
        <v>1.5</v>
      </c>
      <c r="H15" s="12" t="s">
        <v>20</v>
      </c>
      <c r="I15" s="27" t="s">
        <v>95</v>
      </c>
    </row>
    <row r="16" spans="2:9" ht="25.5" x14ac:dyDescent="0.4">
      <c r="B16" s="14" t="s">
        <v>72</v>
      </c>
      <c r="C16" s="12" t="s">
        <v>14</v>
      </c>
      <c r="D16" s="28" t="s">
        <v>90</v>
      </c>
      <c r="E16" s="8" t="s">
        <v>40</v>
      </c>
      <c r="F16" s="12" t="s">
        <v>73</v>
      </c>
      <c r="G16" s="8">
        <v>1</v>
      </c>
      <c r="H16" s="12" t="s">
        <v>20</v>
      </c>
      <c r="I16" s="27" t="s">
        <v>95</v>
      </c>
    </row>
    <row r="17" spans="2:9" ht="25.5" x14ac:dyDescent="0.4">
      <c r="B17" s="14" t="s">
        <v>72</v>
      </c>
      <c r="C17" s="12" t="s">
        <v>14</v>
      </c>
      <c r="D17" s="28" t="s">
        <v>91</v>
      </c>
      <c r="E17" s="8" t="s">
        <v>40</v>
      </c>
      <c r="F17" s="12" t="s">
        <v>73</v>
      </c>
      <c r="G17" s="8">
        <v>0.5</v>
      </c>
      <c r="H17" s="12" t="s">
        <v>20</v>
      </c>
      <c r="I17" s="27" t="s">
        <v>95</v>
      </c>
    </row>
    <row r="18" spans="2:9" ht="25.5" x14ac:dyDescent="0.4">
      <c r="B18" s="14" t="s">
        <v>72</v>
      </c>
      <c r="C18" s="12" t="s">
        <v>14</v>
      </c>
      <c r="D18" s="28" t="s">
        <v>75</v>
      </c>
      <c r="E18" s="8" t="s">
        <v>40</v>
      </c>
      <c r="F18" s="12" t="s">
        <v>73</v>
      </c>
      <c r="G18" s="8">
        <v>0.7</v>
      </c>
      <c r="H18" s="12" t="s">
        <v>20</v>
      </c>
      <c r="I18" s="27" t="s">
        <v>96</v>
      </c>
    </row>
    <row r="19" spans="2:9" ht="25.5" x14ac:dyDescent="0.4">
      <c r="B19" s="14" t="s">
        <v>72</v>
      </c>
      <c r="C19" s="12" t="s">
        <v>16</v>
      </c>
      <c r="D19" s="28" t="s">
        <v>86</v>
      </c>
      <c r="E19" s="8" t="s">
        <v>40</v>
      </c>
      <c r="F19" s="12" t="s">
        <v>73</v>
      </c>
      <c r="G19" s="8">
        <v>3.8</v>
      </c>
      <c r="H19" s="12" t="s">
        <v>20</v>
      </c>
      <c r="I19" s="27" t="s">
        <v>94</v>
      </c>
    </row>
    <row r="20" spans="2:9" ht="25.5" x14ac:dyDescent="0.4">
      <c r="B20" s="14" t="s">
        <v>72</v>
      </c>
      <c r="C20" s="12" t="s">
        <v>14</v>
      </c>
      <c r="D20" s="28" t="s">
        <v>77</v>
      </c>
      <c r="E20" s="8" t="s">
        <v>40</v>
      </c>
      <c r="F20" s="12" t="s">
        <v>73</v>
      </c>
      <c r="G20" s="8">
        <v>0.5</v>
      </c>
      <c r="H20" s="12" t="s">
        <v>20</v>
      </c>
      <c r="I20" s="27" t="s">
        <v>93</v>
      </c>
    </row>
    <row r="21" spans="2:9" ht="25.5" x14ac:dyDescent="0.4">
      <c r="B21" s="14" t="s">
        <v>72</v>
      </c>
      <c r="C21" s="12" t="s">
        <v>14</v>
      </c>
      <c r="D21" s="28" t="s">
        <v>83</v>
      </c>
      <c r="E21" s="8" t="s">
        <v>40</v>
      </c>
      <c r="F21" s="12" t="s">
        <v>73</v>
      </c>
      <c r="G21" s="8">
        <v>1.5</v>
      </c>
      <c r="H21" s="12" t="s">
        <v>20</v>
      </c>
      <c r="I21" s="27" t="s">
        <v>92</v>
      </c>
    </row>
    <row r="22" spans="2:9" x14ac:dyDescent="0.4">
      <c r="B22" s="22"/>
      <c r="C22" s="23"/>
      <c r="D22" s="24"/>
      <c r="E22" s="24"/>
      <c r="F22" s="26" t="s">
        <v>67</v>
      </c>
      <c r="G22" s="32">
        <f>SUM(G3:G21)</f>
        <v>21.2</v>
      </c>
      <c r="H22" s="33"/>
      <c r="I22" s="34"/>
    </row>
    <row r="23" spans="2:9" ht="14.25" thickBot="1" x14ac:dyDescent="0.45">
      <c r="B23" s="18"/>
      <c r="C23" s="19"/>
      <c r="D23" s="20"/>
      <c r="E23" s="20"/>
      <c r="F23" s="25" t="s">
        <v>68</v>
      </c>
      <c r="G23" s="29">
        <v>5</v>
      </c>
      <c r="H23" s="30"/>
      <c r="I23" s="31"/>
    </row>
    <row r="24" spans="2:9" ht="14.25" thickTop="1" x14ac:dyDescent="0.4"/>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2025-01-20T07:02:44Z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