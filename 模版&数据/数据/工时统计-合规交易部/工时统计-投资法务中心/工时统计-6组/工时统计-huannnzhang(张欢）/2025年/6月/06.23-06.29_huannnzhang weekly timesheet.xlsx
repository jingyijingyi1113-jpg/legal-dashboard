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27264E66-3ED9-4B99-AF45-01282679E906}"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<sst xmlns="http://schemas.openxmlformats.org/spreadsheetml/2006/main" count="339" uniqueCount="120">
  <si>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</si>
  <si>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</si>
  <si>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</si>
  <si>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</si>
  <si>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</si>
  <si>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</si>
  <si>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</si>
  <si>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</si>
  <si>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</si>
  <si>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</si>
  <si>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</si>
  <si>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</si>
  <si>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</si>
  <si>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</si>
  <si>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</si>
  <si>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</si>
  <si>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</si>
  <si>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</si>
  <si>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</si>
  <si>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</si>
  <si>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</si>
  <si>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</si>
  <si>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</si>
  <si>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</si>
  <si>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</si>
  <si>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</si>
  <si>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</si>
  <si>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</si>
  <si>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</si>
  <si>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</si>
  <si>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</si>
  <si>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</si>
  <si>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</si>
  <si>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</si>
  <si>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</si>
  <si>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</si>
  <si>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</si>
  <si>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</si>
  <si>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</si>
  <si>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</si>
  <si>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</si>
  <si>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</si>
  <si>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</si>
  <si>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</si>
  <si>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</si>
  <si>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</si>
  <si>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</si>
  <si>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</si>
  <si>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</si>
  <si>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</si>
  <si>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</si>
  <si>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</si>
  <si>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</si>
  <si>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</si>
  <si>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</si>
  <si>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</si>
  <si>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</si>
  <si>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</si>
  <si>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</si>
  <si>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</si>
  <si>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</si>
  <si>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</si>
  <si>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</si>
  <si>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</si>
  <si>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</si>
  <si>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</si>
  <si>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</si>
  <si>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</si>
  <si>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</si>
  <si>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</si>
  <si>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</si>
  <si>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</si>
  <si>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</si>
  <si>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</si>
  <si>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</si>
  <si>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爱芯科技</t>
    <phoneticPr fontId="7" type="noConversion"/>
  </si>
  <si>
    <t>妈妈网</t>
    <phoneticPr fontId="7" type="noConversion"/>
  </si>
  <si>
    <t>Recording/reviewing deals updates/weekly time reports/other team summaries</t>
  </si>
  <si>
    <t>huannnzhang</t>
    <phoneticPr fontId="7" type="noConversion"/>
  </si>
  <si>
    <t>耀金</t>
    <phoneticPr fontId="7" type="noConversion"/>
  </si>
  <si>
    <t>LSVP Co-Invest I</t>
    <phoneticPr fontId="7" type="noConversion"/>
  </si>
  <si>
    <t>智慧星空</t>
    <phoneticPr fontId="7" type="noConversion"/>
  </si>
  <si>
    <t>沟通C capita交割问题</t>
    <phoneticPr fontId="7" type="noConversion"/>
  </si>
  <si>
    <t>审阅讨论并准备回复策略文件</t>
    <phoneticPr fontId="7" type="noConversion"/>
  </si>
  <si>
    <t>审阅青藤文化股东会决议</t>
    <phoneticPr fontId="7" type="noConversion"/>
  </si>
  <si>
    <t>青藤文化</t>
    <phoneticPr fontId="7" type="noConversion"/>
  </si>
  <si>
    <t>燃也</t>
    <phoneticPr fontId="7" type="noConversion"/>
  </si>
  <si>
    <t>讨论回购退出方案</t>
    <phoneticPr fontId="7" type="noConversion"/>
  </si>
  <si>
    <t>Xtool</t>
    <phoneticPr fontId="7" type="noConversion"/>
  </si>
  <si>
    <t>智慧图</t>
    <phoneticPr fontId="7" type="noConversion"/>
  </si>
  <si>
    <t>审核三会决议等签署版文件</t>
    <phoneticPr fontId="7" type="noConversion"/>
  </si>
  <si>
    <t>Evantic Capital One</t>
    <phoneticPr fontId="7" type="noConversion"/>
  </si>
  <si>
    <t>kick off及初步审阅资料</t>
    <phoneticPr fontId="7" type="noConversion"/>
  </si>
  <si>
    <t>松山湖机器人二期基金</t>
    <phoneticPr fontId="7" type="noConversion"/>
  </si>
  <si>
    <t>审阅反馈LPAC决议</t>
    <phoneticPr fontId="7" type="noConversion"/>
  </si>
  <si>
    <t>Klearly</t>
    <phoneticPr fontId="7" type="noConversion"/>
  </si>
  <si>
    <t>审阅NDA</t>
    <phoneticPr fontId="7" type="noConversion"/>
  </si>
  <si>
    <t>讨论投资背景及了解公司情况</t>
    <phoneticPr fontId="7" type="noConversion"/>
  </si>
  <si>
    <t>沟通破产清算事宜</t>
    <phoneticPr fontId="7" type="noConversion"/>
  </si>
  <si>
    <t>审阅反馈TS</t>
    <phoneticPr fontId="7" type="noConversion"/>
  </si>
  <si>
    <t>讨论沟通KIL</t>
    <phoneticPr fontId="7" type="noConversion"/>
  </si>
  <si>
    <t>数字中国天使基金</t>
    <phoneticPr fontId="7" type="noConversion"/>
  </si>
  <si>
    <t>审阅年度合伙人决议</t>
    <phoneticPr fontId="7" type="noConversion"/>
  </si>
  <si>
    <t>Public - Knowledge Accumulation &amp; Sharing</t>
  </si>
  <si>
    <t>跨境支付业务辨析与热点合规问题探讨</t>
    <phoneticPr fontId="7" type="noConversion"/>
  </si>
  <si>
    <t>审阅回复底层项目核查穿透情况</t>
    <phoneticPr fontId="7" type="noConversion"/>
  </si>
  <si>
    <t>协调基金认购文件准备</t>
    <phoneticPr fontId="7" type="noConversion"/>
  </si>
  <si>
    <t>审阅C capita交割确认函</t>
    <phoneticPr fontId="7" type="noConversion"/>
  </si>
  <si>
    <t>初步审阅及讨论LDD安排</t>
    <phoneticPr fontId="7" type="noConversion"/>
  </si>
  <si>
    <t>讨论破产清算事宜</t>
    <phoneticPr fontId="7" type="noConversion"/>
  </si>
  <si>
    <t>Fund of 1</t>
    <phoneticPr fontId="7" type="noConversion"/>
  </si>
  <si>
    <t>沟通讨论基金SL安排</t>
    <phoneticPr fontId="7" type="noConversion"/>
  </si>
  <si>
    <t>审阅讨论老股转让问题</t>
    <phoneticPr fontId="7" type="noConversion"/>
  </si>
  <si>
    <t>讨论KIL意见</t>
    <phoneticPr fontId="7" type="noConversion"/>
  </si>
  <si>
    <t>审阅文件讨论反馈</t>
    <phoneticPr fontId="7" type="noConversion"/>
  </si>
  <si>
    <t>更新CFIUS总结</t>
    <phoneticPr fontId="7" type="noConversion"/>
  </si>
  <si>
    <t>确认C capita交割确认</t>
    <phoneticPr fontId="7" type="noConversion"/>
  </si>
  <si>
    <t>沟通律师费报价</t>
    <phoneticPr fontId="7" type="noConversion"/>
  </si>
  <si>
    <t>整理讨论反馈方案</t>
    <phoneticPr fontId="7" type="noConversion"/>
  </si>
  <si>
    <t>审核转股文件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</si>
</sst>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9"/>
  <sheetViews>
    <sheetView tabSelected="1" topLeftCell="A24" zoomScaleNormal="100" workbookViewId="0">
      <selection activeCell="F40" sqref="F40"/>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16</v>
      </c>
      <c r="D4" s="28" t="s">
        <v>85</v>
      </c>
      <c r="E4" s="8" t="s">
        <v>40</v>
      </c>
      <c r="F4" s="12" t="s">
        <v>72</v>
      </c>
      <c r="G4" s="8">
        <v>1.1000000000000001</v>
      </c>
      <c r="H4" s="12" t="s">
        <v>20</v>
      </c>
      <c r="I4" s="27" t="s">
        <v>84</v>
      </c>
    </row>
    <row r="5" spans="2:9" ht="25.5" x14ac:dyDescent="0.4">
      <c r="B5" s="14" t="s">
        <v>73</v>
      </c>
      <c r="C5" s="12" t="s">
        <v>14</v>
      </c>
      <c r="D5" s="28" t="s">
        <v>86</v>
      </c>
      <c r="E5" s="8" t="s">
        <v>40</v>
      </c>
      <c r="F5" s="12" t="s">
        <v>72</v>
      </c>
      <c r="G5" s="8">
        <v>0.5</v>
      </c>
      <c r="H5" s="12" t="s">
        <v>20</v>
      </c>
      <c r="I5" s="27" t="s">
        <v>87</v>
      </c>
    </row>
    <row r="6" spans="2:9" ht="25.5" x14ac:dyDescent="0.4">
      <c r="B6" s="14" t="s">
        <v>73</v>
      </c>
      <c r="C6" s="12" t="s">
        <v>14</v>
      </c>
      <c r="D6" s="28" t="s">
        <v>88</v>
      </c>
      <c r="E6" s="8" t="s">
        <v>40</v>
      </c>
      <c r="F6" s="12" t="s">
        <v>72</v>
      </c>
      <c r="G6" s="8">
        <v>2</v>
      </c>
      <c r="H6" s="12" t="s">
        <v>20</v>
      </c>
      <c r="I6" s="27" t="s">
        <v>97</v>
      </c>
    </row>
    <row r="7" spans="2:9" ht="25.5" x14ac:dyDescent="0.4">
      <c r="B7" s="14" t="s">
        <v>73</v>
      </c>
      <c r="C7" s="12" t="s">
        <v>14</v>
      </c>
      <c r="D7" s="28" t="s">
        <v>89</v>
      </c>
      <c r="E7" s="8" t="s">
        <v>40</v>
      </c>
      <c r="F7" s="12" t="s">
        <v>72</v>
      </c>
      <c r="G7" s="8">
        <v>1</v>
      </c>
      <c r="H7" s="12" t="s">
        <v>20</v>
      </c>
      <c r="I7" s="27" t="s">
        <v>98</v>
      </c>
    </row>
    <row r="8" spans="2:9" ht="25.5" x14ac:dyDescent="0.4">
      <c r="B8" s="14" t="s">
        <v>73</v>
      </c>
      <c r="C8" s="12" t="s">
        <v>14</v>
      </c>
      <c r="D8" s="28" t="s">
        <v>79</v>
      </c>
      <c r="E8" s="8" t="s">
        <v>40</v>
      </c>
      <c r="F8" s="12" t="s">
        <v>72</v>
      </c>
      <c r="G8" s="8">
        <v>1.6</v>
      </c>
      <c r="H8" s="12" t="s">
        <v>20</v>
      </c>
      <c r="I8" s="27" t="s">
        <v>100</v>
      </c>
    </row>
    <row r="9" spans="2:9" ht="25.5" x14ac:dyDescent="0.4">
      <c r="B9" s="14" t="s">
        <v>73</v>
      </c>
      <c r="C9" s="12" t="s">
        <v>14</v>
      </c>
      <c r="D9" s="28" t="s">
        <v>88</v>
      </c>
      <c r="E9" s="8" t="s">
        <v>40</v>
      </c>
      <c r="F9" s="12" t="s">
        <v>72</v>
      </c>
      <c r="G9" s="8">
        <v>1</v>
      </c>
      <c r="H9" s="12" t="s">
        <v>20</v>
      </c>
      <c r="I9" s="27" t="s">
        <v>99</v>
      </c>
    </row>
    <row r="10" spans="2:9" ht="25.5" x14ac:dyDescent="0.4">
      <c r="B10" s="14" t="s">
        <v>73</v>
      </c>
      <c r="C10" s="12" t="s">
        <v>14</v>
      </c>
      <c r="D10" s="28" t="s">
        <v>95</v>
      </c>
      <c r="E10" s="8" t="s">
        <v>40</v>
      </c>
      <c r="F10" s="12" t="s">
        <v>72</v>
      </c>
      <c r="G10" s="8">
        <v>1</v>
      </c>
      <c r="H10" s="12" t="s">
        <v>20</v>
      </c>
      <c r="I10" s="27" t="s">
        <v>96</v>
      </c>
    </row>
    <row r="11" spans="2:9" ht="25.5" x14ac:dyDescent="0.4">
      <c r="B11" s="14" t="s">
        <v>73</v>
      </c>
      <c r="C11" s="12" t="s">
        <v>16</v>
      </c>
      <c r="D11" s="28" t="s">
        <v>93</v>
      </c>
      <c r="E11" s="8" t="s">
        <v>40</v>
      </c>
      <c r="F11" s="12" t="s">
        <v>72</v>
      </c>
      <c r="G11" s="8">
        <v>1.7</v>
      </c>
      <c r="H11" s="12" t="s">
        <v>20</v>
      </c>
      <c r="I11" s="27" t="s">
        <v>94</v>
      </c>
    </row>
    <row r="12" spans="2:9" ht="25.5" x14ac:dyDescent="0.4">
      <c r="B12" s="14" t="s">
        <v>73</v>
      </c>
      <c r="C12" s="12" t="s">
        <v>14</v>
      </c>
      <c r="D12" s="28" t="s">
        <v>91</v>
      </c>
      <c r="E12" s="8" t="s">
        <v>40</v>
      </c>
      <c r="F12" s="12" t="s">
        <v>72</v>
      </c>
      <c r="G12" s="8">
        <v>4.5</v>
      </c>
      <c r="H12" s="12" t="s">
        <v>20</v>
      </c>
      <c r="I12" s="27" t="s">
        <v>92</v>
      </c>
    </row>
    <row r="13" spans="2:9" ht="25.5" x14ac:dyDescent="0.4">
      <c r="B13" s="14" t="s">
        <v>73</v>
      </c>
      <c r="C13" s="12" t="s">
        <v>15</v>
      </c>
      <c r="D13" s="28" t="s">
        <v>75</v>
      </c>
      <c r="E13" s="8" t="s">
        <v>40</v>
      </c>
      <c r="F13" s="12" t="s">
        <v>72</v>
      </c>
      <c r="G13" s="8">
        <v>0.8</v>
      </c>
      <c r="H13" s="12" t="s">
        <v>20</v>
      </c>
      <c r="I13" s="27" t="s">
        <v>90</v>
      </c>
    </row>
    <row r="14" spans="2:9" ht="25.5" x14ac:dyDescent="0.4">
      <c r="B14" s="14" t="s">
        <v>78</v>
      </c>
      <c r="C14" s="12" t="s">
        <v>16</v>
      </c>
      <c r="D14" s="28" t="s">
        <v>76</v>
      </c>
      <c r="E14" s="8" t="s">
        <v>40</v>
      </c>
      <c r="F14" s="12" t="s">
        <v>72</v>
      </c>
      <c r="G14" s="8">
        <v>0.8</v>
      </c>
      <c r="H14" s="12" t="s">
        <v>20</v>
      </c>
      <c r="I14" s="27" t="s">
        <v>83</v>
      </c>
    </row>
    <row r="15" spans="2:9" ht="25.5" x14ac:dyDescent="0.4">
      <c r="B15" s="14" t="s">
        <v>73</v>
      </c>
      <c r="C15" s="12" t="s">
        <v>14</v>
      </c>
      <c r="D15" s="28" t="s">
        <v>89</v>
      </c>
      <c r="E15" s="8" t="s">
        <v>40</v>
      </c>
      <c r="F15" s="12" t="s">
        <v>72</v>
      </c>
      <c r="G15" s="8">
        <v>1.3</v>
      </c>
      <c r="H15" s="12" t="s">
        <v>20</v>
      </c>
      <c r="I15" s="27" t="s">
        <v>98</v>
      </c>
    </row>
    <row r="16" spans="2:9" ht="25.5" x14ac:dyDescent="0.4">
      <c r="B16" s="14" t="s">
        <v>78</v>
      </c>
      <c r="C16" s="12" t="s">
        <v>16</v>
      </c>
      <c r="D16" s="28" t="s">
        <v>101</v>
      </c>
      <c r="E16" s="8" t="s">
        <v>40</v>
      </c>
      <c r="F16" s="12" t="s">
        <v>72</v>
      </c>
      <c r="G16" s="8">
        <v>1</v>
      </c>
      <c r="H16" s="12" t="s">
        <v>20</v>
      </c>
      <c r="I16" s="27" t="s">
        <v>102</v>
      </c>
    </row>
    <row r="17" spans="2:9" ht="25.5" x14ac:dyDescent="0.4">
      <c r="B17" s="14" t="s">
        <v>78</v>
      </c>
      <c r="C17" s="12" t="s">
        <v>14</v>
      </c>
      <c r="D17" s="28" t="s">
        <v>74</v>
      </c>
      <c r="E17" s="8" t="s">
        <v>40</v>
      </c>
      <c r="F17" s="12" t="s">
        <v>72</v>
      </c>
      <c r="G17" s="8">
        <v>0.5</v>
      </c>
      <c r="H17" s="12" t="s">
        <v>20</v>
      </c>
      <c r="I17" s="27" t="s">
        <v>82</v>
      </c>
    </row>
    <row r="18" spans="2:9" ht="25.5" x14ac:dyDescent="0.4">
      <c r="B18" s="14" t="s">
        <v>78</v>
      </c>
      <c r="C18" s="12" t="s">
        <v>103</v>
      </c>
      <c r="D18" s="28"/>
      <c r="E18" s="8" t="s">
        <v>27</v>
      </c>
      <c r="F18" s="12"/>
      <c r="G18" s="8">
        <v>1</v>
      </c>
      <c r="H18" s="12" t="s">
        <v>34</v>
      </c>
      <c r="I18" s="27" t="s">
        <v>104</v>
      </c>
    </row>
    <row r="19" spans="2:9" ht="25.5" x14ac:dyDescent="0.4">
      <c r="B19" s="14" t="s">
        <v>73</v>
      </c>
      <c r="C19" s="12" t="s">
        <v>16</v>
      </c>
      <c r="D19" s="28" t="s">
        <v>93</v>
      </c>
      <c r="E19" s="8" t="s">
        <v>40</v>
      </c>
      <c r="F19" s="12" t="s">
        <v>72</v>
      </c>
      <c r="G19" s="8">
        <v>0.4</v>
      </c>
      <c r="H19" s="12" t="s">
        <v>20</v>
      </c>
      <c r="I19" s="27" t="s">
        <v>105</v>
      </c>
    </row>
    <row r="20" spans="2:9" ht="25.5" x14ac:dyDescent="0.4">
      <c r="B20" s="14" t="s">
        <v>73</v>
      </c>
      <c r="C20" s="12" t="s">
        <v>14</v>
      </c>
      <c r="D20" s="28" t="s">
        <v>91</v>
      </c>
      <c r="E20" s="8" t="s">
        <v>40</v>
      </c>
      <c r="F20" s="12" t="s">
        <v>72</v>
      </c>
      <c r="G20" s="8">
        <v>0.6</v>
      </c>
      <c r="H20" s="12" t="s">
        <v>20</v>
      </c>
      <c r="I20" s="27" t="s">
        <v>106</v>
      </c>
    </row>
    <row r="21" spans="2:9" ht="25.5" x14ac:dyDescent="0.4">
      <c r="B21" s="14" t="s">
        <v>78</v>
      </c>
      <c r="C21" s="12" t="s">
        <v>14</v>
      </c>
      <c r="D21" s="28" t="s">
        <v>74</v>
      </c>
      <c r="E21" s="8" t="s">
        <v>40</v>
      </c>
      <c r="F21" s="12" t="s">
        <v>72</v>
      </c>
      <c r="G21" s="8">
        <v>0.7</v>
      </c>
      <c r="H21" s="12" t="s">
        <v>20</v>
      </c>
      <c r="I21" s="27" t="s">
        <v>107</v>
      </c>
    </row>
    <row r="22" spans="2:9" ht="25.5" x14ac:dyDescent="0.4">
      <c r="B22" s="14" t="s">
        <v>73</v>
      </c>
      <c r="C22" s="12" t="s">
        <v>14</v>
      </c>
      <c r="D22" s="28" t="s">
        <v>88</v>
      </c>
      <c r="E22" s="8" t="s">
        <v>40</v>
      </c>
      <c r="F22" s="12" t="s">
        <v>72</v>
      </c>
      <c r="G22" s="8">
        <v>1</v>
      </c>
      <c r="H22" s="12" t="s">
        <v>20</v>
      </c>
      <c r="I22" s="27" t="s">
        <v>108</v>
      </c>
    </row>
    <row r="23" spans="2:9" ht="25.5" x14ac:dyDescent="0.4">
      <c r="B23" s="14" t="s">
        <v>73</v>
      </c>
      <c r="C23" s="12" t="s">
        <v>14</v>
      </c>
      <c r="D23" s="28" t="s">
        <v>79</v>
      </c>
      <c r="E23" s="8" t="s">
        <v>40</v>
      </c>
      <c r="F23" s="12" t="s">
        <v>72</v>
      </c>
      <c r="G23" s="8">
        <v>0.4</v>
      </c>
      <c r="H23" s="12" t="s">
        <v>20</v>
      </c>
      <c r="I23" s="27" t="s">
        <v>100</v>
      </c>
    </row>
    <row r="24" spans="2:9" ht="25.5" x14ac:dyDescent="0.4">
      <c r="B24" s="14" t="s">
        <v>73</v>
      </c>
      <c r="C24" s="12" t="s">
        <v>14</v>
      </c>
      <c r="D24" s="28" t="s">
        <v>89</v>
      </c>
      <c r="E24" s="8" t="s">
        <v>40</v>
      </c>
      <c r="F24" s="12" t="s">
        <v>72</v>
      </c>
      <c r="G24" s="28">
        <v>1.5</v>
      </c>
      <c r="H24" s="12" t="s">
        <v>20</v>
      </c>
      <c r="I24" s="27" t="s">
        <v>109</v>
      </c>
    </row>
    <row r="25" spans="2:9" ht="25.5" x14ac:dyDescent="0.4">
      <c r="B25" s="14" t="s">
        <v>73</v>
      </c>
      <c r="C25" s="12" t="s">
        <v>14</v>
      </c>
      <c r="D25" s="28" t="s">
        <v>110</v>
      </c>
      <c r="E25" s="8" t="s">
        <v>40</v>
      </c>
      <c r="F25" s="12" t="s">
        <v>72</v>
      </c>
      <c r="G25" s="8">
        <v>0.5</v>
      </c>
      <c r="H25" s="12" t="s">
        <v>20</v>
      </c>
      <c r="I25" s="27" t="s">
        <v>111</v>
      </c>
    </row>
    <row r="26" spans="2:9" ht="25.5" x14ac:dyDescent="0.4">
      <c r="B26" s="14" t="s">
        <v>73</v>
      </c>
      <c r="C26" s="12" t="s">
        <v>14</v>
      </c>
      <c r="D26" s="28" t="s">
        <v>81</v>
      </c>
      <c r="E26" s="8" t="s">
        <v>40</v>
      </c>
      <c r="F26" s="12" t="s">
        <v>72</v>
      </c>
      <c r="G26" s="8">
        <v>1.3</v>
      </c>
      <c r="H26" s="12" t="s">
        <v>20</v>
      </c>
      <c r="I26" s="27" t="s">
        <v>112</v>
      </c>
    </row>
    <row r="27" spans="2:9" ht="25.5" x14ac:dyDescent="0.4">
      <c r="B27" s="14" t="s">
        <v>78</v>
      </c>
      <c r="C27" s="12" t="s">
        <v>14</v>
      </c>
      <c r="D27" s="28" t="s">
        <v>80</v>
      </c>
      <c r="E27" s="8" t="s">
        <v>40</v>
      </c>
      <c r="F27" s="12" t="s">
        <v>72</v>
      </c>
      <c r="G27" s="8">
        <v>0.3</v>
      </c>
      <c r="H27" s="12" t="s">
        <v>20</v>
      </c>
      <c r="I27" s="27" t="s">
        <v>113</v>
      </c>
    </row>
    <row r="28" spans="2:9" ht="25.5" x14ac:dyDescent="0.4">
      <c r="B28" s="14" t="s">
        <v>78</v>
      </c>
      <c r="C28" s="12" t="s">
        <v>14</v>
      </c>
      <c r="D28" s="28" t="s">
        <v>81</v>
      </c>
      <c r="E28" s="8" t="s">
        <v>40</v>
      </c>
      <c r="F28" s="12" t="s">
        <v>72</v>
      </c>
      <c r="G28" s="8">
        <v>1.6</v>
      </c>
      <c r="H28" s="12" t="s">
        <v>20</v>
      </c>
      <c r="I28" s="27" t="s">
        <v>119</v>
      </c>
    </row>
    <row r="29" spans="2:9" ht="25.5" x14ac:dyDescent="0.4">
      <c r="B29" s="14" t="s">
        <v>78</v>
      </c>
      <c r="C29" s="12" t="s">
        <v>14</v>
      </c>
      <c r="D29" s="28" t="s">
        <v>81</v>
      </c>
      <c r="E29" s="8" t="s">
        <v>40</v>
      </c>
      <c r="F29" s="12" t="s">
        <v>72</v>
      </c>
      <c r="G29" s="8">
        <v>2.5</v>
      </c>
      <c r="H29" s="12" t="s">
        <v>20</v>
      </c>
      <c r="I29" s="27" t="s">
        <v>118</v>
      </c>
    </row>
    <row r="30" spans="2:9" ht="25.5" x14ac:dyDescent="0.4">
      <c r="B30" s="14" t="s">
        <v>73</v>
      </c>
      <c r="C30" s="12" t="s">
        <v>14</v>
      </c>
      <c r="D30" s="28" t="s">
        <v>91</v>
      </c>
      <c r="E30" s="8" t="s">
        <v>40</v>
      </c>
      <c r="F30" s="12" t="s">
        <v>72</v>
      </c>
      <c r="G30" s="8">
        <v>3.5</v>
      </c>
      <c r="H30" s="12" t="s">
        <v>20</v>
      </c>
      <c r="I30" s="27" t="s">
        <v>114</v>
      </c>
    </row>
    <row r="31" spans="2:9" ht="25.5" x14ac:dyDescent="0.4">
      <c r="B31" s="14" t="s">
        <v>78</v>
      </c>
      <c r="C31" s="12" t="s">
        <v>18</v>
      </c>
      <c r="D31" s="28"/>
      <c r="E31" s="8" t="s">
        <v>27</v>
      </c>
      <c r="F31" s="12"/>
      <c r="G31" s="8">
        <v>2.5</v>
      </c>
      <c r="H31" s="12" t="s">
        <v>38</v>
      </c>
      <c r="I31" s="27" t="s">
        <v>117</v>
      </c>
    </row>
    <row r="32" spans="2:9" ht="25.5" x14ac:dyDescent="0.4">
      <c r="B32" s="14" t="s">
        <v>73</v>
      </c>
      <c r="C32" s="12" t="s">
        <v>14</v>
      </c>
      <c r="D32" s="28" t="s">
        <v>91</v>
      </c>
      <c r="E32" s="8" t="s">
        <v>40</v>
      </c>
      <c r="F32" s="12" t="s">
        <v>72</v>
      </c>
      <c r="G32" s="8">
        <v>3.3</v>
      </c>
      <c r="H32" s="12" t="s">
        <v>20</v>
      </c>
      <c r="I32" s="27" t="s">
        <v>114</v>
      </c>
    </row>
    <row r="33" spans="2:9" ht="25.5" x14ac:dyDescent="0.4">
      <c r="B33" s="14" t="s">
        <v>78</v>
      </c>
      <c r="C33" s="12" t="s">
        <v>14</v>
      </c>
      <c r="D33" s="28" t="s">
        <v>74</v>
      </c>
      <c r="E33" s="8" t="s">
        <v>40</v>
      </c>
      <c r="F33" s="12" t="s">
        <v>72</v>
      </c>
      <c r="G33" s="8">
        <v>0.5</v>
      </c>
      <c r="H33" s="12" t="s">
        <v>20</v>
      </c>
      <c r="I33" s="27" t="s">
        <v>116</v>
      </c>
    </row>
    <row r="34" spans="2:9" ht="25.5" x14ac:dyDescent="0.4">
      <c r="B34" s="14" t="s">
        <v>78</v>
      </c>
      <c r="C34" s="12" t="s">
        <v>18</v>
      </c>
      <c r="D34" s="28"/>
      <c r="E34" s="8" t="s">
        <v>27</v>
      </c>
      <c r="F34" s="12"/>
      <c r="G34" s="8">
        <v>1</v>
      </c>
      <c r="H34" s="12" t="s">
        <v>77</v>
      </c>
      <c r="I34" s="27" t="s">
        <v>115</v>
      </c>
    </row>
    <row r="35" spans="2:9" ht="25.5" x14ac:dyDescent="0.4">
      <c r="B35" s="14" t="s">
        <v>73</v>
      </c>
      <c r="C35" s="12" t="s">
        <v>14</v>
      </c>
      <c r="D35" s="28" t="s">
        <v>91</v>
      </c>
      <c r="E35" s="8" t="s">
        <v>40</v>
      </c>
      <c r="F35" s="12" t="s">
        <v>72</v>
      </c>
      <c r="G35" s="8">
        <v>6</v>
      </c>
      <c r="H35" s="12" t="s">
        <v>20</v>
      </c>
      <c r="I35" s="27" t="s">
        <v>114</v>
      </c>
    </row>
    <row r="36" spans="2:9" ht="25.5" x14ac:dyDescent="0.4">
      <c r="B36" s="14" t="s">
        <v>73</v>
      </c>
      <c r="C36" s="12" t="s">
        <v>14</v>
      </c>
      <c r="D36" s="28" t="s">
        <v>91</v>
      </c>
      <c r="E36" s="8" t="s">
        <v>40</v>
      </c>
      <c r="F36" s="12" t="s">
        <v>72</v>
      </c>
      <c r="G36" s="8">
        <v>5</v>
      </c>
      <c r="H36" s="12" t="s">
        <v>20</v>
      </c>
      <c r="I36" s="27" t="s">
        <v>114</v>
      </c>
    </row>
    <row r="37" spans="2:9" x14ac:dyDescent="0.4">
      <c r="B37" s="22"/>
      <c r="C37" s="23"/>
      <c r="D37" s="24"/>
      <c r="E37" s="24"/>
      <c r="F37" s="26" t="s">
        <v>67</v>
      </c>
      <c r="G37" s="32">
        <f>SUM(G3:G36)</f>
        <v>52.4</v>
      </c>
      <c r="H37" s="33"/>
      <c r="I37" s="34"/>
    </row>
    <row r="38" spans="2:9" ht="14.25" thickBot="1" x14ac:dyDescent="0.45">
      <c r="B38" s="18"/>
      <c r="C38" s="19"/>
      <c r="D38" s="20"/>
      <c r="E38" s="20"/>
      <c r="F38" s="25" t="s">
        <v>68</v>
      </c>
      <c r="G38" s="29">
        <v>5</v>
      </c>
      <c r="H38" s="30"/>
      <c r="I38" s="31"/>
    </row>
    <row r="39" spans="2:9" ht="14.25" thickTop="1" x14ac:dyDescent="0.4"/>
  </sheetData>
  <mergeCells count="2">
    <mergeCell ref="G38:I38"/>
    <mergeCell ref="G37:I37"/>
  </mergeCells>
  <phoneticPr fontId="7" type="noConversion"/>
  <dataValidations count="2">
    <dataValidation type="list" allowBlank="1" showInputMessage="1" showErrorMessage="1" sqref="H4:H36" xr:uid="{2B231522-EE06-49B6-9A40-22D7B3FE656D}">
      <formula1>hh</formula1>
    </dataValidation>
    <dataValidation type="list" allowBlank="1" showInputMessage="1" showErrorMessage="1" sqref="F4:F36" xr:uid="{22945C15-98FE-42E7-AB99-7D8302D3FA5B}">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00EEAE-16C0-47B1-A75E-68B5ADA5FE60}">
          <x14:formula1>
            <xm:f>数据标签!$B$11:$D$11</xm:f>
          </x14:formula1>
          <xm:sqref>E4:E38</xm:sqref>
        </x14:dataValidation>
        <x14:dataValidation type="list" allowBlank="1" showInputMessage="1" showErrorMessage="1" xr:uid="{14F6D981-5448-468D-B84A-7FB2AF74E3C0}">
          <x14:formula1>
            <xm:f>数据标签!$B$2:$H$2</xm:f>
          </x14:formula1>
          <xm:sqref>C4:C38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2025-06-30T13:47:09Z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