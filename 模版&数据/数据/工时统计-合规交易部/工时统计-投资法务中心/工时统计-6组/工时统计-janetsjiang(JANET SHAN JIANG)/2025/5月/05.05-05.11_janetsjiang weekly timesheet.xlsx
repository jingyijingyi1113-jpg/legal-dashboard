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541F9864-F0C3-4517-B2AE-AC1A69355EBA}"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<sst xmlns="http://schemas.openxmlformats.org/spreadsheetml/2006/main" count="235" uniqueCount="110">
  <si>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</si>
  <si>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</si>
  <si>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</si>
  <si>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</si>
  <si>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</si>
  <si>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</si>
  <si>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</si>
  <si>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</si>
  <si>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</si>
  <si>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</si>
  <si>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</si>
  <si>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</si>
  <si>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</si>
  <si>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</si>
  <si>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</si>
  <si>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</si>
  <si>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</si>
  <si>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</si>
  <si>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</si>
  <si>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</si>
  <si>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</si>
  <si>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</si>
  <si>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</si>
  <si>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</si>
  <si>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</si>
  <si>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</si>
  <si>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</si>
  <si>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</si>
  <si>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</si>
  <si>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</si>
  <si>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</si>
  <si>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</si>
  <si>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</si>
  <si>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</si>
  <si>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</si>
  <si>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</si>
  <si>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</si>
  <si>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</si>
  <si>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</si>
  <si>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</si>
  <si>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</si>
  <si>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</si>
  <si>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</si>
  <si>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</si>
  <si>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</si>
  <si>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</si>
  <si>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</si>
  <si>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</si>
  <si>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</si>
  <si>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</si>
  <si>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</si>
  <si>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</si>
  <si>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</si>
  <si>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</si>
  <si>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</si>
  <si>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</si>
  <si>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</si>
  <si>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</si>
  <si>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</si>
  <si>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</si>
  <si>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</si>
  <si>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</si>
  <si>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</si>
  <si>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</si>
  <si>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</si>
  <si>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</si>
  <si>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</si>
  <si>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</si>
  <si>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</si>
  <si>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</si>
  <si>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</si>
  <si>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</si>
  <si>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</si>
  <si>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Utaite</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</si>
  <si>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</si>
  <si>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</si>
  <si>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</si>
  <si>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</si>
  <si>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双百华曦达</t>
    <phoneticPr fontId="7" type="noConversion"/>
  </si>
  <si>
    <t xml:space="preserve"> </t>
  </si>
  <si>
    <t>Recording/reviewing deals updates/weekly time reports/other team summaries</t>
  </si>
  <si>
    <t>Public - Knowledge Accumulation &amp; Sharing</t>
  </si>
  <si>
    <t xml:space="preserve">consider fintech sector know how, various discussions with team </t>
    <phoneticPr fontId="7" type="noConversion"/>
  </si>
  <si>
    <t xml:space="preserve">HTHT </t>
    <phoneticPr fontId="7" type="noConversion"/>
  </si>
  <si>
    <t xml:space="preserve">follow up re status </t>
    <phoneticPr fontId="7" type="noConversion"/>
  </si>
  <si>
    <t>UTH</t>
    <phoneticPr fontId="7" type="noConversion"/>
  </si>
  <si>
    <t>小影科技NDA</t>
    <phoneticPr fontId="7" type="noConversion"/>
  </si>
  <si>
    <t xml:space="preserve">NDA review </t>
    <phoneticPr fontId="7" type="noConversion"/>
  </si>
  <si>
    <t>洋葱数学</t>
    <phoneticPr fontId="7" type="noConversion"/>
  </si>
  <si>
    <t>life is tech</t>
    <phoneticPr fontId="7" type="noConversion"/>
  </si>
  <si>
    <t xml:space="preserve">time reports  </t>
    <phoneticPr fontId="7" type="noConversion"/>
  </si>
  <si>
    <t xml:space="preserve">team meeting </t>
    <phoneticPr fontId="7" type="noConversion"/>
  </si>
  <si>
    <t xml:space="preserve">macro economy training </t>
    <phoneticPr fontId="7" type="noConversion"/>
  </si>
  <si>
    <t xml:space="preserve">review request for consent for change in financial year end and adjustment to capital reserve </t>
    <phoneticPr fontId="7" type="noConversion"/>
  </si>
  <si>
    <t>Providing training sessions/knowledge sharing</t>
  </si>
  <si>
    <t xml:space="preserve">hotdesk work reporting, discussion and coordination </t>
    <phoneticPr fontId="7" type="noConversion"/>
  </si>
  <si>
    <t xml:space="preserve">discussion and consider index of deal execution know how, liaising with teams </t>
    <phoneticPr fontId="7" type="noConversion"/>
  </si>
  <si>
    <t xml:space="preserve">review and comment and internal discussions on 1) proposal re starship acquisition of premises consent 2) board material re piccoma, jv termination and business plan 3) potential exit proposal and terms  </t>
    <phoneticPr fontId="7" type="noConversion"/>
  </si>
  <si>
    <t xml:space="preserve">various attendance re next steps, various discussions with finance and external counsel, comment on kpmg and pwc proposals  </t>
    <phoneticPr fontId="7" type="noConversion"/>
  </si>
  <si>
    <t xml:space="preserve">follow up re open issues and deal status </t>
    <phoneticPr fontId="7" type="noConversion"/>
  </si>
  <si>
    <t xml:space="preserve">follow up </t>
    <phoneticPr fontId="7" type="noConversion"/>
  </si>
  <si>
    <t xml:space="preserve">discussion re next steps for UTH, discussion with counsel, discussion with deal lead, review and comment on draft consultation notice, coordination </t>
    <phoneticPr fontId="7" type="noConversion"/>
  </si>
  <si>
    <t xml:space="preserve">discussion re series E extension round, review material </t>
    <phoneticPr fontId="7" type="noConversion"/>
  </si>
  <si>
    <t>bit bio</t>
    <phoneticPr fontId="7" type="noConversion"/>
  </si>
  <si>
    <t xml:space="preserve">review of material re annual report, follow up re bible </t>
    <phoneticPr fontId="7" type="noConversion"/>
  </si>
  <si>
    <t>古茗</t>
    <phoneticPr fontId="7" type="noConversion"/>
  </si>
  <si>
    <t xml:space="preserve">review shareholder material on upcoming AGM, discussion with MA </t>
    <phoneticPr fontId="7" type="noConversion"/>
  </si>
  <si>
    <t xml:space="preserve">update the portfolio list (including key portfolios) and also review documents to fill 管理节点form </t>
    <phoneticPr fontId="7" type="noConversion"/>
  </si>
  <si>
    <t xml:space="preserve">consider suspension issues, review draft agreement re amendment to subscription agreement, review on shareholder dd forms, discussions, follow up re IPO progress, review public material on ipo progress (shareholder approval docs, board docs), various discussion with team </t>
    <phoneticPr fontId="7" type="noConversion"/>
  </si>
  <si>
    <t>控股和重点投资公司法务风险管理 Legal risk management for controlled and key invested portfolios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</si>
</sst>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3" zoomScale="92" zoomScaleNormal="92" workbookViewId="0">
      <selection activeCell="G23" sqref="G23"/>
    </sheetView>
  </sheetViews>
  <sheetFormatPr defaultColWidth="9" defaultRowHeight="14" x14ac:dyDescent="0.3"/>
  <cols>
    <col min="3" max="3" width="34.33203125" style="14" customWidth="1"/>
    <col min="4" max="4" width="15.08203125" customWidth="1"/>
    <col min="5" max="5" width="10.58203125" customWidth="1"/>
    <col min="6" max="6" width="29.83203125" style="14" customWidth="1"/>
    <col min="8" max="8" width="41.58203125" style="14"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5" t="s">
        <v>72</v>
      </c>
      <c r="C4" s="13" t="s">
        <v>18</v>
      </c>
      <c r="D4" s="9"/>
      <c r="E4" s="9" t="s">
        <v>27</v>
      </c>
      <c r="F4" s="13"/>
      <c r="G4" s="9">
        <v>0.5</v>
      </c>
      <c r="H4" s="13" t="s">
        <v>80</v>
      </c>
      <c r="I4" s="29" t="s">
        <v>90</v>
      </c>
    </row>
    <row r="5" spans="2:9" x14ac:dyDescent="0.3">
      <c r="B5" s="15" t="s">
        <v>72</v>
      </c>
      <c r="C5" s="13" t="s">
        <v>18</v>
      </c>
      <c r="D5" s="9"/>
      <c r="E5" s="9" t="s">
        <v>27</v>
      </c>
      <c r="F5" s="13"/>
      <c r="G5" s="9">
        <v>1</v>
      </c>
      <c r="H5" s="13" t="s">
        <v>24</v>
      </c>
      <c r="I5" s="29" t="s">
        <v>91</v>
      </c>
    </row>
    <row r="6" spans="2:9" x14ac:dyDescent="0.3">
      <c r="B6" s="15" t="s">
        <v>72</v>
      </c>
      <c r="C6" s="13" t="s">
        <v>81</v>
      </c>
      <c r="D6" s="9"/>
      <c r="E6" s="9" t="s">
        <v>27</v>
      </c>
      <c r="F6" s="13"/>
      <c r="G6" s="9">
        <v>1.5</v>
      </c>
      <c r="H6" s="13" t="s">
        <v>34</v>
      </c>
      <c r="I6" s="29" t="s">
        <v>92</v>
      </c>
    </row>
    <row r="7" spans="2:9" ht="26" x14ac:dyDescent="0.3">
      <c r="B7" s="15" t="s">
        <v>72</v>
      </c>
      <c r="C7" s="13" t="s">
        <v>81</v>
      </c>
      <c r="D7" s="9"/>
      <c r="E7" s="9" t="s">
        <v>40</v>
      </c>
      <c r="F7" s="13"/>
      <c r="G7" s="9">
        <v>1</v>
      </c>
      <c r="H7" s="13" t="s">
        <v>23</v>
      </c>
      <c r="I7" s="29" t="s">
        <v>82</v>
      </c>
    </row>
    <row r="8" spans="2:9" ht="26" x14ac:dyDescent="0.3">
      <c r="B8" s="15" t="s">
        <v>72</v>
      </c>
      <c r="C8" s="13" t="s">
        <v>81</v>
      </c>
      <c r="D8" s="9"/>
      <c r="E8" s="9" t="s">
        <v>40</v>
      </c>
      <c r="F8" s="13" t="s">
        <v>79</v>
      </c>
      <c r="G8" s="9">
        <v>3</v>
      </c>
      <c r="H8" s="13" t="s">
        <v>23</v>
      </c>
      <c r="I8" s="29" t="s">
        <v>96</v>
      </c>
    </row>
    <row r="9" spans="2:9" x14ac:dyDescent="0.3">
      <c r="B9" s="15" t="s">
        <v>72</v>
      </c>
      <c r="C9" s="13" t="s">
        <v>81</v>
      </c>
      <c r="D9" s="9"/>
      <c r="E9" s="9" t="s">
        <v>40</v>
      </c>
      <c r="F9" s="13"/>
      <c r="G9" s="9">
        <v>2</v>
      </c>
      <c r="H9" s="13" t="s">
        <v>94</v>
      </c>
      <c r="I9" s="29" t="s">
        <v>95</v>
      </c>
    </row>
    <row r="10" spans="2:9" ht="39" x14ac:dyDescent="0.3">
      <c r="B10" s="15" t="s">
        <v>72</v>
      </c>
      <c r="C10" s="13" t="s">
        <v>18</v>
      </c>
      <c r="D10" s="9"/>
      <c r="E10" s="9" t="s">
        <v>40</v>
      </c>
      <c r="F10" s="13" t="s">
        <v>109</v>
      </c>
      <c r="G10" s="9">
        <v>4</v>
      </c>
      <c r="H10" s="13" t="s">
        <v>27</v>
      </c>
      <c r="I10" s="29" t="s">
        <v>107</v>
      </c>
    </row>
    <row r="11" spans="2:9" ht="26" x14ac:dyDescent="0.3">
      <c r="B11" s="15" t="s">
        <v>72</v>
      </c>
      <c r="C11" s="13" t="s">
        <v>16</v>
      </c>
      <c r="D11" s="28" t="s">
        <v>86</v>
      </c>
      <c r="E11" s="9" t="s">
        <v>40</v>
      </c>
      <c r="F11" s="13" t="s">
        <v>74</v>
      </c>
      <c r="G11" s="9">
        <v>0.5</v>
      </c>
      <c r="H11" s="13" t="s">
        <v>20</v>
      </c>
      <c r="I11" s="29" t="s">
        <v>87</v>
      </c>
    </row>
    <row r="12" spans="2:9" ht="26" x14ac:dyDescent="0.3">
      <c r="B12" s="15" t="s">
        <v>72</v>
      </c>
      <c r="C12" s="13" t="s">
        <v>16</v>
      </c>
      <c r="D12" s="28" t="s">
        <v>73</v>
      </c>
      <c r="E12" s="9" t="s">
        <v>40</v>
      </c>
      <c r="F12" s="13" t="s">
        <v>74</v>
      </c>
      <c r="G12" s="9">
        <v>1</v>
      </c>
      <c r="H12" s="13" t="s">
        <v>20</v>
      </c>
      <c r="I12" s="29" t="s">
        <v>93</v>
      </c>
    </row>
    <row r="13" spans="2:9" ht="52" x14ac:dyDescent="0.3">
      <c r="B13" s="15" t="s">
        <v>72</v>
      </c>
      <c r="C13" s="13" t="s">
        <v>16</v>
      </c>
      <c r="D13" s="28" t="s">
        <v>75</v>
      </c>
      <c r="E13" s="9" t="s">
        <v>40</v>
      </c>
      <c r="F13" s="13" t="s">
        <v>74</v>
      </c>
      <c r="G13" s="9">
        <v>7</v>
      </c>
      <c r="H13" s="13" t="s">
        <v>20</v>
      </c>
      <c r="I13" s="29" t="s">
        <v>97</v>
      </c>
    </row>
    <row r="14" spans="2:9" ht="39" x14ac:dyDescent="0.3">
      <c r="B14" s="15" t="s">
        <v>72</v>
      </c>
      <c r="C14" s="13" t="s">
        <v>14</v>
      </c>
      <c r="D14" s="28" t="s">
        <v>76</v>
      </c>
      <c r="E14" s="9" t="s">
        <v>40</v>
      </c>
      <c r="F14" s="13" t="s">
        <v>74</v>
      </c>
      <c r="G14" s="9">
        <v>1.5</v>
      </c>
      <c r="H14" s="13" t="s">
        <v>20</v>
      </c>
      <c r="I14" s="29" t="s">
        <v>98</v>
      </c>
    </row>
    <row r="15" spans="2:9" ht="78" x14ac:dyDescent="0.3">
      <c r="B15" s="15" t="s">
        <v>72</v>
      </c>
      <c r="C15" s="13" t="s">
        <v>16</v>
      </c>
      <c r="D15" s="28" t="s">
        <v>78</v>
      </c>
      <c r="E15" s="9" t="s">
        <v>40</v>
      </c>
      <c r="F15" s="13" t="s">
        <v>74</v>
      </c>
      <c r="G15" s="9">
        <v>6.5</v>
      </c>
      <c r="H15" s="13" t="s">
        <v>20</v>
      </c>
      <c r="I15" s="29" t="s">
        <v>108</v>
      </c>
    </row>
    <row r="16" spans="2:9" ht="26" x14ac:dyDescent="0.3">
      <c r="B16" s="15" t="s">
        <v>72</v>
      </c>
      <c r="C16" s="13" t="s">
        <v>14</v>
      </c>
      <c r="D16" s="28" t="s">
        <v>77</v>
      </c>
      <c r="E16" s="9" t="s">
        <v>40</v>
      </c>
      <c r="F16" s="13" t="s">
        <v>74</v>
      </c>
      <c r="G16" s="9">
        <v>0.3</v>
      </c>
      <c r="H16" s="13" t="s">
        <v>20</v>
      </c>
      <c r="I16" s="29" t="s">
        <v>99</v>
      </c>
    </row>
    <row r="17" spans="2:9" ht="26" x14ac:dyDescent="0.3">
      <c r="B17" s="15" t="s">
        <v>72</v>
      </c>
      <c r="C17" s="13" t="s">
        <v>14</v>
      </c>
      <c r="D17" s="28" t="s">
        <v>83</v>
      </c>
      <c r="E17" s="9" t="s">
        <v>40</v>
      </c>
      <c r="F17" s="13" t="s">
        <v>74</v>
      </c>
      <c r="G17" s="9">
        <v>0.2</v>
      </c>
      <c r="H17" s="13" t="s">
        <v>20</v>
      </c>
      <c r="I17" s="29" t="s">
        <v>84</v>
      </c>
    </row>
    <row r="18" spans="2:9" ht="26" x14ac:dyDescent="0.3">
      <c r="B18" s="15" t="s">
        <v>72</v>
      </c>
      <c r="C18" s="13" t="s">
        <v>14</v>
      </c>
      <c r="D18" s="28" t="s">
        <v>88</v>
      </c>
      <c r="E18" s="9" t="s">
        <v>40</v>
      </c>
      <c r="F18" s="13" t="s">
        <v>74</v>
      </c>
      <c r="G18" s="9">
        <v>0.1</v>
      </c>
      <c r="H18" s="13" t="s">
        <v>20</v>
      </c>
      <c r="I18" s="29" t="s">
        <v>100</v>
      </c>
    </row>
    <row r="19" spans="2:9" ht="39" x14ac:dyDescent="0.3">
      <c r="B19" s="15" t="s">
        <v>72</v>
      </c>
      <c r="C19" s="13" t="s">
        <v>14</v>
      </c>
      <c r="D19" s="28" t="s">
        <v>85</v>
      </c>
      <c r="E19" s="9" t="s">
        <v>40</v>
      </c>
      <c r="F19" s="13" t="s">
        <v>74</v>
      </c>
      <c r="G19" s="9">
        <v>0.7</v>
      </c>
      <c r="H19" s="13" t="s">
        <v>20</v>
      </c>
      <c r="I19" s="29" t="s">
        <v>101</v>
      </c>
    </row>
    <row r="20" spans="2:9" ht="26" x14ac:dyDescent="0.3">
      <c r="B20" s="15" t="s">
        <v>72</v>
      </c>
      <c r="C20" s="13" t="s">
        <v>14</v>
      </c>
      <c r="D20" s="28" t="s">
        <v>89</v>
      </c>
      <c r="E20" s="9" t="s">
        <v>40</v>
      </c>
      <c r="F20" s="13" t="s">
        <v>74</v>
      </c>
      <c r="G20" s="9">
        <v>1</v>
      </c>
      <c r="H20" s="13" t="s">
        <v>20</v>
      </c>
      <c r="I20" s="29" t="s">
        <v>102</v>
      </c>
    </row>
    <row r="21" spans="2:9" ht="26" x14ac:dyDescent="0.3">
      <c r="B21" s="15" t="s">
        <v>72</v>
      </c>
      <c r="C21" s="13" t="s">
        <v>16</v>
      </c>
      <c r="D21" s="28" t="s">
        <v>103</v>
      </c>
      <c r="E21" s="9" t="s">
        <v>40</v>
      </c>
      <c r="F21" s="13" t="s">
        <v>74</v>
      </c>
      <c r="G21" s="9">
        <v>1.5</v>
      </c>
      <c r="H21" s="13" t="s">
        <v>20</v>
      </c>
      <c r="I21" s="29" t="s">
        <v>104</v>
      </c>
    </row>
    <row r="22" spans="2:9" ht="26" x14ac:dyDescent="0.3">
      <c r="B22" s="15" t="s">
        <v>72</v>
      </c>
      <c r="C22" s="13" t="s">
        <v>16</v>
      </c>
      <c r="D22" s="28" t="s">
        <v>105</v>
      </c>
      <c r="E22" s="9" t="s">
        <v>40</v>
      </c>
      <c r="F22" s="13" t="s">
        <v>74</v>
      </c>
      <c r="G22" s="9">
        <v>1</v>
      </c>
      <c r="H22" s="13" t="s">
        <v>20</v>
      </c>
      <c r="I22" s="29" t="s">
        <v>106</v>
      </c>
    </row>
    <row r="23" spans="2:9" x14ac:dyDescent="0.3">
      <c r="B23" s="8"/>
      <c r="C23" s="13"/>
      <c r="D23" s="9"/>
      <c r="E23" s="9"/>
      <c r="F23" s="13"/>
      <c r="G23" s="9"/>
      <c r="H23" s="13"/>
      <c r="I23" s="30"/>
    </row>
    <row r="24" spans="2:9" x14ac:dyDescent="0.3">
      <c r="B24" s="23"/>
      <c r="C24" s="24"/>
      <c r="D24" s="25"/>
      <c r="E24" s="25"/>
      <c r="F24" s="27" t="s">
        <v>67</v>
      </c>
      <c r="G24" s="34">
        <f>SUM(G3:G23)</f>
        <v>34.299999999999997</v>
      </c>
      <c r="H24" s="35"/>
      <c r="I24" s="36"/>
    </row>
    <row r="25" spans="2:9" ht="14.5" thickBot="1" x14ac:dyDescent="0.35">
      <c r="B25" s="19"/>
      <c r="C25" s="20"/>
      <c r="D25" s="21"/>
      <c r="E25" s="21"/>
      <c r="F25" s="26" t="s">
        <v>68</v>
      </c>
      <c r="G25" s="31">
        <v>4</v>
      </c>
      <c r="H25" s="32"/>
      <c r="I25" s="33"/>
    </row>
    <row r="26" spans="2:9" ht="14.5" thickTop="1" x14ac:dyDescent="0.3"/>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9" workbookViewId="0">
      <selection activeCell="B19" sqref="B19"/>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6"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7"/>
      <c r="F8" s="16"/>
      <c r="G8" s="17"/>
      <c r="H8" s="22" t="s">
        <v>71</v>
      </c>
    </row>
    <row r="9" spans="1:8" x14ac:dyDescent="0.3">
      <c r="C9" s="17"/>
      <c r="D9" s="17"/>
      <c r="H9" s="1" t="s">
        <v>66</v>
      </c>
    </row>
    <row r="11" spans="1:8" x14ac:dyDescent="0.3">
      <c r="A11" s="1" t="s">
        <v>39</v>
      </c>
      <c r="B11" s="1" t="s">
        <v>40</v>
      </c>
      <c r="C11" s="1" t="s">
        <v>41</v>
      </c>
      <c r="D11" s="1" t="s">
        <v>27</v>
      </c>
    </row>
    <row r="12" spans="1:8" ht="39" x14ac:dyDescent="0.3">
      <c r="A12" s="1" t="s">
        <v>42</v>
      </c>
      <c r="B12" s="3" t="s">
        <v>43</v>
      </c>
    </row>
    <row r="13" spans="1:8" ht="26" x14ac:dyDescent="0.3">
      <c r="B13" s="18" t="s">
        <v>55</v>
      </c>
      <c r="C13" s="12" t="s">
        <v>56</v>
      </c>
      <c r="D13" s="12" t="s">
        <v>56</v>
      </c>
    </row>
    <row r="14" spans="1:8" ht="26" x14ac:dyDescent="0.3">
      <c r="B14" s="18" t="s">
        <v>44</v>
      </c>
      <c r="C14" s="12" t="s">
        <v>56</v>
      </c>
      <c r="D14" s="12" t="s">
        <v>56</v>
      </c>
    </row>
    <row r="15" spans="1:8" ht="52" x14ac:dyDescent="0.3">
      <c r="B15" s="18" t="s">
        <v>45</v>
      </c>
      <c r="C15" s="12" t="s">
        <v>56</v>
      </c>
      <c r="D15" s="12" t="s">
        <v>56</v>
      </c>
    </row>
    <row r="16" spans="1:8" ht="52" x14ac:dyDescent="0.3">
      <c r="B16" s="18" t="s">
        <v>46</v>
      </c>
      <c r="C16" s="12" t="s">
        <v>56</v>
      </c>
      <c r="D16" s="12" t="s">
        <v>56</v>
      </c>
    </row>
    <row r="17" spans="2:4" ht="39" x14ac:dyDescent="0.3">
      <c r="B17" s="18" t="s">
        <v>47</v>
      </c>
      <c r="C17" s="12" t="s">
        <v>56</v>
      </c>
      <c r="D17" s="12" t="s">
        <v>56</v>
      </c>
    </row>
    <row r="18" spans="2:4" ht="52" x14ac:dyDescent="0.3">
      <c r="B18" s="18" t="s">
        <v>48</v>
      </c>
      <c r="C18" s="12" t="s">
        <v>56</v>
      </c>
      <c r="D18" s="12" t="s">
        <v>56</v>
      </c>
    </row>
    <row r="19" spans="2:4" ht="39" x14ac:dyDescent="0.3">
      <c r="B19" s="18" t="s">
        <v>49</v>
      </c>
      <c r="C19" s="12" t="s">
        <v>56</v>
      </c>
      <c r="D19" s="12" t="s">
        <v>56</v>
      </c>
    </row>
    <row r="20" spans="2:4" ht="39" x14ac:dyDescent="0.3">
      <c r="B20" s="18" t="s">
        <v>63</v>
      </c>
      <c r="C20" s="12" t="s">
        <v>56</v>
      </c>
      <c r="D20" s="12" t="s">
        <v>56</v>
      </c>
    </row>
    <row r="21" spans="2:4" ht="26" x14ac:dyDescent="0.3">
      <c r="B21" s="18" t="s">
        <v>50</v>
      </c>
      <c r="C21" s="12" t="s">
        <v>56</v>
      </c>
      <c r="D21" s="12" t="s">
        <v>56</v>
      </c>
    </row>
    <row r="22" spans="2:4" ht="39" x14ac:dyDescent="0.3">
      <c r="B22" s="18" t="s">
        <v>64</v>
      </c>
      <c r="C22" s="12" t="s">
        <v>56</v>
      </c>
      <c r="D22" s="12" t="s">
        <v>56</v>
      </c>
    </row>
    <row r="23" spans="2:4" ht="39" x14ac:dyDescent="0.3">
      <c r="B23" s="18" t="s">
        <v>65</v>
      </c>
      <c r="C23" s="12"/>
      <c r="D23" s="12"/>
    </row>
    <row r="24" spans="2:4" ht="65" x14ac:dyDescent="0.3">
      <c r="B24" s="18" t="s">
        <v>54</v>
      </c>
      <c r="C24" s="12" t="s">
        <v>56</v>
      </c>
      <c r="D24" s="12" t="s">
        <v>56</v>
      </c>
    </row>
    <row r="25" spans="2:4" ht="39" x14ac:dyDescent="0.3">
      <c r="B25" s="18" t="s">
        <v>51</v>
      </c>
      <c r="C25" s="12" t="s">
        <v>56</v>
      </c>
      <c r="D25" s="12" t="s">
        <v>56</v>
      </c>
    </row>
    <row r="26" spans="2:4" ht="39" x14ac:dyDescent="0.3">
      <c r="B26" s="18" t="s">
        <v>52</v>
      </c>
      <c r="C26" s="12" t="s">
        <v>56</v>
      </c>
      <c r="D26" s="12" t="s">
        <v>56</v>
      </c>
    </row>
    <row r="27" spans="2:4" ht="26" x14ac:dyDescent="0.3">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2025-05-12T11:17:20Z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