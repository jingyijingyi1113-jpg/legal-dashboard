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6CFC42A-F85F-4E42-82EB-0F35E6E750C1}" xr6:coauthVersionLast="47" xr6:coauthVersionMax="47" xr10:uidLastSave="{00000000-0000-0000-0000-000000000000}"/>
  <bookViews>
    <workbookView xWindow="6990" yWindow="2270" windowWidth="27340" windowHeight="183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<sst xmlns="http://schemas.openxmlformats.org/spreadsheetml/2006/main" count="199" uniqueCount="101">
  <si>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</si>
  <si>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</si>
  <si>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</si>
  <si>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</si>
  <si>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</si>
  <si>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</si>
  <si>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</si>
  <si>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</si>
  <si>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</si>
  <si>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</si>
  <si>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</si>
  <si>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</si>
  <si>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</si>
  <si>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</si>
  <si>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</si>
  <si>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</si>
  <si>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</si>
  <si>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</si>
  <si>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</si>
  <si>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</si>
  <si>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</si>
  <si>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</si>
  <si>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</si>
  <si>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</si>
  <si>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</si>
  <si>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</si>
  <si>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</si>
  <si>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</si>
  <si>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</si>
  <si>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</si>
  <si>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</si>
  <si>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</si>
  <si>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</si>
  <si>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</si>
  <si>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</si>
  <si>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</si>
  <si>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</si>
  <si>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</si>
  <si>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</si>
  <si>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</si>
  <si>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</si>
  <si>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</si>
  <si>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</si>
  <si>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</si>
  <si>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</si>
  <si>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</si>
  <si>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</si>
  <si>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</si>
  <si>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</si>
  <si>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</si>
  <si>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</si>
  <si>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</si>
  <si>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</si>
  <si>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</si>
  <si>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</si>
  <si>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</si>
  <si>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</si>
  <si>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</si>
  <si>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</si>
  <si>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</si>
  <si>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</si>
  <si>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</si>
  <si>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</si>
  <si>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</si>
  <si>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</si>
  <si>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</si>
  <si>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</si>
  <si>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</si>
  <si>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</si>
  <si>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</si>
  <si>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</si>
  <si>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</si>
  <si>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</si>
  <si>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</si>
  <si>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</si>
  <si>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</si>
  <si>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</si>
  <si>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</si>
  <si>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</si>
  <si>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</si>
  <si>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</si>
  <si>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洋葱数学</t>
    <phoneticPr fontId="7" type="noConversion"/>
  </si>
  <si>
    <t>life is tech</t>
    <phoneticPr fontId="7" type="noConversion"/>
  </si>
  <si>
    <t xml:space="preserve">review consent material, coordination with counsel re series e extension, coordination with team </t>
    <phoneticPr fontId="7" type="noConversion"/>
  </si>
  <si>
    <t>Public - Infrastructure &amp; Guidance</t>
  </si>
  <si>
    <t>敏感投资领域投资指引 Guidance for sensitive investment fields</t>
  </si>
  <si>
    <t xml:space="preserve">TGIF worldsmith </t>
    <phoneticPr fontId="7" type="noConversion"/>
  </si>
  <si>
    <t xml:space="preserve">time reports </t>
    <phoneticPr fontId="7" type="noConversion"/>
  </si>
  <si>
    <t xml:space="preserve">pre fintech know how </t>
    <phoneticPr fontId="7" type="noConversion"/>
  </si>
  <si>
    <t xml:space="preserve">discussion and consider index of deal execution know how, liaising with teams, write up FDI section, discussion within small group  </t>
    <phoneticPr fontId="7" type="noConversion"/>
  </si>
  <si>
    <t xml:space="preserve">discussion re reverse cfius recusal policy, review materials, preparation for items of clarification with counsel and prepare the internal flow chart, emails </t>
    <phoneticPr fontId="7" type="noConversion"/>
  </si>
  <si>
    <t>元戎启行 NDA</t>
    <phoneticPr fontId="7" type="noConversion"/>
  </si>
  <si>
    <t>NDA</t>
    <phoneticPr fontId="7" type="noConversion"/>
  </si>
  <si>
    <t xml:space="preserve">review shareholder material and discussions </t>
    <phoneticPr fontId="7" type="noConversion"/>
  </si>
  <si>
    <t xml:space="preserve">follow up re liquidation correspondence </t>
    <phoneticPr fontId="7" type="noConversion"/>
  </si>
  <si>
    <t xml:space="preserve">follow up correspondence </t>
    <phoneticPr fontId="7" type="noConversion"/>
  </si>
  <si>
    <t xml:space="preserve">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  </t>
    <phoneticPr fontId="7" type="noConversion"/>
  </si>
  <si>
    <t xml:space="preserve">various liaising </t>
    <phoneticPr fontId="7" type="noConversion"/>
  </si>
  <si>
    <t xml:space="preserve">utaite </t>
    <phoneticPr fontId="7" type="noConversion"/>
  </si>
  <si>
    <t xml:space="preserve">review consent material about esop expansion </t>
    <phoneticPr fontId="7" type="noConversion"/>
  </si>
  <si>
    <t xml:space="preserve">review current transaction document pack, discussion with counsel, discussions with deal team, review draft long form, discussions with team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</si>
</sst>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92" zoomScaleNormal="92" workbookViewId="0">
      <selection activeCell="I16" sqref="I16"/>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79</v>
      </c>
      <c r="I4" s="28" t="s">
        <v>87</v>
      </c>
    </row>
    <row r="5" spans="2:9" x14ac:dyDescent="0.3">
      <c r="B5" s="14" t="s">
        <v>72</v>
      </c>
      <c r="C5" s="12" t="s">
        <v>80</v>
      </c>
      <c r="D5" s="8"/>
      <c r="E5" s="8" t="s">
        <v>40</v>
      </c>
      <c r="F5" s="12"/>
      <c r="G5" s="8">
        <v>0.5</v>
      </c>
      <c r="H5" s="12" t="s">
        <v>23</v>
      </c>
      <c r="I5" s="28" t="s">
        <v>88</v>
      </c>
    </row>
    <row r="6" spans="2:9" ht="39" x14ac:dyDescent="0.3">
      <c r="B6" s="14" t="s">
        <v>72</v>
      </c>
      <c r="C6" s="12" t="s">
        <v>80</v>
      </c>
      <c r="D6" s="8"/>
      <c r="E6" s="8" t="s">
        <v>40</v>
      </c>
      <c r="F6" s="12" t="s">
        <v>78</v>
      </c>
      <c r="G6" s="8">
        <v>4</v>
      </c>
      <c r="H6" s="12" t="s">
        <v>23</v>
      </c>
      <c r="I6" s="28" t="s">
        <v>89</v>
      </c>
    </row>
    <row r="7" spans="2:9" ht="39" x14ac:dyDescent="0.3">
      <c r="B7" s="14" t="s">
        <v>72</v>
      </c>
      <c r="C7" s="12" t="s">
        <v>84</v>
      </c>
      <c r="D7" s="8"/>
      <c r="E7" s="8" t="s">
        <v>40</v>
      </c>
      <c r="F7" s="12" t="s">
        <v>85</v>
      </c>
      <c r="G7" s="8">
        <v>3.5</v>
      </c>
      <c r="H7" s="12" t="s">
        <v>23</v>
      </c>
      <c r="I7" s="28" t="s">
        <v>90</v>
      </c>
    </row>
    <row r="8" spans="2:9" ht="26" x14ac:dyDescent="0.3">
      <c r="B8" s="14" t="s">
        <v>72</v>
      </c>
      <c r="C8" s="12" t="s">
        <v>16</v>
      </c>
      <c r="D8" s="27" t="s">
        <v>91</v>
      </c>
      <c r="E8" s="8" t="s">
        <v>40</v>
      </c>
      <c r="F8" s="12" t="s">
        <v>73</v>
      </c>
      <c r="G8" s="8">
        <v>0.5</v>
      </c>
      <c r="H8" s="12" t="s">
        <v>20</v>
      </c>
      <c r="I8" s="28" t="s">
        <v>92</v>
      </c>
    </row>
    <row r="9" spans="2:9" ht="26" x14ac:dyDescent="0.3">
      <c r="B9" s="14" t="s">
        <v>72</v>
      </c>
      <c r="C9" s="12" t="s">
        <v>16</v>
      </c>
      <c r="D9" s="27" t="s">
        <v>74</v>
      </c>
      <c r="E9" s="8" t="s">
        <v>40</v>
      </c>
      <c r="F9" s="12" t="s">
        <v>73</v>
      </c>
      <c r="G9" s="8">
        <v>2</v>
      </c>
      <c r="H9" s="12" t="s">
        <v>20</v>
      </c>
      <c r="I9" s="28" t="s">
        <v>93</v>
      </c>
    </row>
    <row r="10" spans="2:9" ht="26" x14ac:dyDescent="0.3">
      <c r="B10" s="14" t="s">
        <v>72</v>
      </c>
      <c r="C10" s="12" t="s">
        <v>14</v>
      </c>
      <c r="D10" s="27" t="s">
        <v>75</v>
      </c>
      <c r="E10" s="8" t="s">
        <v>40</v>
      </c>
      <c r="F10" s="12" t="s">
        <v>73</v>
      </c>
      <c r="G10" s="8">
        <v>0.2</v>
      </c>
      <c r="H10" s="12" t="s">
        <v>20</v>
      </c>
      <c r="I10" s="28" t="s">
        <v>94</v>
      </c>
    </row>
    <row r="11" spans="2:9" ht="26" x14ac:dyDescent="0.3">
      <c r="B11" s="14" t="s">
        <v>72</v>
      </c>
      <c r="C11" s="12" t="s">
        <v>15</v>
      </c>
      <c r="D11" s="27" t="s">
        <v>77</v>
      </c>
      <c r="E11" s="8" t="s">
        <v>40</v>
      </c>
      <c r="F11" s="12" t="s">
        <v>73</v>
      </c>
      <c r="G11" s="8">
        <v>0.5</v>
      </c>
      <c r="H11" s="12" t="s">
        <v>20</v>
      </c>
      <c r="I11" s="28" t="s">
        <v>95</v>
      </c>
    </row>
    <row r="12" spans="2:9" ht="104" x14ac:dyDescent="0.3">
      <c r="B12" s="14" t="s">
        <v>72</v>
      </c>
      <c r="C12" s="12" t="s">
        <v>14</v>
      </c>
      <c r="D12" s="27" t="s">
        <v>76</v>
      </c>
      <c r="E12" s="8" t="s">
        <v>40</v>
      </c>
      <c r="F12" s="12" t="s">
        <v>73</v>
      </c>
      <c r="G12" s="8">
        <v>19</v>
      </c>
      <c r="H12" s="12" t="s">
        <v>20</v>
      </c>
      <c r="I12" s="28" t="s">
        <v>96</v>
      </c>
    </row>
    <row r="13" spans="2:9" ht="26" x14ac:dyDescent="0.3">
      <c r="B13" s="14" t="s">
        <v>72</v>
      </c>
      <c r="C13" s="12" t="s">
        <v>14</v>
      </c>
      <c r="D13" s="27" t="s">
        <v>81</v>
      </c>
      <c r="E13" s="8" t="s">
        <v>40</v>
      </c>
      <c r="F13" s="12" t="s">
        <v>73</v>
      </c>
      <c r="G13" s="8">
        <v>0.5</v>
      </c>
      <c r="H13" s="12" t="s">
        <v>20</v>
      </c>
      <c r="I13" s="28" t="s">
        <v>97</v>
      </c>
    </row>
    <row r="14" spans="2:9" ht="26" x14ac:dyDescent="0.3">
      <c r="B14" s="14" t="s">
        <v>72</v>
      </c>
      <c r="C14" s="12" t="s">
        <v>14</v>
      </c>
      <c r="D14" s="27" t="s">
        <v>82</v>
      </c>
      <c r="E14" s="8" t="s">
        <v>40</v>
      </c>
      <c r="F14" s="12" t="s">
        <v>73</v>
      </c>
      <c r="G14" s="8">
        <v>2</v>
      </c>
      <c r="H14" s="12" t="s">
        <v>20</v>
      </c>
      <c r="I14" s="28" t="s">
        <v>83</v>
      </c>
    </row>
    <row r="15" spans="2:9" ht="26" x14ac:dyDescent="0.3">
      <c r="B15" s="14" t="s">
        <v>72</v>
      </c>
      <c r="C15" s="12" t="s">
        <v>16</v>
      </c>
      <c r="D15" s="27" t="s">
        <v>98</v>
      </c>
      <c r="E15" s="8" t="s">
        <v>40</v>
      </c>
      <c r="F15" s="12" t="s">
        <v>73</v>
      </c>
      <c r="G15" s="8">
        <v>1.5</v>
      </c>
      <c r="H15" s="12" t="s">
        <v>20</v>
      </c>
      <c r="I15" s="28" t="s">
        <v>99</v>
      </c>
    </row>
    <row r="16" spans="2:9" ht="39" x14ac:dyDescent="0.3">
      <c r="B16" s="14" t="s">
        <v>72</v>
      </c>
      <c r="C16" s="12" t="s">
        <v>14</v>
      </c>
      <c r="D16" s="27" t="s">
        <v>86</v>
      </c>
      <c r="E16" s="8" t="s">
        <v>40</v>
      </c>
      <c r="F16" s="12" t="s">
        <v>73</v>
      </c>
      <c r="G16" s="8">
        <v>6</v>
      </c>
      <c r="H16" s="12" t="s">
        <v>20</v>
      </c>
      <c r="I16" s="28" t="s">
        <v>100</v>
      </c>
    </row>
    <row r="17" spans="2:9" x14ac:dyDescent="0.3">
      <c r="B17" s="22"/>
      <c r="C17" s="23"/>
      <c r="D17" s="24"/>
      <c r="E17" s="24"/>
      <c r="F17" s="26" t="s">
        <v>67</v>
      </c>
      <c r="G17" s="32">
        <f>SUM(G3:G16)</f>
        <v>40.700000000000003</v>
      </c>
      <c r="H17" s="33"/>
      <c r="I17" s="34"/>
    </row>
    <row r="18" spans="2:9" ht="14.5" thickBot="1" x14ac:dyDescent="0.35">
      <c r="B18" s="18"/>
      <c r="C18" s="19"/>
      <c r="D18" s="20"/>
      <c r="E18" s="20"/>
      <c r="F18" s="25" t="s">
        <v>68</v>
      </c>
      <c r="G18" s="29">
        <v>5</v>
      </c>
      <c r="H18" s="30"/>
      <c r="I18" s="31"/>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2025-06-03T08:22:56Z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