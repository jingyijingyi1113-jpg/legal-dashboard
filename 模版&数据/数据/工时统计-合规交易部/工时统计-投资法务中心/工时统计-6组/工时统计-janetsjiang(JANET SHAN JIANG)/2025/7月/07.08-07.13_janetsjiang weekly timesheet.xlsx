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0B623D8A-74E4-4B83-ACA9-0F372C5B7C5D}"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<sst xmlns="http://schemas.openxmlformats.org/spreadsheetml/2006/main" count="237" uniqueCount="110">
  <si>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</si>
  <si>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</si>
  <si>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</si>
  <si>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</si>
  <si>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</si>
  <si>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</si>
  <si>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</si>
  <si>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</si>
  <si>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</si>
  <si>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</si>
  <si>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</si>
  <si>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</si>
  <si>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</si>
  <si>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</si>
  <si>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</si>
  <si>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</si>
  <si>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</si>
  <si>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</si>
  <si>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</si>
  <si>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</si>
  <si>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</si>
  <si>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</si>
  <si>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</si>
  <si>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</si>
  <si>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</si>
  <si>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</si>
  <si>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</si>
  <si>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</si>
  <si>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</si>
  <si>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</si>
  <si>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</si>
  <si>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</si>
  <si>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</si>
  <si>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</si>
  <si>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</si>
  <si>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</si>
  <si>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</si>
  <si>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</si>
  <si>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</si>
  <si>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</si>
  <si>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</si>
  <si>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</si>
  <si>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</si>
  <si>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</si>
  <si>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</si>
  <si>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</si>
  <si>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</si>
  <si>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</si>
  <si>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</si>
  <si>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</si>
  <si>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</si>
  <si>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</si>
  <si>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</si>
  <si>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</si>
  <si>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</si>
  <si>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</si>
  <si>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</si>
  <si>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</si>
  <si>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</si>
  <si>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</si>
  <si>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</si>
  <si>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</si>
  <si>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</si>
  <si>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</si>
  <si>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</si>
  <si>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</si>
  <si>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</si>
  <si>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</si>
  <si>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</si>
  <si>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</si>
  <si>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</si>
  <si>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</si>
  <si>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</si>
  <si>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</si>
  <si>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</si>
  <si>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</si>
  <si>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</si>
  <si>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</si>
  <si>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Knowledge Accumulation &amp; Sharing</t>
  </si>
  <si>
    <t>洋葱数学</t>
    <phoneticPr fontId="7" type="noConversion"/>
  </si>
  <si>
    <t>Public - Infrastructure &amp; Guidance</t>
  </si>
  <si>
    <t>敏感投资领域投资指引 Guidance for sensitive investment fields</t>
  </si>
  <si>
    <t xml:space="preserve">TGIF worldsmith </t>
    <phoneticPr fontId="7" type="noConversion"/>
  </si>
  <si>
    <t xml:space="preserve">janetsjiang </t>
    <phoneticPr fontId="7" type="noConversion"/>
  </si>
  <si>
    <t>snaptube</t>
    <phoneticPr fontId="7" type="noConversion"/>
  </si>
  <si>
    <t xml:space="preserve">previse </t>
    <phoneticPr fontId="7" type="noConversion"/>
  </si>
  <si>
    <t xml:space="preserve">follow up fintech know how with relevant portfolio legals </t>
    <phoneticPr fontId="7" type="noConversion"/>
  </si>
  <si>
    <t xml:space="preserve">follow up on open issues </t>
    <phoneticPr fontId="7" type="noConversion"/>
  </si>
  <si>
    <t>杭州天阙</t>
    <phoneticPr fontId="7" type="noConversion"/>
  </si>
  <si>
    <t xml:space="preserve">collate info for fees update </t>
    <phoneticPr fontId="7" type="noConversion"/>
  </si>
  <si>
    <t>UTH</t>
    <phoneticPr fontId="7" type="noConversion"/>
  </si>
  <si>
    <t xml:space="preserve">discuss re potential exit steps </t>
    <phoneticPr fontId="7" type="noConversion"/>
  </si>
  <si>
    <t xml:space="preserve">time reports  </t>
    <phoneticPr fontId="7" type="noConversion"/>
  </si>
  <si>
    <t xml:space="preserve">consider training for merger, research to prepare for writing external article, preparations </t>
    <phoneticPr fontId="7" type="noConversion"/>
  </si>
  <si>
    <t xml:space="preserve">1 fill in information collation for more than 10% shareholding portfolios and voting rights 2 fill in infor for control deal sanctions provisions 3 discussions on recent cfius and DSP provisions </t>
    <phoneticPr fontId="7" type="noConversion"/>
  </si>
  <si>
    <t xml:space="preserve">review and comment on reverse cfius recusal policy draft </t>
    <phoneticPr fontId="7" type="noConversion"/>
  </si>
  <si>
    <t xml:space="preserve">review further material re starship  </t>
    <phoneticPr fontId="7" type="noConversion"/>
  </si>
  <si>
    <t xml:space="preserve">various internal discussions re options re refund arrangement, various reviews re kpmg arrangement, follow ups re litigation aspect issue, various liaising and discussions with relevant group </t>
    <phoneticPr fontId="7" type="noConversion"/>
  </si>
  <si>
    <t xml:space="preserve">follow up correspondence </t>
    <phoneticPr fontId="7" type="noConversion"/>
  </si>
  <si>
    <t xml:space="preserve">Yanka Masterclass </t>
    <phoneticPr fontId="7" type="noConversion"/>
  </si>
  <si>
    <t xml:space="preserve">review provisions relating to ROFN in side letter, discussions with deal team </t>
    <phoneticPr fontId="7" type="noConversion"/>
  </si>
  <si>
    <t xml:space="preserve">checking material for repurchase and attendance re ruku </t>
    <phoneticPr fontId="7" type="noConversion"/>
  </si>
  <si>
    <t>Chagee</t>
    <phoneticPr fontId="7" type="noConversion"/>
  </si>
  <si>
    <t xml:space="preserve">attendence, analysis and discussions re exit of transaction </t>
    <phoneticPr fontId="7" type="noConversion"/>
  </si>
  <si>
    <t xml:space="preserve">internal discussions </t>
    <phoneticPr fontId="7" type="noConversion"/>
  </si>
  <si>
    <t xml:space="preserve">review the transaction document pack, discussions with counsel, discussion with deal team, logistics </t>
    <phoneticPr fontId="7" type="noConversion"/>
  </si>
  <si>
    <t>XP</t>
    <phoneticPr fontId="7" type="noConversion"/>
  </si>
  <si>
    <t xml:space="preserve">attendance re new stakebuilding, review materials and analysis, reporting, various logistics </t>
    <phoneticPr fontId="7" type="noConversion"/>
  </si>
  <si>
    <t>特赞（covering for kelly)</t>
    <phoneticPr fontId="7" type="noConversion"/>
  </si>
  <si>
    <t xml:space="preserve">review of transaction documents, discussion with kelly re holiday coverage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</si>
</sst>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92" zoomScaleNormal="92" workbookViewId="0">
      <selection activeCell="G24" sqref="G24:I24"/>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0.5</v>
      </c>
      <c r="H4" s="12" t="s">
        <v>77</v>
      </c>
      <c r="I4" s="28" t="s">
        <v>92</v>
      </c>
    </row>
    <row r="5" spans="2:9" ht="26" x14ac:dyDescent="0.3">
      <c r="B5" s="14" t="s">
        <v>72</v>
      </c>
      <c r="C5" s="12" t="s">
        <v>78</v>
      </c>
      <c r="D5" s="8"/>
      <c r="E5" s="8" t="s">
        <v>40</v>
      </c>
      <c r="F5" s="12"/>
      <c r="G5" s="8">
        <v>4</v>
      </c>
      <c r="H5" s="12" t="s">
        <v>23</v>
      </c>
      <c r="I5" s="28" t="s">
        <v>93</v>
      </c>
    </row>
    <row r="6" spans="2:9" ht="39.5" customHeight="1" x14ac:dyDescent="0.3">
      <c r="B6" s="14" t="s">
        <v>72</v>
      </c>
      <c r="C6" s="12" t="s">
        <v>78</v>
      </c>
      <c r="D6" s="8"/>
      <c r="E6" s="8" t="s">
        <v>40</v>
      </c>
      <c r="F6" s="12"/>
      <c r="G6" s="8">
        <v>0.2</v>
      </c>
      <c r="H6" s="12" t="s">
        <v>23</v>
      </c>
      <c r="I6" s="28" t="s">
        <v>86</v>
      </c>
    </row>
    <row r="7" spans="2:9" ht="39.5" customHeight="1" x14ac:dyDescent="0.3">
      <c r="B7" s="14" t="s">
        <v>72</v>
      </c>
      <c r="C7" s="12" t="s">
        <v>18</v>
      </c>
      <c r="D7" s="8"/>
      <c r="E7" s="8" t="s">
        <v>27</v>
      </c>
      <c r="F7" s="12"/>
      <c r="G7" s="8">
        <v>2.5</v>
      </c>
      <c r="H7" s="12" t="s">
        <v>27</v>
      </c>
      <c r="I7" s="28" t="s">
        <v>89</v>
      </c>
    </row>
    <row r="8" spans="2:9" ht="52" x14ac:dyDescent="0.3">
      <c r="B8" s="14" t="s">
        <v>72</v>
      </c>
      <c r="C8" s="12" t="s">
        <v>18</v>
      </c>
      <c r="D8" s="8"/>
      <c r="E8" s="8" t="s">
        <v>40</v>
      </c>
      <c r="F8" s="12" t="s">
        <v>73</v>
      </c>
      <c r="G8" s="8">
        <v>6.5</v>
      </c>
      <c r="H8" s="12" t="s">
        <v>27</v>
      </c>
      <c r="I8" s="28" t="s">
        <v>94</v>
      </c>
    </row>
    <row r="9" spans="2:9" ht="26" x14ac:dyDescent="0.3">
      <c r="B9" s="14" t="s">
        <v>72</v>
      </c>
      <c r="C9" s="12" t="s">
        <v>80</v>
      </c>
      <c r="D9" s="8"/>
      <c r="E9" s="8" t="s">
        <v>40</v>
      </c>
      <c r="F9" s="12" t="s">
        <v>81</v>
      </c>
      <c r="G9" s="8">
        <v>4</v>
      </c>
      <c r="H9" s="12" t="s">
        <v>23</v>
      </c>
      <c r="I9" s="28" t="s">
        <v>95</v>
      </c>
    </row>
    <row r="10" spans="2:9" ht="26" x14ac:dyDescent="0.3">
      <c r="B10" s="14" t="s">
        <v>72</v>
      </c>
      <c r="C10" s="12" t="s">
        <v>16</v>
      </c>
      <c r="D10" s="27" t="s">
        <v>74</v>
      </c>
      <c r="E10" s="8" t="s">
        <v>40</v>
      </c>
      <c r="F10" s="12" t="s">
        <v>73</v>
      </c>
      <c r="G10" s="8">
        <v>0.8</v>
      </c>
      <c r="H10" s="12" t="s">
        <v>20</v>
      </c>
      <c r="I10" s="28" t="s">
        <v>96</v>
      </c>
    </row>
    <row r="11" spans="2:9" ht="52" x14ac:dyDescent="0.3">
      <c r="B11" s="14" t="s">
        <v>72</v>
      </c>
      <c r="C11" s="12" t="s">
        <v>14</v>
      </c>
      <c r="D11" s="27" t="s">
        <v>75</v>
      </c>
      <c r="E11" s="8" t="s">
        <v>40</v>
      </c>
      <c r="F11" s="12" t="s">
        <v>73</v>
      </c>
      <c r="G11" s="8">
        <v>6.5</v>
      </c>
      <c r="H11" s="12" t="s">
        <v>20</v>
      </c>
      <c r="I11" s="28" t="s">
        <v>97</v>
      </c>
    </row>
    <row r="12" spans="2:9" ht="26" x14ac:dyDescent="0.3">
      <c r="B12" s="14" t="s">
        <v>72</v>
      </c>
      <c r="C12" s="12" t="s">
        <v>16</v>
      </c>
      <c r="D12" s="27" t="s">
        <v>99</v>
      </c>
      <c r="E12" s="8" t="s">
        <v>40</v>
      </c>
      <c r="F12" s="12" t="s">
        <v>73</v>
      </c>
      <c r="G12" s="8">
        <v>1.2</v>
      </c>
      <c r="H12" s="12" t="s">
        <v>20</v>
      </c>
      <c r="I12" s="28" t="s">
        <v>100</v>
      </c>
    </row>
    <row r="13" spans="2:9" ht="26" x14ac:dyDescent="0.3">
      <c r="B13" s="14" t="s">
        <v>72</v>
      </c>
      <c r="C13" s="12" t="s">
        <v>14</v>
      </c>
      <c r="D13" s="27" t="s">
        <v>76</v>
      </c>
      <c r="E13" s="8" t="s">
        <v>40</v>
      </c>
      <c r="F13" s="12" t="s">
        <v>73</v>
      </c>
      <c r="G13" s="8">
        <v>0.2</v>
      </c>
      <c r="H13" s="12" t="s">
        <v>20</v>
      </c>
      <c r="I13" s="28" t="s">
        <v>98</v>
      </c>
    </row>
    <row r="14" spans="2:9" ht="26" x14ac:dyDescent="0.3">
      <c r="B14" s="14" t="s">
        <v>72</v>
      </c>
      <c r="C14" s="12" t="s">
        <v>14</v>
      </c>
      <c r="D14" s="27" t="s">
        <v>79</v>
      </c>
      <c r="E14" s="8" t="s">
        <v>40</v>
      </c>
      <c r="F14" s="12" t="s">
        <v>73</v>
      </c>
      <c r="G14" s="8">
        <v>0.6</v>
      </c>
      <c r="H14" s="12" t="s">
        <v>20</v>
      </c>
      <c r="I14" s="28" t="s">
        <v>101</v>
      </c>
    </row>
    <row r="15" spans="2:9" ht="26" x14ac:dyDescent="0.3">
      <c r="B15" s="14" t="s">
        <v>72</v>
      </c>
      <c r="C15" s="12" t="s">
        <v>14</v>
      </c>
      <c r="D15" s="27" t="s">
        <v>102</v>
      </c>
      <c r="E15" s="8" t="s">
        <v>40</v>
      </c>
      <c r="F15" s="12" t="s">
        <v>73</v>
      </c>
      <c r="G15" s="8">
        <v>2</v>
      </c>
      <c r="H15" s="12" t="s">
        <v>20</v>
      </c>
      <c r="I15" s="28" t="s">
        <v>103</v>
      </c>
    </row>
    <row r="16" spans="2:9" ht="26" x14ac:dyDescent="0.3">
      <c r="B16" s="14" t="s">
        <v>72</v>
      </c>
      <c r="C16" s="12" t="s">
        <v>14</v>
      </c>
      <c r="D16" s="27" t="s">
        <v>84</v>
      </c>
      <c r="E16" s="8" t="s">
        <v>40</v>
      </c>
      <c r="F16" s="12" t="s">
        <v>73</v>
      </c>
      <c r="G16" s="8">
        <v>4.5</v>
      </c>
      <c r="H16" s="12" t="s">
        <v>20</v>
      </c>
      <c r="I16" s="28" t="s">
        <v>105</v>
      </c>
    </row>
    <row r="17" spans="2:9" ht="26" x14ac:dyDescent="0.3">
      <c r="B17" s="14" t="s">
        <v>83</v>
      </c>
      <c r="C17" s="12" t="s">
        <v>14</v>
      </c>
      <c r="D17" s="27" t="s">
        <v>85</v>
      </c>
      <c r="E17" s="8" t="s">
        <v>40</v>
      </c>
      <c r="F17" s="12" t="s">
        <v>73</v>
      </c>
      <c r="G17" s="8">
        <v>0.2</v>
      </c>
      <c r="H17" s="12" t="s">
        <v>20</v>
      </c>
      <c r="I17" s="28" t="s">
        <v>98</v>
      </c>
    </row>
    <row r="18" spans="2:9" ht="26" x14ac:dyDescent="0.3">
      <c r="B18" s="14" t="s">
        <v>72</v>
      </c>
      <c r="C18" s="12" t="s">
        <v>14</v>
      </c>
      <c r="D18" s="27" t="s">
        <v>88</v>
      </c>
      <c r="E18" s="8" t="s">
        <v>40</v>
      </c>
      <c r="F18" s="12" t="s">
        <v>73</v>
      </c>
      <c r="G18" s="8">
        <v>0.5</v>
      </c>
      <c r="H18" s="12" t="s">
        <v>20</v>
      </c>
      <c r="I18" s="28" t="s">
        <v>104</v>
      </c>
    </row>
    <row r="19" spans="2:9" ht="26" x14ac:dyDescent="0.3">
      <c r="B19" s="14" t="s">
        <v>72</v>
      </c>
      <c r="C19" s="12" t="s">
        <v>14</v>
      </c>
      <c r="D19" s="27" t="s">
        <v>90</v>
      </c>
      <c r="E19" s="8" t="s">
        <v>40</v>
      </c>
      <c r="F19" s="12" t="s">
        <v>73</v>
      </c>
      <c r="G19" s="8">
        <v>0.1</v>
      </c>
      <c r="H19" s="12" t="s">
        <v>20</v>
      </c>
      <c r="I19" s="28" t="s">
        <v>91</v>
      </c>
    </row>
    <row r="20" spans="2:9" ht="26" x14ac:dyDescent="0.3">
      <c r="B20" s="14" t="s">
        <v>72</v>
      </c>
      <c r="C20" s="12" t="s">
        <v>14</v>
      </c>
      <c r="D20" s="27" t="s">
        <v>106</v>
      </c>
      <c r="E20" s="8" t="s">
        <v>40</v>
      </c>
      <c r="F20" s="12" t="s">
        <v>73</v>
      </c>
      <c r="G20" s="8">
        <v>3.5</v>
      </c>
      <c r="H20" s="12" t="s">
        <v>20</v>
      </c>
      <c r="I20" s="28" t="s">
        <v>107</v>
      </c>
    </row>
    <row r="21" spans="2:9" ht="26" x14ac:dyDescent="0.3">
      <c r="B21" s="14" t="s">
        <v>72</v>
      </c>
      <c r="C21" s="12" t="s">
        <v>14</v>
      </c>
      <c r="D21" s="27" t="s">
        <v>108</v>
      </c>
      <c r="E21" s="8" t="s">
        <v>40</v>
      </c>
      <c r="F21" s="12" t="s">
        <v>73</v>
      </c>
      <c r="G21" s="8">
        <v>2</v>
      </c>
      <c r="H21" s="12" t="s">
        <v>20</v>
      </c>
      <c r="I21" s="28" t="s">
        <v>109</v>
      </c>
    </row>
    <row r="22" spans="2:9" ht="26" x14ac:dyDescent="0.3">
      <c r="B22" s="14" t="s">
        <v>72</v>
      </c>
      <c r="C22" s="12" t="s">
        <v>14</v>
      </c>
      <c r="D22" s="27" t="s">
        <v>82</v>
      </c>
      <c r="E22" s="8" t="s">
        <v>40</v>
      </c>
      <c r="F22" s="12" t="s">
        <v>73</v>
      </c>
      <c r="G22" s="8">
        <v>0.8</v>
      </c>
      <c r="H22" s="12" t="s">
        <v>20</v>
      </c>
      <c r="I22" s="28" t="s">
        <v>87</v>
      </c>
    </row>
    <row r="23" spans="2:9" x14ac:dyDescent="0.3">
      <c r="B23" s="22"/>
      <c r="C23" s="23"/>
      <c r="D23" s="24"/>
      <c r="E23" s="24"/>
      <c r="F23" s="26" t="s">
        <v>67</v>
      </c>
      <c r="G23" s="32">
        <f>SUM(G3:G22)</f>
        <v>40.6</v>
      </c>
      <c r="H23" s="33"/>
      <c r="I23" s="34"/>
    </row>
    <row r="24" spans="2:9" ht="14.5" thickBot="1" x14ac:dyDescent="0.35">
      <c r="B24" s="18"/>
      <c r="C24" s="19"/>
      <c r="D24" s="20"/>
      <c r="E24" s="20"/>
      <c r="F24" s="25" t="s">
        <v>68</v>
      </c>
      <c r="G24" s="29">
        <v>5</v>
      </c>
      <c r="H24" s="30"/>
      <c r="I24" s="31"/>
    </row>
    <row r="25" spans="2:9" ht="14.5" thickTop="1" x14ac:dyDescent="0.3"/>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19" sqref="B19"/>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2025-07-14T10:02:54Z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