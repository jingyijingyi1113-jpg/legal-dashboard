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53419197-CD1E-46FD-8C3C-26F2F2952D38}"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<sst xmlns="http://schemas.openxmlformats.org/spreadsheetml/2006/main" count="221" uniqueCount="105">
  <si>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</si>
  <si>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</si>
  <si>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</si>
  <si>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</si>
  <si>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</si>
  <si>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</si>
  <si>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</si>
  <si>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</si>
  <si>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</si>
  <si>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</si>
  <si>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</si>
  <si>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</si>
  <si>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</si>
  <si>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</si>
  <si>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</si>
  <si>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</si>
  <si>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</si>
  <si>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</si>
  <si>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</si>
  <si>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</si>
  <si>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</si>
  <si>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</si>
  <si>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</si>
  <si>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</si>
  <si>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</si>
  <si>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</si>
  <si>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</si>
  <si>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</si>
  <si>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</si>
  <si>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</si>
  <si>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</si>
  <si>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</si>
  <si>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</si>
  <si>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</si>
  <si>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</si>
  <si>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</si>
  <si>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</si>
  <si>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</si>
  <si>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</si>
  <si>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</si>
  <si>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</si>
  <si>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</si>
  <si>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</si>
  <si>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</si>
  <si>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</si>
  <si>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</si>
  <si>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</si>
  <si>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</si>
  <si>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</si>
  <si>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</si>
  <si>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</si>
  <si>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</si>
  <si>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</si>
  <si>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</si>
  <si>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</si>
  <si>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</si>
  <si>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</si>
  <si>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</si>
  <si>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</si>
  <si>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</si>
  <si>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</si>
  <si>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</si>
  <si>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</si>
  <si>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</si>
  <si>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</si>
  <si>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</si>
  <si>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</si>
  <si>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</si>
  <si>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</si>
  <si>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</si>
  <si>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</si>
  <si>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</si>
  <si>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</si>
  <si>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</si>
  <si>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</si>
  <si>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</si>
  <si>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</si>
  <si>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</si>
  <si>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 xml:space="preserve">Plaid </t>
    <phoneticPr fontId="7" type="noConversion"/>
  </si>
  <si>
    <t>双百华曦达</t>
    <phoneticPr fontId="7" type="noConversion"/>
  </si>
  <si>
    <t>唯传</t>
    <phoneticPr fontId="7" type="noConversion"/>
  </si>
  <si>
    <t xml:space="preserve"> </t>
  </si>
  <si>
    <t>Recording/reviewing deals updates/weekly time reports/other team summaries</t>
  </si>
  <si>
    <t xml:space="preserve">attedance re legal fee summary, various attandances re billing </t>
    <phoneticPr fontId="7" type="noConversion"/>
  </si>
  <si>
    <t xml:space="preserve">discussion with counsel </t>
    <phoneticPr fontId="7" type="noConversion"/>
  </si>
  <si>
    <t>霸王茶姬</t>
    <phoneticPr fontId="7" type="noConversion"/>
  </si>
  <si>
    <t>bit bio</t>
    <phoneticPr fontId="7" type="noConversion"/>
  </si>
  <si>
    <t xml:space="preserve">CMR surgical </t>
    <phoneticPr fontId="7" type="noConversion"/>
  </si>
  <si>
    <t xml:space="preserve">time reports </t>
    <phoneticPr fontId="7" type="noConversion"/>
  </si>
  <si>
    <t xml:space="preserve">IQM (cover for Flora) </t>
    <phoneticPr fontId="7" type="noConversion"/>
  </si>
  <si>
    <t xml:space="preserve">Sunday (cover for Flora) </t>
    <phoneticPr fontId="7" type="noConversion"/>
  </si>
  <si>
    <t xml:space="preserve">review and revise updated SPA, various internal discussions, further update and ciruclate SPA </t>
    <phoneticPr fontId="7" type="noConversion"/>
  </si>
  <si>
    <t xml:space="preserve">review updated document pack (17 docs), disucssions with counsel re context and background and review of doc comments, further updates to issues list, internal discussions </t>
    <phoneticPr fontId="7" type="noConversion"/>
  </si>
  <si>
    <t xml:space="preserve">various attendance re closing and follow up to dos, bible </t>
    <phoneticPr fontId="7" type="noConversion"/>
  </si>
  <si>
    <t xml:space="preserve">further discussions regarding issues surrounding 2023 investment document pack for GIC and PIF and address deal team questions, review our investment docs and 2023 amendments, various internal discussions. Review and comment on anchor proposal; review and comment on proposal re putaoteng exit </t>
    <phoneticPr fontId="7" type="noConversion"/>
  </si>
  <si>
    <t xml:space="preserve">various dsicussions on resolutions, change directors for hk level for KKE, various discussions about the long form issue list, various internal discussions and follow ups, discussions re upstream   </t>
    <phoneticPr fontId="7" type="noConversion"/>
  </si>
  <si>
    <t xml:space="preserve">internal discussions, various turns of quanliutong docs, various discussions with MA, issues re share numbder, discussions re further arrangements to pause side agreement in light of IPO  </t>
    <phoneticPr fontId="7" type="noConversion"/>
  </si>
  <si>
    <t xml:space="preserve">team meeting </t>
    <phoneticPr fontId="7" type="noConversion"/>
  </si>
  <si>
    <t xml:space="preserve">various discussions re deal related issues, proxy forms, regulatory requirements, various discussions with MA and with Taylor counsel, various discussions on open issues, various discussions with Spring legal, discussions on timetable and next steps, consider issues re director approval of affiliate and impacts, various internal discussions </t>
    <phoneticPr fontId="7" type="noConversion"/>
  </si>
  <si>
    <t>XP</t>
    <phoneticPr fontId="7" type="noConversion"/>
  </si>
  <si>
    <t xml:space="preserve">admin related and also various internal information gathering </t>
    <phoneticPr fontId="7" type="noConversion"/>
  </si>
  <si>
    <t xml:space="preserve">post closing attendances </t>
    <phoneticPr fontId="7" type="noConversion"/>
  </si>
  <si>
    <t xml:space="preserve">review of open source material and conduct secondary transaction legal review attendances, sanctions search, various internal attendances, review of finra forms </t>
    <phoneticPr fontId="7" type="noConversion"/>
  </si>
  <si>
    <t xml:space="preserve">follow up with company </t>
    <phoneticPr fontId="7" type="noConversion"/>
  </si>
  <si>
    <t xml:space="preserve">review document pack regarding proposed new external financing and document pack re revision to notes requesting subordination, discussions in group, further review of subordination deed and terms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</si>
</sst>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3" zoomScale="92" zoomScaleNormal="92" workbookViewId="0">
      <selection activeCell="F13" sqref="F13"/>
    </sheetView>
  </sheetViews>
  <sheetFormatPr defaultColWidth="9" defaultRowHeight="14.1" x14ac:dyDescent="0.5"/>
  <cols>
    <col min="3" max="3" width="34.34765625" style="14" customWidth="1"/>
    <col min="4" max="4" width="15.09765625" customWidth="1"/>
    <col min="5" max="5" width="10.59765625" customWidth="1"/>
    <col min="6" max="6" width="29.84765625" style="14" customWidth="1"/>
    <col min="8" max="8" width="41.59765625" style="14" customWidth="1"/>
    <col min="9" max="9" width="39.84765625" customWidth="1"/>
  </cols>
  <sheetData>
    <row r="2" spans="2:9" ht="25.2" x14ac:dyDescent="0.5">
      <c r="B2" s="4" t="s">
        <v>0</v>
      </c>
      <c r="C2" s="5" t="s">
        <v>70</v>
      </c>
      <c r="D2" s="5" t="s">
        <v>1</v>
      </c>
      <c r="E2" s="5" t="s">
        <v>2</v>
      </c>
      <c r="F2" s="5" t="s">
        <v>3</v>
      </c>
      <c r="G2" s="5" t="s">
        <v>4</v>
      </c>
      <c r="H2" s="5" t="s">
        <v>5</v>
      </c>
      <c r="I2" s="10" t="s">
        <v>6</v>
      </c>
    </row>
    <row r="3" spans="2:9" ht="208" customHeight="1" x14ac:dyDescent="0.5">
      <c r="B3" s="6" t="s">
        <v>7</v>
      </c>
      <c r="C3" s="7" t="s">
        <v>8</v>
      </c>
      <c r="D3" s="7" t="s">
        <v>9</v>
      </c>
      <c r="E3" s="7" t="s">
        <v>59</v>
      </c>
      <c r="F3" s="7" t="s">
        <v>57</v>
      </c>
      <c r="G3" s="7" t="s">
        <v>10</v>
      </c>
      <c r="H3" s="7" t="s">
        <v>11</v>
      </c>
      <c r="I3" s="11" t="s">
        <v>12</v>
      </c>
    </row>
    <row r="4" spans="2:9" ht="25.2" x14ac:dyDescent="0.5">
      <c r="B4" s="15" t="s">
        <v>72</v>
      </c>
      <c r="C4" s="13" t="s">
        <v>18</v>
      </c>
      <c r="D4" s="9"/>
      <c r="E4" s="9" t="s">
        <v>27</v>
      </c>
      <c r="F4" s="13"/>
      <c r="G4" s="9">
        <v>0.5</v>
      </c>
      <c r="H4" s="13" t="s">
        <v>82</v>
      </c>
      <c r="I4" s="29" t="s">
        <v>88</v>
      </c>
    </row>
    <row r="5" spans="2:9" x14ac:dyDescent="0.5">
      <c r="B5" s="15" t="s">
        <v>72</v>
      </c>
      <c r="C5" s="13" t="s">
        <v>18</v>
      </c>
      <c r="D5" s="9"/>
      <c r="E5" s="9" t="s">
        <v>27</v>
      </c>
      <c r="F5" s="13"/>
      <c r="G5" s="9">
        <v>1</v>
      </c>
      <c r="H5" s="13" t="s">
        <v>24</v>
      </c>
      <c r="I5" s="29" t="s">
        <v>97</v>
      </c>
    </row>
    <row r="6" spans="2:9" ht="25.2" x14ac:dyDescent="0.5">
      <c r="B6" s="15" t="s">
        <v>72</v>
      </c>
      <c r="C6" s="13" t="s">
        <v>18</v>
      </c>
      <c r="D6" s="9"/>
      <c r="E6" s="9" t="s">
        <v>27</v>
      </c>
      <c r="F6" s="13" t="s">
        <v>81</v>
      </c>
      <c r="G6" s="9">
        <v>2.5</v>
      </c>
      <c r="H6" s="13" t="s">
        <v>38</v>
      </c>
      <c r="I6" s="29" t="s">
        <v>83</v>
      </c>
    </row>
    <row r="7" spans="2:9" ht="25.2" x14ac:dyDescent="0.5">
      <c r="B7" s="15" t="s">
        <v>72</v>
      </c>
      <c r="C7" s="13" t="s">
        <v>14</v>
      </c>
      <c r="D7" s="28" t="s">
        <v>89</v>
      </c>
      <c r="E7" s="9" t="s">
        <v>40</v>
      </c>
      <c r="F7" s="13" t="s">
        <v>74</v>
      </c>
      <c r="G7" s="9">
        <v>2</v>
      </c>
      <c r="H7" s="13" t="s">
        <v>20</v>
      </c>
      <c r="I7" s="29" t="s">
        <v>91</v>
      </c>
    </row>
    <row r="8" spans="2:9" ht="50.4" x14ac:dyDescent="0.5">
      <c r="B8" s="15" t="s">
        <v>72</v>
      </c>
      <c r="C8" s="13" t="s">
        <v>14</v>
      </c>
      <c r="D8" s="28" t="s">
        <v>90</v>
      </c>
      <c r="E8" s="9" t="s">
        <v>40</v>
      </c>
      <c r="F8" s="13" t="s">
        <v>74</v>
      </c>
      <c r="G8" s="9">
        <v>10.5</v>
      </c>
      <c r="H8" s="13" t="s">
        <v>20</v>
      </c>
      <c r="I8" s="29" t="s">
        <v>92</v>
      </c>
    </row>
    <row r="9" spans="2:9" ht="25.2" x14ac:dyDescent="0.5">
      <c r="B9" s="15" t="s">
        <v>72</v>
      </c>
      <c r="C9" s="13" t="s">
        <v>14</v>
      </c>
      <c r="D9" s="28" t="s">
        <v>73</v>
      </c>
      <c r="E9" s="9" t="s">
        <v>40</v>
      </c>
      <c r="F9" s="13" t="s">
        <v>74</v>
      </c>
      <c r="G9" s="9">
        <v>1</v>
      </c>
      <c r="H9" s="13" t="s">
        <v>20</v>
      </c>
      <c r="I9" s="29" t="s">
        <v>93</v>
      </c>
    </row>
    <row r="10" spans="2:9" ht="75.599999999999994" x14ac:dyDescent="0.5">
      <c r="B10" s="15" t="s">
        <v>72</v>
      </c>
      <c r="C10" s="13" t="s">
        <v>16</v>
      </c>
      <c r="D10" s="28" t="s">
        <v>75</v>
      </c>
      <c r="E10" s="9" t="s">
        <v>40</v>
      </c>
      <c r="F10" s="13" t="s">
        <v>74</v>
      </c>
      <c r="G10" s="9">
        <v>5</v>
      </c>
      <c r="H10" s="13" t="s">
        <v>20</v>
      </c>
      <c r="I10" s="29" t="s">
        <v>94</v>
      </c>
    </row>
    <row r="11" spans="2:9" ht="50.4" x14ac:dyDescent="0.5">
      <c r="B11" s="15" t="s">
        <v>72</v>
      </c>
      <c r="C11" s="13" t="s">
        <v>14</v>
      </c>
      <c r="D11" s="28" t="s">
        <v>76</v>
      </c>
      <c r="E11" s="9" t="s">
        <v>40</v>
      </c>
      <c r="F11" s="13" t="s">
        <v>74</v>
      </c>
      <c r="G11" s="9">
        <v>9</v>
      </c>
      <c r="H11" s="13" t="s">
        <v>20</v>
      </c>
      <c r="I11" s="29" t="s">
        <v>95</v>
      </c>
    </row>
    <row r="12" spans="2:9" ht="50.4" x14ac:dyDescent="0.5">
      <c r="B12" s="15" t="s">
        <v>72</v>
      </c>
      <c r="C12" s="13" t="s">
        <v>16</v>
      </c>
      <c r="D12" s="28" t="s">
        <v>79</v>
      </c>
      <c r="E12" s="9" t="s">
        <v>40</v>
      </c>
      <c r="F12" s="13" t="s">
        <v>74</v>
      </c>
      <c r="G12" s="9">
        <v>1</v>
      </c>
      <c r="H12" s="13" t="s">
        <v>20</v>
      </c>
      <c r="I12" s="29" t="s">
        <v>96</v>
      </c>
    </row>
    <row r="13" spans="2:9" ht="88.2" x14ac:dyDescent="0.5">
      <c r="B13" s="15" t="s">
        <v>72</v>
      </c>
      <c r="C13" s="13" t="s">
        <v>14</v>
      </c>
      <c r="D13" s="28" t="s">
        <v>77</v>
      </c>
      <c r="E13" s="9" t="s">
        <v>40</v>
      </c>
      <c r="F13" s="13" t="s">
        <v>74</v>
      </c>
      <c r="G13" s="9">
        <v>5.5</v>
      </c>
      <c r="H13" s="13" t="s">
        <v>20</v>
      </c>
      <c r="I13" s="29" t="s">
        <v>98</v>
      </c>
    </row>
    <row r="14" spans="2:9" ht="25.2" x14ac:dyDescent="0.5">
      <c r="B14" s="15" t="s">
        <v>72</v>
      </c>
      <c r="C14" s="13" t="s">
        <v>16</v>
      </c>
      <c r="D14" s="28" t="s">
        <v>99</v>
      </c>
      <c r="E14" s="9" t="s">
        <v>40</v>
      </c>
      <c r="F14" s="13" t="s">
        <v>74</v>
      </c>
      <c r="G14" s="9">
        <v>1</v>
      </c>
      <c r="H14" s="13" t="s">
        <v>20</v>
      </c>
      <c r="I14" s="29" t="s">
        <v>100</v>
      </c>
    </row>
    <row r="15" spans="2:9" ht="25.2" x14ac:dyDescent="0.5">
      <c r="B15" s="15" t="s">
        <v>72</v>
      </c>
      <c r="C15" s="13" t="s">
        <v>14</v>
      </c>
      <c r="D15" s="28" t="s">
        <v>80</v>
      </c>
      <c r="E15" s="9" t="s">
        <v>40</v>
      </c>
      <c r="F15" s="13" t="s">
        <v>74</v>
      </c>
      <c r="G15" s="9">
        <v>0.2</v>
      </c>
      <c r="H15" s="13" t="s">
        <v>20</v>
      </c>
      <c r="I15" s="29" t="s">
        <v>84</v>
      </c>
    </row>
    <row r="16" spans="2:9" ht="37.799999999999997" x14ac:dyDescent="0.5">
      <c r="B16" s="15" t="s">
        <v>72</v>
      </c>
      <c r="C16" s="13" t="s">
        <v>14</v>
      </c>
      <c r="D16" s="28" t="s">
        <v>85</v>
      </c>
      <c r="E16" s="9" t="s">
        <v>40</v>
      </c>
      <c r="F16" s="13" t="s">
        <v>74</v>
      </c>
      <c r="G16" s="9">
        <v>3</v>
      </c>
      <c r="H16" s="13" t="s">
        <v>20</v>
      </c>
      <c r="I16" s="29" t="s">
        <v>102</v>
      </c>
    </row>
    <row r="17" spans="2:9" ht="25.2" x14ac:dyDescent="0.5">
      <c r="B17" s="15" t="s">
        <v>72</v>
      </c>
      <c r="C17" s="13" t="s">
        <v>14</v>
      </c>
      <c r="D17" s="28" t="s">
        <v>78</v>
      </c>
      <c r="E17" s="9" t="s">
        <v>40</v>
      </c>
      <c r="F17" s="13" t="s">
        <v>74</v>
      </c>
      <c r="G17" s="9">
        <v>0.5</v>
      </c>
      <c r="H17" s="13" t="s">
        <v>20</v>
      </c>
      <c r="I17" s="29" t="s">
        <v>101</v>
      </c>
    </row>
    <row r="18" spans="2:9" ht="25.2" x14ac:dyDescent="0.5">
      <c r="B18" s="15" t="s">
        <v>72</v>
      </c>
      <c r="C18" s="13" t="s">
        <v>16</v>
      </c>
      <c r="D18" s="28" t="s">
        <v>86</v>
      </c>
      <c r="E18" s="9" t="s">
        <v>40</v>
      </c>
      <c r="F18" s="13" t="s">
        <v>74</v>
      </c>
      <c r="G18" s="9">
        <v>0.2</v>
      </c>
      <c r="H18" s="13" t="s">
        <v>36</v>
      </c>
      <c r="I18" s="29" t="s">
        <v>103</v>
      </c>
    </row>
    <row r="19" spans="2:9" ht="50.4" x14ac:dyDescent="0.5">
      <c r="B19" s="15" t="s">
        <v>72</v>
      </c>
      <c r="C19" s="13" t="s">
        <v>16</v>
      </c>
      <c r="D19" s="28" t="s">
        <v>87</v>
      </c>
      <c r="E19" s="9" t="s">
        <v>40</v>
      </c>
      <c r="F19" s="13" t="s">
        <v>74</v>
      </c>
      <c r="G19" s="9">
        <v>3</v>
      </c>
      <c r="H19" s="13" t="s">
        <v>20</v>
      </c>
      <c r="I19" s="29" t="s">
        <v>104</v>
      </c>
    </row>
    <row r="20" spans="2:9" x14ac:dyDescent="0.5">
      <c r="B20" s="8"/>
      <c r="C20" s="13"/>
      <c r="D20" s="9"/>
      <c r="E20" s="9"/>
      <c r="F20" s="13"/>
      <c r="G20" s="9"/>
      <c r="H20" s="13"/>
      <c r="I20" s="30"/>
    </row>
    <row r="21" spans="2:9" x14ac:dyDescent="0.5">
      <c r="B21" s="8"/>
      <c r="C21" s="13"/>
      <c r="D21" s="9"/>
      <c r="E21" s="9"/>
      <c r="F21" s="13"/>
      <c r="G21" s="9"/>
      <c r="H21" s="13"/>
      <c r="I21" s="30"/>
    </row>
    <row r="22" spans="2:9" x14ac:dyDescent="0.5">
      <c r="B22" s="8"/>
      <c r="C22" s="13"/>
      <c r="D22" s="9"/>
      <c r="E22" s="9"/>
      <c r="F22" s="13"/>
      <c r="G22" s="9"/>
      <c r="H22" s="13"/>
      <c r="I22" s="30"/>
    </row>
    <row r="23" spans="2:9" x14ac:dyDescent="0.5">
      <c r="B23" s="8"/>
      <c r="C23" s="13"/>
      <c r="D23" s="9"/>
      <c r="E23" s="9"/>
      <c r="F23" s="13"/>
      <c r="G23" s="9"/>
      <c r="H23" s="13"/>
      <c r="I23" s="30"/>
    </row>
    <row r="24" spans="2:9" x14ac:dyDescent="0.5">
      <c r="B24" s="8"/>
      <c r="C24" s="13"/>
      <c r="D24" s="9"/>
      <c r="E24" s="9"/>
      <c r="F24" s="13"/>
      <c r="G24" s="9"/>
      <c r="H24" s="13"/>
      <c r="I24" s="30"/>
    </row>
    <row r="25" spans="2:9" x14ac:dyDescent="0.5">
      <c r="B25" s="8"/>
      <c r="C25" s="13"/>
      <c r="D25" s="9"/>
      <c r="E25" s="9"/>
      <c r="F25" s="13"/>
      <c r="G25" s="9"/>
      <c r="H25" s="13"/>
      <c r="I25" s="30"/>
    </row>
    <row r="26" spans="2:9" x14ac:dyDescent="0.5">
      <c r="B26" s="23"/>
      <c r="C26" s="24"/>
      <c r="D26" s="25"/>
      <c r="E26" s="25"/>
      <c r="F26" s="27" t="s">
        <v>67</v>
      </c>
      <c r="G26" s="34">
        <f>SUM(G3:G25)</f>
        <v>45.900000000000006</v>
      </c>
      <c r="H26" s="35"/>
      <c r="I26" s="36"/>
    </row>
    <row r="27" spans="2:9" ht="14.4" thickBot="1" x14ac:dyDescent="0.55000000000000004">
      <c r="B27" s="19"/>
      <c r="C27" s="20"/>
      <c r="D27" s="21"/>
      <c r="E27" s="21"/>
      <c r="F27" s="26" t="s">
        <v>68</v>
      </c>
      <c r="G27" s="31">
        <v>5</v>
      </c>
      <c r="H27" s="32"/>
      <c r="I27" s="33"/>
    </row>
    <row r="28" spans="2:9" ht="14.4" thickTop="1" x14ac:dyDescent="0.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4" sqref="C14"/>
    </sheetView>
  </sheetViews>
  <sheetFormatPr defaultColWidth="8.84765625" defaultRowHeight="12.6" x14ac:dyDescent="0.5"/>
  <cols>
    <col min="1" max="1" width="8.84765625" style="1"/>
    <col min="2" max="2" width="26.84765625" style="1" customWidth="1"/>
    <col min="3" max="3" width="21.59765625" style="1" customWidth="1"/>
    <col min="4" max="7" width="28.59765625" style="1" customWidth="1"/>
    <col min="8" max="8" width="27.3476562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2025-04-13T14:43:05Z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