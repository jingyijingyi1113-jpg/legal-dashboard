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5E232A6B-B168-8945-B908-3549C7263047}" xr6:coauthVersionLast="47" xr6:coauthVersionMax="47" xr10:uidLastSave="{00000000-0000-0000-0000-000000000000}"/>
  <bookViews>
    <workbookView xWindow="16400" yWindow="1580" windowWidth="52080" windowHeight="4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<sst xmlns="http://schemas.openxmlformats.org/spreadsheetml/2006/main" count="189" uniqueCount="87">
  <si>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</si>
  <si>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</si>
  <si>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</si>
  <si>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</si>
  <si>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</si>
  <si>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</si>
  <si>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</si>
  <si>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</si>
  <si>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</si>
  <si>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</si>
  <si>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</si>
  <si>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</si>
  <si>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</si>
  <si>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</si>
  <si>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</si>
  <si>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</si>
  <si>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</si>
  <si>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</si>
  <si>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</si>
  <si>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</si>
  <si>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</si>
  <si>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</si>
  <si>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</si>
  <si>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</si>
  <si>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</si>
  <si>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</si>
  <si>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</si>
  <si>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</si>
  <si>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</si>
  <si>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</si>
  <si>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</si>
  <si>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</si>
  <si>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</si>
  <si>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</si>
  <si>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</si>
  <si>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</si>
  <si>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</si>
  <si>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</si>
  <si>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</si>
  <si>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</si>
  <si>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</si>
  <si>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</si>
  <si>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</si>
  <si>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</si>
  <si>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</si>
  <si>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</si>
  <si>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</si>
  <si>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</si>
  <si>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</si>
  <si>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</si>
  <si>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</si>
  <si>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</si>
  <si>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</si>
  <si>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</si>
  <si>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</si>
  <si>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</si>
  <si>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</si>
  <si>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</si>
  <si>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</si>
  <si>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</si>
  <si>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</si>
  <si>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</si>
  <si>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</si>
  <si>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</si>
  <si>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</si>
  <si>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</si>
  <si>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</si>
  <si>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</si>
  <si>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</si>
  <si>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</si>
  <si>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</si>
  <si>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</si>
  <si>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</si>
  <si>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</si>
  <si>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</si>
  <si>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Sygnum Bank AG</t>
    <phoneticPr fontId="7" type="noConversion"/>
  </si>
  <si>
    <t>有车以后</t>
    <phoneticPr fontId="7" type="noConversion"/>
  </si>
  <si>
    <t>微保（腾富博）</t>
    <phoneticPr fontId="7" type="noConversion"/>
  </si>
  <si>
    <t>瑞德JV</t>
    <phoneticPr fontId="7" type="noConversion"/>
  </si>
  <si>
    <t>SumUp</t>
    <phoneticPr fontId="7" type="noConversion"/>
  </si>
  <si>
    <t>四维智联</t>
    <phoneticPr fontId="7" type="noConversion"/>
  </si>
  <si>
    <t>安赛创想</t>
    <phoneticPr fontId="7" type="noConversion"/>
  </si>
  <si>
    <t>长生人寿</t>
    <phoneticPr fontId="7" type="noConversion"/>
  </si>
  <si>
    <t>车车车险</t>
    <phoneticPr fontId="7" type="noConversion"/>
  </si>
  <si>
    <t>Cover Genius</t>
    <phoneticPr fontId="7" type="noConversion"/>
  </si>
  <si>
    <t>NDA</t>
    <phoneticPr fontId="7" type="noConversion"/>
  </si>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</sst>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3"/>
  <sheetViews>
    <sheetView tabSelected="1" zoomScale="148" zoomScaleNormal="170" workbookViewId="0">
      <selection activeCell="H32" sqref="H3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1.5</v>
      </c>
      <c r="H4" s="14" t="s">
        <v>20</v>
      </c>
      <c r="I4" s="12"/>
    </row>
    <row r="5" spans="2:9" ht="28">
      <c r="B5" s="16" t="s">
        <v>72</v>
      </c>
      <c r="C5" s="14" t="s">
        <v>14</v>
      </c>
      <c r="D5" s="27" t="s">
        <v>82</v>
      </c>
      <c r="E5" s="9" t="s">
        <v>40</v>
      </c>
      <c r="F5" s="14" t="s">
        <v>74</v>
      </c>
      <c r="G5" s="29">
        <v>0.5</v>
      </c>
      <c r="H5" s="14" t="s">
        <v>20</v>
      </c>
      <c r="I5" s="12"/>
    </row>
    <row r="6" spans="2:9" ht="28">
      <c r="B6" s="16" t="s">
        <v>72</v>
      </c>
      <c r="C6" s="14" t="s">
        <v>14</v>
      </c>
      <c r="D6" s="36" t="s">
        <v>79</v>
      </c>
      <c r="E6" s="9" t="s">
        <v>40</v>
      </c>
      <c r="F6" s="14" t="s">
        <v>74</v>
      </c>
      <c r="G6" s="28">
        <v>6.8</v>
      </c>
      <c r="H6" s="14" t="s">
        <v>20</v>
      </c>
      <c r="I6" s="12"/>
    </row>
    <row r="7" spans="2:9" s="35" customFormat="1" ht="28">
      <c r="B7" s="30" t="s">
        <v>72</v>
      </c>
      <c r="C7" s="31" t="s">
        <v>15</v>
      </c>
      <c r="D7" s="32" t="s">
        <v>76</v>
      </c>
      <c r="E7" s="32" t="s">
        <v>40</v>
      </c>
      <c r="F7" s="31" t="s">
        <v>74</v>
      </c>
      <c r="G7" s="33">
        <v>1</v>
      </c>
      <c r="H7" s="31" t="s">
        <v>20</v>
      </c>
      <c r="I7" s="34"/>
    </row>
    <row r="8" spans="2:9" s="35" customFormat="1" ht="28">
      <c r="B8" s="30" t="s">
        <v>72</v>
      </c>
      <c r="C8" s="31" t="s">
        <v>15</v>
      </c>
      <c r="D8" s="32" t="s">
        <v>80</v>
      </c>
      <c r="E8" s="32" t="s">
        <v>40</v>
      </c>
      <c r="F8" s="31" t="s">
        <v>74</v>
      </c>
      <c r="G8" s="33">
        <v>5</v>
      </c>
      <c r="H8" s="31" t="s">
        <v>20</v>
      </c>
      <c r="I8" s="34"/>
    </row>
    <row r="9" spans="2:9" ht="28">
      <c r="B9" s="16" t="s">
        <v>72</v>
      </c>
      <c r="C9" s="14" t="s">
        <v>16</v>
      </c>
      <c r="D9" s="27" t="s">
        <v>77</v>
      </c>
      <c r="E9" s="9" t="s">
        <v>40</v>
      </c>
      <c r="F9" s="14" t="s">
        <v>74</v>
      </c>
      <c r="G9" s="28">
        <v>2.5</v>
      </c>
      <c r="H9" s="14" t="s">
        <v>20</v>
      </c>
      <c r="I9" s="12"/>
    </row>
    <row r="10" spans="2:9" ht="28">
      <c r="B10" s="16" t="s">
        <v>72</v>
      </c>
      <c r="C10" s="14" t="s">
        <v>16</v>
      </c>
      <c r="D10" s="27" t="s">
        <v>78</v>
      </c>
      <c r="E10" s="9" t="s">
        <v>40</v>
      </c>
      <c r="F10" s="14" t="s">
        <v>74</v>
      </c>
      <c r="G10" s="28">
        <v>1.5</v>
      </c>
      <c r="H10" s="14" t="s">
        <v>20</v>
      </c>
      <c r="I10" s="12"/>
    </row>
    <row r="11" spans="2:9" ht="28">
      <c r="B11" s="16" t="s">
        <v>72</v>
      </c>
      <c r="C11" s="14" t="s">
        <v>16</v>
      </c>
      <c r="D11" s="27" t="s">
        <v>81</v>
      </c>
      <c r="E11" s="9" t="s">
        <v>40</v>
      </c>
      <c r="F11" s="14" t="s">
        <v>74</v>
      </c>
      <c r="G11" s="28">
        <v>1.2</v>
      </c>
      <c r="H11" s="14" t="s">
        <v>20</v>
      </c>
      <c r="I11" s="12"/>
    </row>
    <row r="12" spans="2:9" ht="28">
      <c r="B12" s="16" t="s">
        <v>72</v>
      </c>
      <c r="C12" s="14" t="s">
        <v>16</v>
      </c>
      <c r="D12" s="27" t="s">
        <v>83</v>
      </c>
      <c r="E12" s="9" t="s">
        <v>40</v>
      </c>
      <c r="F12" s="14" t="s">
        <v>74</v>
      </c>
      <c r="G12" s="28">
        <v>1</v>
      </c>
      <c r="H12" s="14" t="s">
        <v>20</v>
      </c>
      <c r="I12" s="12"/>
    </row>
    <row r="13" spans="2:9" ht="28">
      <c r="B13" s="16" t="s">
        <v>72</v>
      </c>
      <c r="C13" s="14" t="s">
        <v>16</v>
      </c>
      <c r="D13" s="27" t="s">
        <v>75</v>
      </c>
      <c r="E13" s="9" t="s">
        <v>40</v>
      </c>
      <c r="F13" s="14" t="s">
        <v>74</v>
      </c>
      <c r="G13" s="28">
        <v>0.5</v>
      </c>
      <c r="H13" s="14" t="s">
        <v>20</v>
      </c>
      <c r="I13" s="12"/>
    </row>
    <row r="14" spans="2:9" ht="28">
      <c r="B14" s="16" t="s">
        <v>72</v>
      </c>
      <c r="C14" s="14" t="s">
        <v>16</v>
      </c>
      <c r="D14" s="27" t="s">
        <v>84</v>
      </c>
      <c r="E14" s="9" t="s">
        <v>40</v>
      </c>
      <c r="F14" s="14" t="s">
        <v>74</v>
      </c>
      <c r="G14" s="28">
        <v>0.6</v>
      </c>
      <c r="H14" s="14" t="s">
        <v>20</v>
      </c>
      <c r="I14" s="37" t="s">
        <v>85</v>
      </c>
    </row>
    <row r="15" spans="2:9">
      <c r="B15" s="16" t="s">
        <v>72</v>
      </c>
      <c r="C15" s="14" t="s">
        <v>86</v>
      </c>
      <c r="D15" s="27"/>
      <c r="E15" s="9" t="s">
        <v>27</v>
      </c>
      <c r="F15" s="14"/>
      <c r="G15" s="28">
        <v>0.5</v>
      </c>
      <c r="H15" s="14" t="s">
        <v>34</v>
      </c>
      <c r="I15" s="37"/>
    </row>
    <row r="16" spans="2:9">
      <c r="B16" s="16" t="s">
        <v>72</v>
      </c>
      <c r="C16" s="14" t="s">
        <v>18</v>
      </c>
      <c r="D16" s="9"/>
      <c r="E16" s="9" t="s">
        <v>27</v>
      </c>
      <c r="F16" s="14"/>
      <c r="G16" s="29">
        <v>0.9</v>
      </c>
      <c r="H16" s="14" t="s">
        <v>35</v>
      </c>
      <c r="I16" s="12"/>
    </row>
    <row r="17" spans="2:9">
      <c r="B17" s="8"/>
      <c r="C17" s="14"/>
      <c r="D17" s="9"/>
      <c r="E17" s="9"/>
      <c r="F17" s="14"/>
      <c r="G17" s="28"/>
      <c r="H17" s="14"/>
      <c r="I17" s="12"/>
    </row>
    <row r="18" spans="2:9">
      <c r="B18" s="22"/>
      <c r="C18" s="23"/>
      <c r="D18" s="24"/>
      <c r="E18" s="24"/>
      <c r="F18" s="26" t="s">
        <v>67</v>
      </c>
      <c r="G18" s="41">
        <f>SUM(G3:G17)</f>
        <v>23.5</v>
      </c>
      <c r="H18" s="42"/>
      <c r="I18" s="43"/>
    </row>
    <row r="19" spans="2:9" ht="16" thickBot="1">
      <c r="B19" s="19"/>
      <c r="C19" s="20"/>
      <c r="D19" s="21"/>
      <c r="E19" s="21"/>
      <c r="F19" s="25" t="s">
        <v>68</v>
      </c>
      <c r="G19" s="38">
        <v>4</v>
      </c>
      <c r="H19" s="39"/>
      <c r="I19" s="40"/>
    </row>
    <row r="20" spans="2:9" ht="16" thickTop="1"/>
    <row r="53" spans="15:15">
      <c r="O53" s="35"/>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2025-06-09T02:24:35Z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