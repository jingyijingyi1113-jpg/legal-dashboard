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3EBEB8D2-B417-6C47-8D0F-0038894A6924}" xr6:coauthVersionLast="47" xr6:coauthVersionMax="47" xr10:uidLastSave="{00000000-0000-0000-0000-000000000000}"/>
  <bookViews>
    <workbookView xWindow="0" yWindow="92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<sst xmlns="http://schemas.openxmlformats.org/spreadsheetml/2006/main" count="162" uniqueCount="87">
  <si>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</si>
  <si>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</si>
  <si>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</si>
  <si>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</si>
  <si>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</si>
  <si>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</si>
  <si>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</si>
  <si>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</si>
  <si>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</si>
  <si>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</si>
  <si>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</si>
  <si>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</si>
  <si>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</si>
  <si>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</si>
  <si>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</si>
  <si>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</si>
  <si>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</si>
  <si>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</si>
  <si>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</si>
  <si>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</si>
  <si>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</si>
  <si>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</si>
  <si>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</si>
  <si>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</si>
  <si>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</si>
  <si>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</si>
  <si>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</si>
  <si>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</si>
  <si>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</si>
  <si>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</si>
  <si>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</si>
  <si>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</si>
  <si>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</si>
  <si>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</si>
  <si>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</si>
  <si>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</si>
  <si>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</si>
  <si>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</si>
  <si>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</si>
  <si>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</si>
  <si>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</si>
  <si>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</si>
  <si>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</si>
  <si>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</si>
  <si>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</si>
  <si>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</si>
  <si>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</si>
  <si>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</si>
  <si>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</si>
  <si>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</si>
  <si>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</si>
  <si>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</si>
  <si>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</si>
  <si>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</si>
  <si>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</si>
  <si>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</si>
  <si>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</si>
  <si>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</si>
  <si>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</si>
  <si>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</si>
  <si>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</si>
  <si>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</si>
  <si>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</si>
  <si>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</si>
  <si>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</si>
  <si>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</si>
  <si>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</si>
  <si>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</si>
  <si>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</si>
  <si>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</si>
  <si>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</si>
  <si>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</si>
  <si>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</si>
  <si>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</si>
  <si>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</si>
  <si>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高济健康</t>
    <phoneticPr fontId="7" type="noConversion"/>
  </si>
  <si>
    <t>虹信生物</t>
    <phoneticPr fontId="7" type="noConversion"/>
  </si>
  <si>
    <t>LF discussion with FA/company</t>
    <phoneticPr fontId="7" type="noConversion"/>
  </si>
  <si>
    <t>Truelayer</t>
    <phoneticPr fontId="7" type="noConversion"/>
  </si>
  <si>
    <t>高济回购等各种讨论</t>
    <phoneticPr fontId="7" type="noConversion"/>
  </si>
  <si>
    <t>知乎</t>
    <phoneticPr fontId="7" type="noConversion"/>
  </si>
  <si>
    <t>DI权益申报</t>
    <phoneticPr fontId="7" type="noConversion"/>
  </si>
  <si>
    <t>天津租赁</t>
    <phoneticPr fontId="7" type="noConversion"/>
  </si>
  <si>
    <t>对判决与律师讨论沟通、与公司沟通，召开董事会</t>
    <phoneticPr fontId="7" type="noConversion"/>
  </si>
  <si>
    <t>eBay和zimpler决议讨论</t>
    <phoneticPr fontId="7" type="noConversion"/>
  </si>
  <si>
    <t>和泰人寿</t>
    <phoneticPr fontId="7" type="noConversion"/>
  </si>
  <si>
    <t>讨论居然之家转股的问题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</si>
</sst>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125" zoomScaleNormal="100" workbookViewId="0">
      <selection activeCell="G7" sqref="G7"/>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42">
      <c r="B4" s="17" t="s">
        <v>72</v>
      </c>
      <c r="C4" s="14" t="s">
        <v>14</v>
      </c>
      <c r="D4" s="17" t="s">
        <v>85</v>
      </c>
      <c r="E4" s="15" t="s">
        <v>40</v>
      </c>
      <c r="F4" s="14" t="s">
        <v>74</v>
      </c>
      <c r="G4" s="18">
        <v>2</v>
      </c>
      <c r="H4" s="14" t="s">
        <v>20</v>
      </c>
      <c r="I4" s="17" t="s">
        <v>86</v>
      </c>
    </row>
    <row r="5" spans="2:9" ht="28">
      <c r="B5" s="17" t="s">
        <v>72</v>
      </c>
      <c r="C5" s="14" t="s">
        <v>14</v>
      </c>
      <c r="D5" s="17" t="s">
        <v>76</v>
      </c>
      <c r="E5" s="15" t="s">
        <v>40</v>
      </c>
      <c r="F5" s="14" t="s">
        <v>73</v>
      </c>
      <c r="G5" s="18">
        <v>3</v>
      </c>
      <c r="H5" s="14" t="s">
        <v>20</v>
      </c>
      <c r="I5" s="17" t="s">
        <v>77</v>
      </c>
    </row>
    <row r="6" spans="2:9" ht="28">
      <c r="B6" s="17" t="s">
        <v>72</v>
      </c>
      <c r="C6" s="14" t="s">
        <v>14</v>
      </c>
      <c r="D6" s="17" t="s">
        <v>78</v>
      </c>
      <c r="E6" s="15" t="s">
        <v>40</v>
      </c>
      <c r="F6" s="14" t="s">
        <v>73</v>
      </c>
      <c r="G6" s="18">
        <v>3</v>
      </c>
      <c r="H6" s="14" t="s">
        <v>36</v>
      </c>
      <c r="I6" s="17" t="s">
        <v>84</v>
      </c>
    </row>
    <row r="7" spans="2:9" ht="28">
      <c r="B7" s="17" t="s">
        <v>72</v>
      </c>
      <c r="C7" s="14" t="s">
        <v>14</v>
      </c>
      <c r="D7" s="17" t="s">
        <v>82</v>
      </c>
      <c r="E7" s="15" t="s">
        <v>40</v>
      </c>
      <c r="F7" s="14" t="s">
        <v>73</v>
      </c>
      <c r="G7" s="18">
        <v>3</v>
      </c>
      <c r="H7" s="14" t="s">
        <v>20</v>
      </c>
      <c r="I7" s="19" t="s">
        <v>83</v>
      </c>
    </row>
    <row r="8" spans="2:9" ht="28">
      <c r="B8" s="17" t="s">
        <v>72</v>
      </c>
      <c r="C8" s="14" t="s">
        <v>16</v>
      </c>
      <c r="D8" s="19" t="s">
        <v>75</v>
      </c>
      <c r="E8" s="15" t="s">
        <v>40</v>
      </c>
      <c r="F8" s="14" t="s">
        <v>73</v>
      </c>
      <c r="G8" s="18">
        <v>2</v>
      </c>
      <c r="H8" s="14" t="s">
        <v>28</v>
      </c>
      <c r="I8" s="17" t="s">
        <v>79</v>
      </c>
    </row>
    <row r="9" spans="2:9" ht="28">
      <c r="B9" s="17" t="s">
        <v>72</v>
      </c>
      <c r="C9" s="14" t="s">
        <v>16</v>
      </c>
      <c r="D9" s="19" t="s">
        <v>80</v>
      </c>
      <c r="E9" s="15" t="s">
        <v>40</v>
      </c>
      <c r="F9" s="14" t="s">
        <v>73</v>
      </c>
      <c r="G9" s="18">
        <v>3</v>
      </c>
      <c r="H9" s="14" t="s">
        <v>20</v>
      </c>
      <c r="I9" s="17" t="s">
        <v>81</v>
      </c>
    </row>
    <row r="10" spans="2:9" ht="28">
      <c r="B10" s="17" t="s">
        <v>72</v>
      </c>
      <c r="C10" s="14" t="s">
        <v>16</v>
      </c>
      <c r="D10" s="19" t="s">
        <v>78</v>
      </c>
      <c r="E10" s="15" t="s">
        <v>40</v>
      </c>
      <c r="F10" s="14" t="s">
        <v>73</v>
      </c>
      <c r="G10" s="18">
        <v>3</v>
      </c>
      <c r="H10" s="14" t="s">
        <v>20</v>
      </c>
      <c r="I10" s="17"/>
    </row>
    <row r="11" spans="2:9">
      <c r="B11" s="15"/>
      <c r="C11" s="14"/>
      <c r="D11" s="15"/>
      <c r="E11" s="15"/>
      <c r="F11" s="16" t="s">
        <v>67</v>
      </c>
      <c r="G11" s="21">
        <f>SUM(G4:G10)</f>
        <v>19</v>
      </c>
      <c r="H11" s="22"/>
      <c r="I11" s="22"/>
    </row>
    <row r="12" spans="2:9">
      <c r="B12" s="15"/>
      <c r="C12" s="14"/>
      <c r="D12" s="15"/>
      <c r="E12" s="15"/>
      <c r="F12" s="16" t="s">
        <v>68</v>
      </c>
      <c r="G12" s="21">
        <v>2</v>
      </c>
      <c r="H12" s="22"/>
      <c r="I12" s="22"/>
    </row>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2025-10-14T07:45:05Z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