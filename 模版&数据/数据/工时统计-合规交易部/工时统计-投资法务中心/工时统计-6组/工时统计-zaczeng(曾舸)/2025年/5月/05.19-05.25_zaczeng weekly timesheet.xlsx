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84E31BA6-9C27-1E4E-AA92-5D94AC31B6CE}" xr6:coauthVersionLast="47" xr6:coauthVersionMax="47" xr10:uidLastSave="{00000000-0000-0000-0000-000000000000}"/>
  <bookViews>
    <workbookView xWindow="0" yWindow="680" windowWidth="28800" windowHeight="162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<sst xmlns="http://schemas.openxmlformats.org/spreadsheetml/2006/main" count="203" uniqueCount="101">
  <si>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</si>
  <si>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</si>
  <si>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</si>
  <si>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</si>
  <si>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</si>
  <si>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</si>
  <si>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</si>
  <si>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</si>
  <si>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</si>
  <si>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</si>
  <si>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</si>
  <si>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</si>
  <si>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</si>
  <si>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</si>
  <si>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</si>
  <si>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</si>
  <si>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</si>
  <si>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</si>
  <si>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</si>
  <si>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</si>
  <si>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</si>
  <si>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</si>
  <si>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</si>
  <si>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</si>
  <si>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</si>
  <si>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</si>
  <si>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</si>
  <si>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</si>
  <si>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</si>
  <si>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</si>
  <si>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</si>
  <si>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</si>
  <si>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</si>
  <si>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</si>
  <si>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</si>
  <si>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</si>
  <si>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</si>
  <si>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</si>
  <si>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</si>
  <si>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</si>
  <si>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</si>
  <si>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</si>
  <si>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</si>
  <si>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</si>
  <si>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</si>
  <si>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</si>
  <si>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</si>
  <si>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</si>
  <si>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</si>
  <si>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</si>
  <si>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</si>
  <si>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</si>
  <si>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</si>
  <si>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</si>
  <si>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</si>
  <si>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</si>
  <si>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</si>
  <si>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</si>
  <si>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</si>
  <si>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</si>
  <si>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</si>
  <si>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</si>
  <si>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</si>
  <si>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</si>
  <si>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</si>
  <si>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</si>
  <si>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</si>
  <si>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</si>
  <si>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</si>
  <si>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</si>
  <si>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</si>
  <si>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</si>
  <si>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</si>
  <si>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</si>
  <si>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</si>
  <si>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Nexon</t>
    <phoneticPr fontId="7" type="noConversion"/>
  </si>
  <si>
    <t>和泰人寿</t>
    <phoneticPr fontId="7" type="noConversion"/>
  </si>
  <si>
    <t>Uzum</t>
    <phoneticPr fontId="7" type="noConversion"/>
  </si>
  <si>
    <t>Panda</t>
    <phoneticPr fontId="7" type="noConversion"/>
  </si>
  <si>
    <t>Renosight</t>
    <phoneticPr fontId="7" type="noConversion"/>
  </si>
  <si>
    <t>碳生万物</t>
    <phoneticPr fontId="7" type="noConversion"/>
  </si>
  <si>
    <t>艺画开天</t>
    <phoneticPr fontId="7" type="noConversion"/>
  </si>
  <si>
    <t>央行报送</t>
    <phoneticPr fontId="7" type="noConversion"/>
  </si>
  <si>
    <t>4 （休假1天）</t>
    <phoneticPr fontId="7" type="noConversion"/>
  </si>
  <si>
    <t>内部汇报</t>
    <phoneticPr fontId="7" type="noConversion"/>
  </si>
  <si>
    <t>创梦天地</t>
    <phoneticPr fontId="7" type="noConversion"/>
  </si>
  <si>
    <t>应对银行访谈，了解DI触发情况</t>
    <phoneticPr fontId="7" type="noConversion"/>
  </si>
  <si>
    <t>跟进进展</t>
    <phoneticPr fontId="7" type="noConversion"/>
  </si>
  <si>
    <t>继续跟进DD和协议</t>
    <phoneticPr fontId="7" type="noConversion"/>
  </si>
  <si>
    <t>TS、FDI相关</t>
    <phoneticPr fontId="7" type="noConversion"/>
  </si>
  <si>
    <t>review CB协议</t>
    <phoneticPr fontId="7" type="noConversion"/>
  </si>
  <si>
    <t>审阅新投资文件</t>
    <phoneticPr fontId="7" type="noConversion"/>
  </si>
  <si>
    <t>审阅协议</t>
    <phoneticPr fontId="7" type="noConversion"/>
  </si>
  <si>
    <t>重点公司填写</t>
    <phoneticPr fontId="7" type="noConversion"/>
  </si>
  <si>
    <t>控股和重点投资公司法务风险管理 Legal risk management for controlled and key invested portfolios</t>
  </si>
  <si>
    <t>填写17家重点公司</t>
    <phoneticPr fontId="7" type="noConversion"/>
  </si>
  <si>
    <t>微泰医疗</t>
    <phoneticPr fontId="7" type="noConversion"/>
  </si>
  <si>
    <t>股东大会</t>
    <phoneticPr fontId="7" type="noConversion"/>
  </si>
  <si>
    <t>NDA</t>
    <phoneticPr fontId="7" type="noConversion"/>
  </si>
  <si>
    <t>审阅2份NDA</t>
    <phoneticPr fontId="7" type="noConversion"/>
  </si>
  <si>
    <t>周会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</si>
</sst>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0" fontId="1" fillId="0" borderId="4" xfId="0" applyFont="1" applyFill="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9" fillId="0" borderId="4"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Normal="100" workbookViewId="0">
      <selection activeCell="F11" sqref="F11"/>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19" t="s">
        <v>72</v>
      </c>
      <c r="C4" s="20" t="s">
        <v>14</v>
      </c>
      <c r="D4" s="19" t="s">
        <v>75</v>
      </c>
      <c r="E4" s="21" t="s">
        <v>40</v>
      </c>
      <c r="F4" s="20" t="s">
        <v>73</v>
      </c>
      <c r="G4" s="21">
        <v>4</v>
      </c>
      <c r="H4" s="20" t="s">
        <v>20</v>
      </c>
      <c r="I4" s="19" t="s">
        <v>89</v>
      </c>
    </row>
    <row r="5" spans="2:9" ht="42">
      <c r="B5" s="19" t="s">
        <v>72</v>
      </c>
      <c r="C5" s="20" t="s">
        <v>14</v>
      </c>
      <c r="D5" s="19" t="s">
        <v>76</v>
      </c>
      <c r="E5" s="21" t="s">
        <v>40</v>
      </c>
      <c r="F5" s="20" t="s">
        <v>74</v>
      </c>
      <c r="G5" s="21">
        <v>2</v>
      </c>
      <c r="H5" s="20" t="s">
        <v>36</v>
      </c>
      <c r="I5" s="19" t="s">
        <v>87</v>
      </c>
    </row>
    <row r="6" spans="2:9" ht="28">
      <c r="B6" s="19" t="s">
        <v>72</v>
      </c>
      <c r="C6" s="20" t="s">
        <v>14</v>
      </c>
      <c r="D6" s="19" t="s">
        <v>77</v>
      </c>
      <c r="E6" s="21" t="s">
        <v>40</v>
      </c>
      <c r="F6" s="20" t="s">
        <v>73</v>
      </c>
      <c r="G6" s="22">
        <v>2</v>
      </c>
      <c r="H6" s="20" t="s">
        <v>28</v>
      </c>
      <c r="I6" s="19" t="s">
        <v>88</v>
      </c>
    </row>
    <row r="7" spans="2:9" ht="42">
      <c r="B7" s="19" t="s">
        <v>72</v>
      </c>
      <c r="C7" s="20" t="s">
        <v>14</v>
      </c>
      <c r="D7" s="19" t="s">
        <v>78</v>
      </c>
      <c r="E7" s="21" t="s">
        <v>40</v>
      </c>
      <c r="F7" s="20" t="s">
        <v>74</v>
      </c>
      <c r="G7" s="22">
        <v>10</v>
      </c>
      <c r="H7" s="20" t="s">
        <v>36</v>
      </c>
      <c r="I7" s="19" t="s">
        <v>84</v>
      </c>
    </row>
    <row r="8" spans="2:9" ht="28">
      <c r="B8" s="19" t="s">
        <v>72</v>
      </c>
      <c r="C8" s="20" t="s">
        <v>16</v>
      </c>
      <c r="D8" s="19" t="s">
        <v>85</v>
      </c>
      <c r="E8" s="21" t="s">
        <v>40</v>
      </c>
      <c r="F8" s="20" t="s">
        <v>73</v>
      </c>
      <c r="G8" s="22">
        <v>3</v>
      </c>
      <c r="H8" s="20" t="s">
        <v>20</v>
      </c>
      <c r="I8" s="19" t="s">
        <v>86</v>
      </c>
    </row>
    <row r="9" spans="2:9" ht="28">
      <c r="B9" s="19" t="s">
        <v>72</v>
      </c>
      <c r="C9" s="20" t="s">
        <v>14</v>
      </c>
      <c r="D9" s="19" t="s">
        <v>80</v>
      </c>
      <c r="E9" s="21" t="s">
        <v>40</v>
      </c>
      <c r="F9" s="20" t="s">
        <v>73</v>
      </c>
      <c r="G9" s="22">
        <v>3</v>
      </c>
      <c r="H9" s="20" t="s">
        <v>20</v>
      </c>
      <c r="I9" s="19" t="s">
        <v>92</v>
      </c>
    </row>
    <row r="10" spans="2:9" ht="28">
      <c r="B10" s="19" t="s">
        <v>72</v>
      </c>
      <c r="C10" s="20" t="s">
        <v>16</v>
      </c>
      <c r="D10" s="19" t="s">
        <v>81</v>
      </c>
      <c r="E10" s="21" t="s">
        <v>40</v>
      </c>
      <c r="F10" s="20" t="s">
        <v>73</v>
      </c>
      <c r="G10" s="22">
        <v>4</v>
      </c>
      <c r="H10" s="20" t="s">
        <v>20</v>
      </c>
      <c r="I10" s="19" t="s">
        <v>91</v>
      </c>
    </row>
    <row r="11" spans="2:9" ht="28">
      <c r="B11" s="19" t="s">
        <v>72</v>
      </c>
      <c r="C11" s="20" t="s">
        <v>14</v>
      </c>
      <c r="D11" s="19" t="s">
        <v>79</v>
      </c>
      <c r="E11" s="21" t="s">
        <v>40</v>
      </c>
      <c r="F11" s="20" t="s">
        <v>73</v>
      </c>
      <c r="G11" s="22">
        <v>4</v>
      </c>
      <c r="H11" s="20" t="s">
        <v>20</v>
      </c>
      <c r="I11" s="19" t="s">
        <v>90</v>
      </c>
    </row>
    <row r="12" spans="2:9" ht="42">
      <c r="B12" s="19" t="s">
        <v>72</v>
      </c>
      <c r="C12" s="20" t="s">
        <v>16</v>
      </c>
      <c r="D12" s="19" t="s">
        <v>93</v>
      </c>
      <c r="E12" s="21" t="s">
        <v>40</v>
      </c>
      <c r="F12" s="20" t="s">
        <v>94</v>
      </c>
      <c r="G12" s="22">
        <v>7</v>
      </c>
      <c r="H12" s="20" t="s">
        <v>28</v>
      </c>
      <c r="I12" s="19" t="s">
        <v>95</v>
      </c>
    </row>
    <row r="13" spans="2:9" ht="28">
      <c r="B13" s="19" t="s">
        <v>72</v>
      </c>
      <c r="C13" s="20" t="s">
        <v>16</v>
      </c>
      <c r="D13" s="19" t="s">
        <v>96</v>
      </c>
      <c r="E13" s="21" t="s">
        <v>40</v>
      </c>
      <c r="F13" s="20" t="s">
        <v>73</v>
      </c>
      <c r="G13" s="22">
        <v>0.5</v>
      </c>
      <c r="H13" s="20" t="s">
        <v>36</v>
      </c>
      <c r="I13" s="19" t="s">
        <v>97</v>
      </c>
    </row>
    <row r="14" spans="2:9" ht="28">
      <c r="B14" s="19" t="s">
        <v>72</v>
      </c>
      <c r="C14" s="20" t="s">
        <v>16</v>
      </c>
      <c r="D14" s="19" t="s">
        <v>98</v>
      </c>
      <c r="E14" s="21" t="s">
        <v>40</v>
      </c>
      <c r="F14" s="20" t="s">
        <v>73</v>
      </c>
      <c r="G14" s="22">
        <v>2</v>
      </c>
      <c r="H14" s="20" t="s">
        <v>20</v>
      </c>
      <c r="I14" s="19" t="s">
        <v>99</v>
      </c>
    </row>
    <row r="15" spans="2:9">
      <c r="B15" s="19" t="s">
        <v>72</v>
      </c>
      <c r="C15" s="20" t="s">
        <v>16</v>
      </c>
      <c r="D15" s="19" t="s">
        <v>100</v>
      </c>
      <c r="E15" s="21" t="s">
        <v>27</v>
      </c>
      <c r="F15" s="20"/>
      <c r="G15" s="22">
        <v>2</v>
      </c>
      <c r="H15" s="20" t="s">
        <v>28</v>
      </c>
      <c r="I15" s="19"/>
    </row>
    <row r="16" spans="2:9" ht="42">
      <c r="B16" s="19" t="s">
        <v>72</v>
      </c>
      <c r="C16" s="20" t="s">
        <v>16</v>
      </c>
      <c r="D16" s="19" t="s">
        <v>82</v>
      </c>
      <c r="E16" s="21" t="s">
        <v>40</v>
      </c>
      <c r="F16" s="20" t="s">
        <v>74</v>
      </c>
      <c r="G16" s="22">
        <v>2</v>
      </c>
      <c r="H16" s="20" t="s">
        <v>27</v>
      </c>
      <c r="I16" s="19"/>
    </row>
    <row r="17" spans="2:9">
      <c r="B17" s="15"/>
      <c r="C17" s="14"/>
      <c r="D17" s="15"/>
      <c r="E17" s="15"/>
      <c r="F17" s="16" t="s">
        <v>67</v>
      </c>
      <c r="G17" s="17">
        <f>SUM(G4:G16)</f>
        <v>45.5</v>
      </c>
      <c r="H17" s="18"/>
      <c r="I17" s="18"/>
    </row>
    <row r="18" spans="2:9">
      <c r="B18" s="15"/>
      <c r="C18" s="14"/>
      <c r="D18" s="15"/>
      <c r="E18" s="15"/>
      <c r="F18" s="16" t="s">
        <v>68</v>
      </c>
      <c r="G18" s="17" t="s">
        <v>83</v>
      </c>
      <c r="H18" s="18"/>
      <c r="I18" s="18"/>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T119431</cp:lastModifiedBy>
  <dcterms:created xsi:type="dcterms:W3CDTF">2024-12-10T02:24:00Z</dcterms:created>
  <dcterms:modified xsi:type="dcterms:W3CDTF">2025-05-28T14:53:49Z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