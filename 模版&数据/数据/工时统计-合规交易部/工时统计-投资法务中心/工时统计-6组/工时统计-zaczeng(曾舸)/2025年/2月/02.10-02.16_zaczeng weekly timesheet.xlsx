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4D06C20A-D9A1-E64B-BA21-0B7F8817689C}" xr6:coauthVersionLast="47" xr6:coauthVersionMax="47" xr10:uidLastSave="{00000000-0000-0000-0000-000000000000}"/>
  <bookViews>
    <workbookView xWindow="0" yWindow="500" windowWidth="34420" windowHeight="18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<sst xmlns="http://schemas.openxmlformats.org/spreadsheetml/2006/main" count="204" uniqueCount="101">
  <si>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</si>
  <si>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</si>
  <si>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</si>
  <si>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</si>
  <si>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</si>
  <si>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</si>
  <si>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</si>
  <si>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</si>
  <si>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</si>
  <si>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</si>
  <si>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</si>
  <si>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</si>
  <si>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</si>
  <si>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</si>
  <si>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</si>
  <si>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</si>
  <si>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</si>
  <si>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</si>
  <si>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</si>
  <si>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</si>
  <si>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</si>
  <si>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</si>
  <si>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</si>
  <si>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</si>
  <si>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</si>
  <si>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</si>
  <si>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</si>
  <si>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</si>
  <si>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</si>
  <si>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</si>
  <si>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</si>
  <si>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</si>
  <si>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</si>
  <si>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</si>
  <si>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</si>
  <si>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</si>
  <si>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</si>
  <si>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</si>
  <si>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</si>
  <si>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</si>
  <si>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</si>
  <si>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</si>
  <si>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</si>
  <si>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</si>
  <si>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</si>
  <si>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</si>
  <si>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</si>
  <si>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</si>
  <si>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</si>
  <si>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</si>
  <si>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</si>
  <si>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</si>
  <si>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</si>
  <si>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</si>
  <si>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</si>
  <si>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</si>
  <si>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</si>
  <si>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</si>
  <si>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</si>
  <si>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</si>
  <si>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</si>
  <si>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</si>
  <si>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</si>
  <si>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</si>
  <si>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</si>
  <si>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</si>
  <si>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</si>
  <si>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</si>
  <si>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</si>
  <si>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</si>
  <si>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</si>
  <si>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</si>
  <si>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</si>
  <si>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</si>
  <si>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VB</t>
    <phoneticPr fontId="7" type="noConversion"/>
  </si>
  <si>
    <t>Panda</t>
    <phoneticPr fontId="7" type="noConversion"/>
  </si>
  <si>
    <t>LF review/discuss</t>
    <phoneticPr fontId="7" type="noConversion"/>
  </si>
  <si>
    <t>Uzum</t>
    <phoneticPr fontId="7" type="noConversion"/>
  </si>
  <si>
    <t>TS discussion</t>
    <phoneticPr fontId="7" type="noConversion"/>
  </si>
  <si>
    <t>人寿牌照</t>
    <phoneticPr fontId="7" type="noConversion"/>
  </si>
  <si>
    <t>Nexon</t>
    <phoneticPr fontId="7" type="noConversion"/>
  </si>
  <si>
    <t>TRS</t>
    <phoneticPr fontId="7" type="noConversion"/>
  </si>
  <si>
    <t>agreement discussion</t>
    <phoneticPr fontId="7" type="noConversion"/>
  </si>
  <si>
    <t>网元</t>
    <phoneticPr fontId="7" type="noConversion"/>
  </si>
  <si>
    <t>和泰人寿</t>
    <phoneticPr fontId="7" type="noConversion"/>
  </si>
  <si>
    <t>控股和重点投资公司法务风险管理 Legal risk management for controlled and key invested portfolios</t>
  </si>
  <si>
    <t>ESOP related</t>
    <phoneticPr fontId="7" type="noConversion"/>
  </si>
  <si>
    <t>Re Shareholder inquiry</t>
    <phoneticPr fontId="7" type="noConversion"/>
  </si>
  <si>
    <t>Internal discussion</t>
    <phoneticPr fontId="7" type="noConversion"/>
  </si>
  <si>
    <t>中信资本</t>
    <phoneticPr fontId="7" type="noConversion"/>
  </si>
  <si>
    <t>discuss board resolution</t>
    <phoneticPr fontId="7" type="noConversion"/>
  </si>
  <si>
    <t>金腾科技</t>
    <phoneticPr fontId="7" type="noConversion"/>
  </si>
  <si>
    <t>MAA revise</t>
    <phoneticPr fontId="7" type="noConversion"/>
  </si>
  <si>
    <t>2 NDA</t>
    <phoneticPr fontId="7" type="noConversion"/>
  </si>
  <si>
    <t>NDA review</t>
    <phoneticPr fontId="7" type="noConversion"/>
  </si>
  <si>
    <t>周会</t>
    <phoneticPr fontId="7" type="noConversion"/>
  </si>
  <si>
    <t>例会</t>
    <phoneticPr fontId="7" type="noConversion"/>
  </si>
  <si>
    <t>Netmarble</t>
    <phoneticPr fontId="7" type="noConversion"/>
  </si>
  <si>
    <t>创梦天地</t>
    <phoneticPr fontId="7" type="noConversion"/>
  </si>
  <si>
    <t>board resolution</t>
    <phoneticPr fontId="7" type="noConversion"/>
  </si>
  <si>
    <t>audit questions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</si>
</sst>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5" zoomScale="137" zoomScaleNormal="100" workbookViewId="0">
      <selection activeCell="G11" sqref="G11"/>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24" t="s">
        <v>72</v>
      </c>
      <c r="C4" s="12" t="s">
        <v>14</v>
      </c>
      <c r="D4" s="24" t="s">
        <v>74</v>
      </c>
      <c r="E4" s="8" t="s">
        <v>40</v>
      </c>
      <c r="F4" s="12" t="s">
        <v>73</v>
      </c>
      <c r="G4" s="8">
        <v>3</v>
      </c>
      <c r="H4" s="12" t="s">
        <v>20</v>
      </c>
      <c r="I4" s="24" t="s">
        <v>82</v>
      </c>
    </row>
    <row r="5" spans="2:9" ht="42">
      <c r="B5" s="24" t="s">
        <v>72</v>
      </c>
      <c r="C5" s="12" t="s">
        <v>16</v>
      </c>
      <c r="D5" s="24" t="s">
        <v>83</v>
      </c>
      <c r="E5" s="8" t="s">
        <v>40</v>
      </c>
      <c r="F5" s="12" t="s">
        <v>85</v>
      </c>
      <c r="G5" s="8">
        <v>3</v>
      </c>
      <c r="H5" s="12" t="s">
        <v>20</v>
      </c>
      <c r="I5" s="24" t="s">
        <v>86</v>
      </c>
    </row>
    <row r="6" spans="2:9" ht="28">
      <c r="B6" s="24" t="s">
        <v>72</v>
      </c>
      <c r="C6" s="12" t="s">
        <v>16</v>
      </c>
      <c r="D6" s="24" t="s">
        <v>84</v>
      </c>
      <c r="E6" s="8" t="s">
        <v>40</v>
      </c>
      <c r="F6" s="12" t="s">
        <v>73</v>
      </c>
      <c r="G6" s="8">
        <v>2</v>
      </c>
      <c r="H6" s="12" t="s">
        <v>36</v>
      </c>
      <c r="I6" s="24" t="s">
        <v>87</v>
      </c>
    </row>
    <row r="7" spans="2:9" ht="28">
      <c r="B7" s="24" t="s">
        <v>72</v>
      </c>
      <c r="C7" s="12" t="s">
        <v>14</v>
      </c>
      <c r="D7" s="24" t="s">
        <v>79</v>
      </c>
      <c r="E7" s="8" t="s">
        <v>40</v>
      </c>
      <c r="F7" s="12" t="s">
        <v>73</v>
      </c>
      <c r="G7" s="8">
        <v>4</v>
      </c>
      <c r="H7" s="12" t="s">
        <v>36</v>
      </c>
      <c r="I7" s="24" t="s">
        <v>88</v>
      </c>
    </row>
    <row r="8" spans="2:9" ht="28">
      <c r="B8" s="24" t="s">
        <v>72</v>
      </c>
      <c r="C8" s="12" t="s">
        <v>14</v>
      </c>
      <c r="D8" s="24" t="s">
        <v>75</v>
      </c>
      <c r="E8" s="8" t="s">
        <v>40</v>
      </c>
      <c r="F8" s="12" t="s">
        <v>73</v>
      </c>
      <c r="G8" s="8">
        <v>4</v>
      </c>
      <c r="H8" s="12" t="s">
        <v>20</v>
      </c>
      <c r="I8" s="24" t="s">
        <v>76</v>
      </c>
    </row>
    <row r="9" spans="2:9" ht="28">
      <c r="B9" s="24" t="s">
        <v>72</v>
      </c>
      <c r="C9" s="12" t="s">
        <v>14</v>
      </c>
      <c r="D9" s="24" t="s">
        <v>77</v>
      </c>
      <c r="E9" s="8" t="s">
        <v>40</v>
      </c>
      <c r="F9" s="12" t="s">
        <v>73</v>
      </c>
      <c r="G9" s="8">
        <v>2</v>
      </c>
      <c r="H9" s="12" t="s">
        <v>20</v>
      </c>
      <c r="I9" s="24" t="s">
        <v>78</v>
      </c>
    </row>
    <row r="10" spans="2:9" ht="28">
      <c r="B10" s="24" t="s">
        <v>72</v>
      </c>
      <c r="C10" s="12" t="s">
        <v>16</v>
      </c>
      <c r="D10" s="24" t="s">
        <v>89</v>
      </c>
      <c r="E10" s="8" t="s">
        <v>40</v>
      </c>
      <c r="F10" s="12" t="s">
        <v>73</v>
      </c>
      <c r="G10" s="8">
        <v>1</v>
      </c>
      <c r="H10" s="12" t="s">
        <v>36</v>
      </c>
      <c r="I10" s="24" t="s">
        <v>90</v>
      </c>
    </row>
    <row r="11" spans="2:9" ht="28">
      <c r="B11" s="24" t="s">
        <v>72</v>
      </c>
      <c r="C11" s="12" t="s">
        <v>14</v>
      </c>
      <c r="D11" s="24" t="s">
        <v>80</v>
      </c>
      <c r="E11" s="8" t="s">
        <v>40</v>
      </c>
      <c r="F11" s="12" t="s">
        <v>73</v>
      </c>
      <c r="G11" s="8">
        <v>3</v>
      </c>
      <c r="H11" s="12" t="s">
        <v>36</v>
      </c>
      <c r="I11" s="24" t="s">
        <v>81</v>
      </c>
    </row>
    <row r="12" spans="2:9" ht="28">
      <c r="B12" s="24" t="s">
        <v>72</v>
      </c>
      <c r="C12" s="12" t="s">
        <v>16</v>
      </c>
      <c r="D12" s="24" t="s">
        <v>91</v>
      </c>
      <c r="E12" s="8" t="s">
        <v>40</v>
      </c>
      <c r="F12" s="12" t="s">
        <v>73</v>
      </c>
      <c r="G12" s="8">
        <v>2</v>
      </c>
      <c r="H12" s="12" t="s">
        <v>20</v>
      </c>
      <c r="I12" s="24" t="s">
        <v>92</v>
      </c>
    </row>
    <row r="13" spans="2:9" ht="28">
      <c r="B13" s="24" t="s">
        <v>72</v>
      </c>
      <c r="C13" s="12" t="s">
        <v>16</v>
      </c>
      <c r="D13" s="24" t="s">
        <v>93</v>
      </c>
      <c r="E13" s="8" t="s">
        <v>40</v>
      </c>
      <c r="F13" s="12" t="s">
        <v>73</v>
      </c>
      <c r="G13" s="8">
        <v>4</v>
      </c>
      <c r="H13" s="12" t="s">
        <v>20</v>
      </c>
      <c r="I13" s="24" t="s">
        <v>94</v>
      </c>
    </row>
    <row r="14" spans="2:9" ht="28">
      <c r="B14" s="24" t="s">
        <v>72</v>
      </c>
      <c r="C14" s="12" t="s">
        <v>16</v>
      </c>
      <c r="D14" s="24" t="s">
        <v>97</v>
      </c>
      <c r="E14" s="8" t="s">
        <v>40</v>
      </c>
      <c r="F14" s="12" t="s">
        <v>73</v>
      </c>
      <c r="G14" s="8">
        <v>1</v>
      </c>
      <c r="H14" s="12" t="s">
        <v>20</v>
      </c>
      <c r="I14" s="24" t="s">
        <v>99</v>
      </c>
    </row>
    <row r="15" spans="2:9" ht="28">
      <c r="B15" s="24" t="s">
        <v>72</v>
      </c>
      <c r="C15" s="12" t="s">
        <v>16</v>
      </c>
      <c r="D15" s="24" t="s">
        <v>98</v>
      </c>
      <c r="E15" s="8" t="s">
        <v>40</v>
      </c>
      <c r="F15" s="12" t="s">
        <v>73</v>
      </c>
      <c r="G15" s="8">
        <v>1</v>
      </c>
      <c r="H15" s="12" t="s">
        <v>36</v>
      </c>
      <c r="I15" s="24" t="s">
        <v>100</v>
      </c>
    </row>
    <row r="16" spans="2:9">
      <c r="B16" s="24" t="s">
        <v>72</v>
      </c>
      <c r="C16" s="12" t="s">
        <v>14</v>
      </c>
      <c r="D16" s="24" t="s">
        <v>95</v>
      </c>
      <c r="E16" s="8" t="s">
        <v>27</v>
      </c>
      <c r="F16" s="12"/>
      <c r="G16" s="8">
        <v>2</v>
      </c>
      <c r="H16" s="12" t="s">
        <v>27</v>
      </c>
      <c r="I16" s="24" t="s">
        <v>96</v>
      </c>
    </row>
    <row r="17" spans="2:9">
      <c r="B17" s="19"/>
      <c r="C17" s="20"/>
      <c r="D17" s="21"/>
      <c r="E17" s="21"/>
      <c r="F17" s="23" t="s">
        <v>67</v>
      </c>
      <c r="G17" s="28">
        <f>SUM(G4:G16)</f>
        <v>32</v>
      </c>
      <c r="H17" s="29"/>
      <c r="I17" s="30"/>
    </row>
    <row r="18" spans="2:9" ht="16" thickBot="1">
      <c r="B18" s="16"/>
      <c r="C18" s="17"/>
      <c r="D18" s="18"/>
      <c r="E18" s="18"/>
      <c r="F18" s="22" t="s">
        <v>68</v>
      </c>
      <c r="G18" s="25">
        <v>5</v>
      </c>
      <c r="H18" s="26"/>
      <c r="I18" s="27"/>
    </row>
    <row r="19" spans="2:9" ht="16"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C4:C18</xm:sqref>
        </x14:dataValidation>
        <x14:dataValidation type="list" allowBlank="1" showInputMessage="1" showErrorMessage="1" xr:uid="{00000000-0002-0000-0000-000003000000}">
          <x14:formula1>
            <xm:f>数据标签!$B$11:$D$11</xm:f>
          </x14:formula1>
          <xm:sqref>E4:E18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3"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15" t="s">
        <v>71</v>
      </c>
    </row>
    <row r="9" spans="1:8">
      <c r="C9" s="15"/>
      <c r="D9" s="15"/>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2025-02-17T08:13:08Z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