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A8145BAF-2B9B-6448-BF65-F45F00EA522D}"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<sst xmlns="http://schemas.openxmlformats.org/spreadsheetml/2006/main" count="163" uniqueCount="88">
  <si>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</si>
  <si>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</si>
  <si>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</si>
  <si>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</si>
  <si>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</si>
  <si>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</si>
  <si>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</si>
  <si>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</si>
  <si>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</si>
  <si>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</si>
  <si>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</si>
  <si>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</si>
  <si>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</si>
  <si>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</si>
  <si>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</si>
  <si>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</si>
  <si>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</si>
  <si>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</si>
  <si>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</si>
  <si>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</si>
  <si>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</si>
  <si>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</si>
  <si>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</si>
  <si>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</si>
  <si>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</si>
  <si>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</si>
  <si>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</si>
  <si>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</si>
  <si>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</si>
  <si>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</si>
  <si>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</si>
  <si>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</si>
  <si>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</si>
  <si>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</si>
  <si>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</si>
  <si>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</si>
  <si>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</si>
  <si>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</si>
  <si>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</si>
  <si>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</si>
  <si>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</si>
  <si>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</si>
  <si>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</si>
  <si>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</si>
  <si>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</si>
  <si>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</si>
  <si>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</si>
  <si>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</si>
  <si>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</si>
  <si>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</si>
  <si>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</si>
  <si>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</si>
  <si>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</si>
  <si>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</si>
  <si>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</si>
  <si>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</si>
  <si>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</si>
  <si>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</si>
  <si>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</si>
  <si>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</si>
  <si>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</si>
  <si>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</si>
  <si>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</si>
  <si>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</si>
  <si>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</si>
  <si>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</si>
  <si>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</si>
  <si>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</si>
  <si>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</si>
  <si>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</si>
  <si>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</si>
  <si>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</si>
  <si>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</si>
  <si>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</si>
  <si>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</si>
  <si>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ICM/ Beneficial Owner</t>
    <phoneticPr fontId="7" type="noConversion"/>
  </si>
  <si>
    <t>Panda</t>
    <phoneticPr fontId="7" type="noConversion"/>
  </si>
  <si>
    <t>LF review/discuss</t>
    <phoneticPr fontId="7" type="noConversion"/>
  </si>
  <si>
    <t>Uzum</t>
    <phoneticPr fontId="7" type="noConversion"/>
  </si>
  <si>
    <t>TS discussion</t>
    <phoneticPr fontId="7" type="noConversion"/>
  </si>
  <si>
    <t>DD review/update</t>
    <phoneticPr fontId="7" type="noConversion"/>
  </si>
  <si>
    <t>人寿牌照</t>
    <phoneticPr fontId="7" type="noConversion"/>
  </si>
  <si>
    <t>盟浪</t>
    <phoneticPr fontId="7" type="noConversion"/>
  </si>
  <si>
    <t>Nexon</t>
    <phoneticPr fontId="7" type="noConversion"/>
  </si>
  <si>
    <t>韩国资本市场</t>
    <phoneticPr fontId="7" type="noConversion"/>
  </si>
  <si>
    <t>TRS</t>
    <phoneticPr fontId="7" type="noConversion"/>
  </si>
  <si>
    <t>shareholder discovery related</t>
    <phoneticPr fontId="7" type="noConversion"/>
  </si>
  <si>
    <t>资本市场、投融资活动创新突破 Innovative breakthroughs in investments and capital market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</si>
</sst>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137" zoomScaleNormal="100" workbookViewId="0">
      <selection activeCell="G12" sqref="G12:I12"/>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4" t="s">
        <v>72</v>
      </c>
      <c r="C4" s="12" t="s">
        <v>14</v>
      </c>
      <c r="D4" s="24" t="s">
        <v>74</v>
      </c>
      <c r="E4" s="8" t="s">
        <v>40</v>
      </c>
      <c r="F4" s="12" t="s">
        <v>73</v>
      </c>
      <c r="G4" s="8">
        <v>3</v>
      </c>
      <c r="H4" s="12" t="s">
        <v>20</v>
      </c>
      <c r="I4" s="24" t="s">
        <v>75</v>
      </c>
    </row>
    <row r="5" spans="2:9" ht="28">
      <c r="B5" s="24" t="s">
        <v>72</v>
      </c>
      <c r="C5" s="12" t="s">
        <v>14</v>
      </c>
      <c r="D5" s="24" t="s">
        <v>81</v>
      </c>
      <c r="E5" s="8" t="s">
        <v>40</v>
      </c>
      <c r="F5" s="12" t="s">
        <v>73</v>
      </c>
      <c r="G5" s="8">
        <v>2</v>
      </c>
      <c r="H5" s="12" t="s">
        <v>25</v>
      </c>
      <c r="I5" s="24" t="s">
        <v>80</v>
      </c>
    </row>
    <row r="6" spans="2:9" ht="28">
      <c r="B6" s="24" t="s">
        <v>72</v>
      </c>
      <c r="C6" s="12" t="s">
        <v>14</v>
      </c>
      <c r="D6" s="24" t="s">
        <v>76</v>
      </c>
      <c r="E6" s="8" t="s">
        <v>40</v>
      </c>
      <c r="F6" s="12" t="s">
        <v>73</v>
      </c>
      <c r="G6" s="8">
        <v>4</v>
      </c>
      <c r="H6" s="12" t="s">
        <v>20</v>
      </c>
      <c r="I6" s="24" t="s">
        <v>77</v>
      </c>
    </row>
    <row r="7" spans="2:9" ht="28">
      <c r="B7" s="24" t="s">
        <v>72</v>
      </c>
      <c r="C7" s="12" t="s">
        <v>14</v>
      </c>
      <c r="D7" s="24" t="s">
        <v>78</v>
      </c>
      <c r="E7" s="8" t="s">
        <v>40</v>
      </c>
      <c r="F7" s="12" t="s">
        <v>73</v>
      </c>
      <c r="G7" s="8">
        <v>3</v>
      </c>
      <c r="H7" s="12" t="s">
        <v>20</v>
      </c>
      <c r="I7" s="24" t="s">
        <v>79</v>
      </c>
    </row>
    <row r="8" spans="2:9" ht="28">
      <c r="B8" s="24" t="s">
        <v>72</v>
      </c>
      <c r="C8" s="12" t="s">
        <v>14</v>
      </c>
      <c r="D8" s="24" t="s">
        <v>82</v>
      </c>
      <c r="E8" s="8" t="s">
        <v>40</v>
      </c>
      <c r="F8" s="12" t="s">
        <v>73</v>
      </c>
      <c r="G8" s="8">
        <v>2</v>
      </c>
      <c r="H8" s="12" t="s">
        <v>20</v>
      </c>
      <c r="I8" s="24" t="s">
        <v>77</v>
      </c>
    </row>
    <row r="9" spans="2:9" ht="28">
      <c r="B9" s="24" t="s">
        <v>72</v>
      </c>
      <c r="C9" s="12" t="s">
        <v>14</v>
      </c>
      <c r="D9" s="24" t="s">
        <v>83</v>
      </c>
      <c r="E9" s="8" t="s">
        <v>40</v>
      </c>
      <c r="F9" s="12" t="s">
        <v>73</v>
      </c>
      <c r="G9" s="8">
        <v>3</v>
      </c>
      <c r="H9" s="12" t="s">
        <v>36</v>
      </c>
      <c r="I9" s="24" t="s">
        <v>85</v>
      </c>
    </row>
    <row r="10" spans="2:9" ht="56">
      <c r="B10" s="24" t="s">
        <v>72</v>
      </c>
      <c r="C10" s="12" t="s">
        <v>14</v>
      </c>
      <c r="D10" s="24" t="s">
        <v>84</v>
      </c>
      <c r="E10" s="8" t="s">
        <v>40</v>
      </c>
      <c r="F10" s="12" t="s">
        <v>87</v>
      </c>
      <c r="G10" s="8">
        <v>2</v>
      </c>
      <c r="H10" s="12" t="s">
        <v>28</v>
      </c>
      <c r="I10" s="24" t="s">
        <v>86</v>
      </c>
    </row>
    <row r="11" spans="2:9">
      <c r="B11" s="19"/>
      <c r="C11" s="20"/>
      <c r="D11" s="21"/>
      <c r="E11" s="21"/>
      <c r="F11" s="23" t="s">
        <v>67</v>
      </c>
      <c r="G11" s="28">
        <f>SUM(G4:G10)</f>
        <v>19</v>
      </c>
      <c r="H11" s="29"/>
      <c r="I11" s="30"/>
    </row>
    <row r="12" spans="2:9" ht="16" thickBot="1">
      <c r="B12" s="16"/>
      <c r="C12" s="17"/>
      <c r="D12" s="18"/>
      <c r="E12" s="18"/>
      <c r="F12" s="22" t="s">
        <v>68</v>
      </c>
      <c r="G12" s="25">
        <v>4</v>
      </c>
      <c r="H12" s="26"/>
      <c r="I12" s="27"/>
    </row>
    <row r="13" spans="2:9" ht="16"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数据标签!$B$11:$D$11</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2025-02-13T09:32:31Z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