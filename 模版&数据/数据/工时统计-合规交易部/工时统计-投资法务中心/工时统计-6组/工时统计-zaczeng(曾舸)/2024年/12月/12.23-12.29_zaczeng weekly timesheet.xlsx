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F2A440A5-D39D-3845-B896-F7187E464A4A}" xr6:coauthVersionLast="47" xr6:coauthVersionMax="47" xr10:uidLastSave="{00000000-0000-0000-0000-000000000000}"/>
  <bookViews>
    <workbookView xWindow="0" yWindow="500" windowWidth="34420" windowHeight="18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<sst xmlns="http://schemas.openxmlformats.org/spreadsheetml/2006/main" count="143" uniqueCount="85">
  <si>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</si>
  <si>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</si>
  <si>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</si>
  <si>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</si>
  <si>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</si>
  <si>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</si>
  <si>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</si>
  <si>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</si>
  <si>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</si>
  <si>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</si>
  <si>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</si>
  <si>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</si>
  <si>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</si>
  <si>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</si>
  <si>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</si>
  <si>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</si>
  <si>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</si>
  <si>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</si>
  <si>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</si>
  <si>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</si>
  <si>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</si>
  <si>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</si>
  <si>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</si>
  <si>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</si>
  <si>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</si>
  <si>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</si>
  <si>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</si>
  <si>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</si>
  <si>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</si>
  <si>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</si>
  <si>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</si>
  <si>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</si>
  <si>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</si>
  <si>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</si>
  <si>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</si>
  <si>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</si>
  <si>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</si>
  <si>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</si>
  <si>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</si>
  <si>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</si>
  <si>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</si>
  <si>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</si>
  <si>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</si>
  <si>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</si>
  <si>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</si>
  <si>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</si>
  <si>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</si>
  <si>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</si>
  <si>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</si>
  <si>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</si>
  <si>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</si>
  <si>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</si>
  <si>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</si>
  <si>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</si>
  <si>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</si>
  <si>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</si>
  <si>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</si>
  <si>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</si>
  <si>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</si>
  <si>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</si>
  <si>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</si>
  <si>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</si>
  <si>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</si>
  <si>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</si>
  <si>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</si>
  <si>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</si>
  <si>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</si>
  <si>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</si>
  <si>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</si>
  <si>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</si>
  <si>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</si>
  <si>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</si>
  <si>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</si>
  <si>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Project Carat</t>
    <phoneticPr fontId="7" type="noConversion"/>
  </si>
  <si>
    <t>资本市场、投融资活动创新突破 Innovative breakthroughs in investments and capital market transactions</t>
  </si>
  <si>
    <t>境内外金融业务资质申请 Application for domestic and overseas financial business licenses</t>
  </si>
  <si>
    <t>Drafting/reviewing/negotiating legal documents</t>
    <phoneticPr fontId="7" type="noConversion"/>
  </si>
  <si>
    <t>金控相关</t>
    <phoneticPr fontId="7" type="noConversion"/>
  </si>
  <si>
    <t>review/discuss ditribution/ capital injection related docs</t>
  </si>
  <si>
    <t>长生人寿</t>
    <phoneticPr fontId="7" type="noConversion"/>
  </si>
  <si>
    <t>Shanghai business trip; management onsite interview</t>
    <phoneticPr fontId="7" type="noConversion"/>
  </si>
  <si>
    <t>NDA</t>
    <phoneticPr fontId="7" type="noConversion"/>
  </si>
  <si>
    <t>IC memo, agreement revise/finalize</t>
    <phoneticPr fontId="7" type="noConversion"/>
  </si>
  <si>
    <t>Hongshan NDA review</t>
    <phoneticPr fontId="7" type="noConversion"/>
  </si>
  <si>
    <t>5 (this includes 4-day business trip)</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</si>
</sst>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12" zoomScale="137" zoomScaleNormal="100" workbookViewId="0">
      <selection activeCell="I7" sqref="I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56">
      <c r="B4" s="16" t="s">
        <v>72</v>
      </c>
      <c r="C4" s="14" t="s">
        <v>14</v>
      </c>
      <c r="D4" s="27" t="s">
        <v>79</v>
      </c>
      <c r="E4" s="9" t="s">
        <v>40</v>
      </c>
      <c r="F4" s="14" t="s">
        <v>74</v>
      </c>
      <c r="G4" s="9">
        <v>32</v>
      </c>
      <c r="H4" s="30" t="s">
        <v>76</v>
      </c>
      <c r="I4" s="29" t="s">
        <v>80</v>
      </c>
    </row>
    <row r="5" spans="2:9" ht="42">
      <c r="B5" s="16" t="s">
        <v>72</v>
      </c>
      <c r="C5" s="14" t="s">
        <v>14</v>
      </c>
      <c r="D5" s="27" t="s">
        <v>73</v>
      </c>
      <c r="E5" s="9" t="s">
        <v>40</v>
      </c>
      <c r="F5" s="14" t="s">
        <v>75</v>
      </c>
      <c r="G5" s="9">
        <v>5</v>
      </c>
      <c r="H5" s="14" t="s">
        <v>20</v>
      </c>
      <c r="I5" s="28" t="s">
        <v>82</v>
      </c>
    </row>
    <row r="6" spans="2:9" ht="56">
      <c r="B6" s="16" t="s">
        <v>72</v>
      </c>
      <c r="C6" s="14" t="s">
        <v>14</v>
      </c>
      <c r="D6" s="27" t="s">
        <v>81</v>
      </c>
      <c r="E6" s="9" t="s">
        <v>40</v>
      </c>
      <c r="F6" s="14" t="s">
        <v>74</v>
      </c>
      <c r="G6" s="9">
        <v>2</v>
      </c>
      <c r="H6" s="14" t="s">
        <v>20</v>
      </c>
      <c r="I6" s="28" t="s">
        <v>83</v>
      </c>
    </row>
    <row r="7" spans="2:9" ht="42">
      <c r="B7" s="16" t="s">
        <v>72</v>
      </c>
      <c r="C7" s="15" t="s">
        <v>16</v>
      </c>
      <c r="D7" s="27" t="s">
        <v>77</v>
      </c>
      <c r="E7" s="9" t="s">
        <v>40</v>
      </c>
      <c r="F7" s="14" t="s">
        <v>75</v>
      </c>
      <c r="G7" s="9">
        <v>1</v>
      </c>
      <c r="H7" s="14" t="s">
        <v>20</v>
      </c>
      <c r="I7" s="15" t="s">
        <v>78</v>
      </c>
    </row>
    <row r="8" spans="2:9">
      <c r="B8" s="8"/>
      <c r="C8" s="14"/>
      <c r="D8" s="9"/>
      <c r="E8" s="9"/>
      <c r="F8" s="14"/>
      <c r="G8" s="9"/>
      <c r="H8" s="14"/>
      <c r="I8" s="28"/>
    </row>
    <row r="9" spans="2:9">
      <c r="B9" s="8"/>
      <c r="C9" s="14"/>
      <c r="D9" s="9"/>
      <c r="E9" s="9"/>
      <c r="F9" s="14"/>
      <c r="G9" s="9"/>
      <c r="H9" s="14"/>
      <c r="I9" s="12"/>
    </row>
    <row r="10" spans="2:9">
      <c r="B10" s="8"/>
      <c r="C10" s="14"/>
      <c r="D10" s="9"/>
      <c r="E10" s="9"/>
      <c r="F10" s="14"/>
      <c r="G10" s="9"/>
      <c r="H10" s="14"/>
      <c r="I10" s="12"/>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22"/>
      <c r="C23" s="23"/>
      <c r="D23" s="24"/>
      <c r="E23" s="24"/>
      <c r="F23" s="26" t="s">
        <v>67</v>
      </c>
      <c r="G23" s="34">
        <f>SUM(G3:G22)</f>
        <v>40</v>
      </c>
      <c r="H23" s="35"/>
      <c r="I23" s="36"/>
    </row>
    <row r="24" spans="2:9" ht="16" thickBot="1">
      <c r="B24" s="19"/>
      <c r="C24" s="20"/>
      <c r="D24" s="21"/>
      <c r="E24" s="21"/>
      <c r="F24" s="25" t="s">
        <v>68</v>
      </c>
      <c r="G24" s="31" t="s">
        <v>84</v>
      </c>
      <c r="H24" s="32"/>
      <c r="I24" s="33"/>
    </row>
    <row r="25" spans="2:9" ht="16"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C8:C24 C4:C6</xm:sqref>
        </x14:dataValidation>
        <x14:dataValidation type="list" allowBlank="1" showInputMessage="1" showErrorMessage="1" xr:uid="{00000000-0002-0000-0000-000003000000}">
          <x14:formula1>
            <xm:f>数据标签!$B$11:$D$11</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2024-12-30T08:18:03Z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