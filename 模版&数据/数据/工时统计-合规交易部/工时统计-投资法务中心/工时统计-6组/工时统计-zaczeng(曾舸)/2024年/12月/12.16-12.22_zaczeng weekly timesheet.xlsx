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mc:AlternateContent xmlns:mc="http://schemas.openxmlformats.org/markup-compatibility/2006">
    <mc:Choice Requires="x15">
      <x15ac:absPath xmlns:x15ac="http://schemas.microsoft.com/office/spreadsheetml/2010/11/ac" url="/Users/zaczeng/Desktop/"/>
    </mc:Choice>
  </mc:AlternateContent>
  <xr:revisionPtr revIDLastSave="0" documentId="13_ncr:1_{370F4B68-3612-2B4C-AD98-A9C786754B74}" xr6:coauthVersionLast="47" xr6:coauthVersionMax="47" xr10:uidLastSave="{00000000-0000-0000-0000-000000000000}"/>
  <bookViews>
    <workbookView xWindow="0" yWindow="500" windowWidth="34420" windowHeight="18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<sst xmlns="http://schemas.openxmlformats.org/spreadsheetml/2006/main" count="213" uniqueCount="108">
  <si>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</si>
  <si>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</si>
  <si>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</si>
  <si>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</si>
  <si>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</si>
  <si>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</si>
  <si>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</si>
  <si>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</si>
  <si>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</si>
  <si>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</si>
  <si>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</si>
  <si>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</si>
  <si>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</si>
  <si>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</si>
  <si>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</si>
  <si>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</si>
  <si>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</si>
  <si>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</si>
  <si>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</si>
  <si>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</si>
  <si>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</si>
  <si>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</si>
  <si>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</si>
  <si>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</si>
  <si>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</si>
  <si>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</si>
  <si>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</si>
  <si>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</si>
  <si>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</si>
  <si>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</si>
  <si>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</si>
  <si>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</si>
  <si>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</si>
  <si>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</si>
  <si>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</si>
  <si>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</si>
  <si>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</si>
  <si>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</si>
  <si>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</si>
  <si>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</si>
  <si>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</si>
  <si>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</si>
  <si>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</si>
  <si>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</si>
  <si>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</si>
  <si>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</si>
  <si>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</si>
  <si>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</si>
  <si>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</si>
  <si>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</si>
  <si>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</si>
  <si>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</si>
  <si>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</si>
  <si>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</si>
  <si>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</si>
  <si>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</si>
  <si>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</si>
  <si>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</si>
  <si>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</si>
  <si>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</si>
  <si>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</si>
  <si>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</si>
  <si>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</si>
  <si>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</si>
  <si>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</si>
  <si>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</si>
  <si>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</si>
  <si>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</si>
  <si>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</si>
  <si>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</si>
  <si>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</si>
  <si>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</si>
  <si>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</si>
  <si>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Project Carat</t>
    <phoneticPr fontId="7" type="noConversion"/>
  </si>
  <si>
    <t>LDD; agreement review/discussion; IC memo review/revise; internal discussion</t>
    <phoneticPr fontId="7" type="noConversion"/>
  </si>
  <si>
    <t>资本市场、投融资活动创新突破 Innovative breakthroughs in investments and capital market transactions</t>
  </si>
  <si>
    <t>Project Panda</t>
    <phoneticPr fontId="7" type="noConversion"/>
  </si>
  <si>
    <t>境内外金融业务资质申请 Application for domestic and overseas financial business licenses</t>
  </si>
  <si>
    <t>internal discussion; discussion with lawyer</t>
    <phoneticPr fontId="7" type="noConversion"/>
  </si>
  <si>
    <t>盟浪</t>
    <phoneticPr fontId="7" type="noConversion"/>
  </si>
  <si>
    <t>review agreement re new round financing</t>
    <phoneticPr fontId="7" type="noConversion"/>
  </si>
  <si>
    <t>网元圣唐</t>
    <phoneticPr fontId="7" type="noConversion"/>
  </si>
  <si>
    <t>控股和重点投资公司法务风险管理 Legal risk management for controlled and key invested portfolios</t>
  </si>
  <si>
    <t>Tencent subsidiary, discussing ESOP settlement and potential litigation</t>
    <phoneticPr fontId="7" type="noConversion"/>
  </si>
  <si>
    <t>中联慧捷</t>
    <phoneticPr fontId="7" type="noConversion"/>
  </si>
  <si>
    <t>投资项目全流程法务支持 Full-process legal support for investments</t>
  </si>
  <si>
    <t>review/discuss redemption agreement</t>
    <phoneticPr fontId="7" type="noConversion"/>
  </si>
  <si>
    <t>酒小二</t>
    <phoneticPr fontId="7" type="noConversion"/>
  </si>
  <si>
    <t>4.5(休假半天）</t>
    <phoneticPr fontId="7" type="noConversion"/>
  </si>
  <si>
    <t>TRS execution related issues</t>
    <phoneticPr fontId="7" type="noConversion"/>
  </si>
  <si>
    <t>Nexon</t>
    <phoneticPr fontId="7" type="noConversion"/>
  </si>
  <si>
    <t>众安在线</t>
    <phoneticPr fontId="7" type="noConversion"/>
  </si>
  <si>
    <t>Tims</t>
    <phoneticPr fontId="7" type="noConversion"/>
  </si>
  <si>
    <t>苍穹互娱</t>
    <phoneticPr fontId="7" type="noConversion"/>
  </si>
  <si>
    <t>高济健康</t>
    <phoneticPr fontId="7" type="noConversion"/>
  </si>
  <si>
    <t>Gago佳格大数据</t>
    <phoneticPr fontId="7" type="noConversion"/>
  </si>
  <si>
    <t>Uzum</t>
    <phoneticPr fontId="7" type="noConversion"/>
  </si>
  <si>
    <t>Drafting/reviewing/negotiating legal documents</t>
    <phoneticPr fontId="7" type="noConversion"/>
  </si>
  <si>
    <t>TS discussion/review/revise</t>
    <phoneticPr fontId="7" type="noConversion"/>
  </si>
  <si>
    <t>EGM review</t>
    <phoneticPr fontId="7" type="noConversion"/>
  </si>
  <si>
    <t>review docs related to distribution/exit</t>
    <phoneticPr fontId="7" type="noConversion"/>
  </si>
  <si>
    <t>review docs related Mayo share flip down</t>
    <phoneticPr fontId="7" type="noConversion"/>
  </si>
  <si>
    <t>discuss redemption clause, delivering redemption notice</t>
    <phoneticPr fontId="7" type="noConversion"/>
  </si>
  <si>
    <t xml:space="preserve">discuss potential exit </t>
    <phoneticPr fontId="7" type="noConversion"/>
  </si>
  <si>
    <t>review CB related docs</t>
    <phoneticPr fontId="7" type="noConversion"/>
  </si>
  <si>
    <t>Investment Related - Corporate Matter</t>
    <phoneticPr fontId="7" type="noConversion"/>
  </si>
  <si>
    <t>金控相关</t>
    <phoneticPr fontId="7" type="noConversion"/>
  </si>
  <si>
    <t>review/discuss ditribution/ capital injection related docs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</si>
</sst>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5"/>
  <sheetViews>
    <sheetView tabSelected="1" topLeftCell="A13" zoomScale="137" zoomScaleNormal="100" workbookViewId="0">
      <selection activeCell="I17" sqref="I17"/>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56">
      <c r="B4" s="16" t="s">
        <v>72</v>
      </c>
      <c r="C4" s="14" t="s">
        <v>14</v>
      </c>
      <c r="D4" s="27" t="s">
        <v>73</v>
      </c>
      <c r="E4" s="9" t="s">
        <v>40</v>
      </c>
      <c r="F4" s="14" t="s">
        <v>75</v>
      </c>
      <c r="G4" s="9">
        <v>15</v>
      </c>
      <c r="H4" s="30" t="s">
        <v>97</v>
      </c>
      <c r="I4" s="29" t="s">
        <v>74</v>
      </c>
    </row>
    <row r="5" spans="2:9" ht="42">
      <c r="B5" s="16" t="s">
        <v>72</v>
      </c>
      <c r="C5" s="14" t="s">
        <v>14</v>
      </c>
      <c r="D5" s="27" t="s">
        <v>76</v>
      </c>
      <c r="E5" s="9" t="s">
        <v>40</v>
      </c>
      <c r="F5" s="14" t="s">
        <v>77</v>
      </c>
      <c r="G5" s="9">
        <v>2.5</v>
      </c>
      <c r="H5" s="14" t="s">
        <v>20</v>
      </c>
      <c r="I5" s="28" t="s">
        <v>78</v>
      </c>
    </row>
    <row r="6" spans="2:9" ht="56">
      <c r="B6" s="16" t="s">
        <v>72</v>
      </c>
      <c r="C6" s="14" t="s">
        <v>14</v>
      </c>
      <c r="D6" s="27" t="s">
        <v>96</v>
      </c>
      <c r="E6" s="9" t="s">
        <v>40</v>
      </c>
      <c r="F6" s="14" t="s">
        <v>75</v>
      </c>
      <c r="G6" s="9">
        <v>3</v>
      </c>
      <c r="H6" s="14" t="s">
        <v>20</v>
      </c>
      <c r="I6" s="28" t="s">
        <v>98</v>
      </c>
    </row>
    <row r="7" spans="2:9" ht="56">
      <c r="B7" s="16" t="s">
        <v>72</v>
      </c>
      <c r="C7" s="14" t="s">
        <v>14</v>
      </c>
      <c r="D7" s="27" t="s">
        <v>79</v>
      </c>
      <c r="E7" s="9" t="s">
        <v>40</v>
      </c>
      <c r="F7" s="14" t="s">
        <v>75</v>
      </c>
      <c r="G7" s="9">
        <v>2</v>
      </c>
      <c r="H7" s="14" t="s">
        <v>20</v>
      </c>
      <c r="I7" s="28" t="s">
        <v>80</v>
      </c>
    </row>
    <row r="8" spans="2:9" ht="42">
      <c r="B8" s="16" t="s">
        <v>72</v>
      </c>
      <c r="C8" s="14" t="s">
        <v>16</v>
      </c>
      <c r="D8" s="27" t="s">
        <v>81</v>
      </c>
      <c r="E8" s="9" t="s">
        <v>40</v>
      </c>
      <c r="F8" s="14" t="s">
        <v>82</v>
      </c>
      <c r="G8" s="9">
        <v>3</v>
      </c>
      <c r="H8" s="14" t="s">
        <v>36</v>
      </c>
      <c r="I8" s="29" t="s">
        <v>83</v>
      </c>
    </row>
    <row r="9" spans="2:9" ht="28">
      <c r="B9" s="16" t="s">
        <v>72</v>
      </c>
      <c r="C9" s="14" t="s">
        <v>16</v>
      </c>
      <c r="D9" s="27" t="s">
        <v>84</v>
      </c>
      <c r="E9" s="9" t="s">
        <v>40</v>
      </c>
      <c r="F9" s="14" t="s">
        <v>85</v>
      </c>
      <c r="G9" s="9">
        <v>2</v>
      </c>
      <c r="H9" s="14" t="s">
        <v>20</v>
      </c>
      <c r="I9" s="28" t="s">
        <v>86</v>
      </c>
    </row>
    <row r="10" spans="2:9" ht="28">
      <c r="B10" s="16" t="s">
        <v>72</v>
      </c>
      <c r="C10" s="14" t="s">
        <v>16</v>
      </c>
      <c r="D10" s="27" t="s">
        <v>87</v>
      </c>
      <c r="E10" s="9" t="s">
        <v>40</v>
      </c>
      <c r="F10" s="14" t="s">
        <v>85</v>
      </c>
      <c r="G10" s="9">
        <v>2</v>
      </c>
      <c r="H10" s="14" t="s">
        <v>20</v>
      </c>
      <c r="I10" s="29" t="s">
        <v>102</v>
      </c>
    </row>
    <row r="11" spans="2:9" ht="28">
      <c r="B11" s="16" t="s">
        <v>72</v>
      </c>
      <c r="C11" s="14" t="s">
        <v>14</v>
      </c>
      <c r="D11" s="27" t="s">
        <v>90</v>
      </c>
      <c r="E11" s="9" t="s">
        <v>40</v>
      </c>
      <c r="F11" s="14" t="s">
        <v>85</v>
      </c>
      <c r="G11" s="9">
        <v>2</v>
      </c>
      <c r="H11" s="14" t="s">
        <v>36</v>
      </c>
      <c r="I11" s="28" t="s">
        <v>89</v>
      </c>
    </row>
    <row r="12" spans="2:9" ht="56">
      <c r="B12" s="16" t="s">
        <v>72</v>
      </c>
      <c r="C12" s="14" t="s">
        <v>16</v>
      </c>
      <c r="D12" s="27" t="s">
        <v>91</v>
      </c>
      <c r="E12" s="9" t="s">
        <v>40</v>
      </c>
      <c r="F12" s="14" t="s">
        <v>75</v>
      </c>
      <c r="G12" s="9">
        <v>1</v>
      </c>
      <c r="H12" s="14" t="s">
        <v>36</v>
      </c>
      <c r="I12" s="28" t="s">
        <v>103</v>
      </c>
    </row>
    <row r="13" spans="2:9" ht="28">
      <c r="B13" s="16" t="s">
        <v>72</v>
      </c>
      <c r="C13" s="14" t="s">
        <v>16</v>
      </c>
      <c r="D13" s="27" t="s">
        <v>92</v>
      </c>
      <c r="E13" s="9" t="s">
        <v>40</v>
      </c>
      <c r="F13" s="14" t="s">
        <v>85</v>
      </c>
      <c r="G13" s="9">
        <v>0.5</v>
      </c>
      <c r="H13" s="14" t="s">
        <v>20</v>
      </c>
      <c r="I13" s="28" t="s">
        <v>99</v>
      </c>
    </row>
    <row r="14" spans="2:9" ht="28">
      <c r="B14" s="16" t="s">
        <v>72</v>
      </c>
      <c r="C14" s="14" t="s">
        <v>16</v>
      </c>
      <c r="D14" s="27" t="s">
        <v>93</v>
      </c>
      <c r="E14" s="9" t="s">
        <v>40</v>
      </c>
      <c r="F14" s="14" t="s">
        <v>85</v>
      </c>
      <c r="G14" s="9">
        <v>1</v>
      </c>
      <c r="H14" s="14" t="s">
        <v>20</v>
      </c>
      <c r="I14" s="28" t="s">
        <v>100</v>
      </c>
    </row>
    <row r="15" spans="2:9" ht="28">
      <c r="B15" s="16" t="s">
        <v>72</v>
      </c>
      <c r="C15" s="14" t="s">
        <v>16</v>
      </c>
      <c r="D15" s="27" t="s">
        <v>94</v>
      </c>
      <c r="E15" s="9" t="s">
        <v>40</v>
      </c>
      <c r="F15" s="14" t="s">
        <v>85</v>
      </c>
      <c r="G15" s="9">
        <v>2</v>
      </c>
      <c r="H15" s="14" t="s">
        <v>20</v>
      </c>
      <c r="I15" s="28" t="s">
        <v>101</v>
      </c>
    </row>
    <row r="16" spans="2:9" ht="28">
      <c r="B16" s="16" t="s">
        <v>72</v>
      </c>
      <c r="C16" s="30" t="s">
        <v>105</v>
      </c>
      <c r="D16" s="27" t="s">
        <v>95</v>
      </c>
      <c r="E16" s="9" t="s">
        <v>40</v>
      </c>
      <c r="F16" s="14" t="s">
        <v>85</v>
      </c>
      <c r="G16" s="9">
        <v>1</v>
      </c>
      <c r="H16" s="14" t="s">
        <v>20</v>
      </c>
      <c r="I16" s="28" t="s">
        <v>104</v>
      </c>
    </row>
    <row r="17" spans="2:9" ht="42">
      <c r="B17" s="16" t="s">
        <v>72</v>
      </c>
      <c r="C17" s="15" t="s">
        <v>16</v>
      </c>
      <c r="D17" s="27" t="s">
        <v>106</v>
      </c>
      <c r="E17" s="9" t="s">
        <v>40</v>
      </c>
      <c r="F17" s="14" t="s">
        <v>77</v>
      </c>
      <c r="G17" s="9">
        <v>1</v>
      </c>
      <c r="H17" s="14" t="s">
        <v>20</v>
      </c>
      <c r="I17" s="15" t="s">
        <v>107</v>
      </c>
    </row>
    <row r="18" spans="2:9">
      <c r="B18" s="8"/>
      <c r="C18" s="14"/>
      <c r="D18" s="9"/>
      <c r="E18" s="9"/>
      <c r="F18" s="14"/>
      <c r="G18" s="9"/>
      <c r="H18" s="14"/>
      <c r="I18" s="28"/>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8"/>
      <c r="C32" s="14"/>
      <c r="D32" s="9"/>
      <c r="E32" s="9"/>
      <c r="F32" s="14"/>
      <c r="G32" s="9"/>
      <c r="H32" s="14"/>
      <c r="I32" s="12"/>
    </row>
    <row r="33" spans="2:9">
      <c r="B33" s="22"/>
      <c r="C33" s="23"/>
      <c r="D33" s="24"/>
      <c r="E33" s="24"/>
      <c r="F33" s="26" t="s">
        <v>67</v>
      </c>
      <c r="G33" s="34">
        <f>SUM(G3:G32)</f>
        <v>38</v>
      </c>
      <c r="H33" s="35"/>
      <c r="I33" s="36"/>
    </row>
    <row r="34" spans="2:9" ht="16" thickBot="1">
      <c r="B34" s="19"/>
      <c r="C34" s="20"/>
      <c r="D34" s="21"/>
      <c r="E34" s="21"/>
      <c r="F34" s="25" t="s">
        <v>68</v>
      </c>
      <c r="G34" s="31" t="s">
        <v>88</v>
      </c>
      <c r="H34" s="32"/>
      <c r="I34" s="33"/>
    </row>
    <row r="35" spans="2:9" ht="16" thickTop="1"/>
  </sheetData>
  <mergeCells count="2">
    <mergeCell ref="G34:I34"/>
    <mergeCell ref="G33:I33"/>
  </mergeCells>
  <phoneticPr fontId="7" type="noConversion"/>
  <dataValidations count="2">
    <dataValidation type="list" allowBlank="1" showInputMessage="1" showErrorMessage="1" sqref="H4:H32" xr:uid="{00000000-0002-0000-0000-000000000000}">
      <formula1>hh</formula1>
    </dataValidation>
    <dataValidation type="list" allowBlank="1" showInputMessage="1" showErrorMessage="1" sqref="F4:F3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E4:E34</xm:sqref>
        </x14:dataValidation>
        <x14:dataValidation type="list" allowBlank="1" showInputMessage="1" showErrorMessage="1" xr:uid="{00000000-0002-0000-0000-000002000000}">
          <x14:formula1>
            <xm:f>数据标签!$B$2:$H$2</xm:f>
          </x14:formula1>
          <xm:sqref>C18:C34 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2024-12-23T08:47:21Z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