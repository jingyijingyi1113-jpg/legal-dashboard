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jingyiding/Desktop/工作记录/VOC评估相关/各团队工作记录模版/反洗钱与制裁合规部/业务管理及合规检测中心/"/>
    </mc:Choice>
  </mc:AlternateContent>
  <xr:revisionPtr revIDLastSave="0" documentId="13_ncr:1_{3B4DACEA-9272-1E42-B0FD-BB7B7B4701A8}" xr6:coauthVersionLast="47" xr6:coauthVersionMax="47" xr10:uidLastSave="{00000000-0000-0000-0000-000000000000}"/>
  <bookViews>
    <workbookView xWindow="1560" yWindow="1280" windowWidth="28040" windowHeight="17160" xr2:uid="{00000000-000D-0000-FFFF-FFFF00000000}"/>
  </bookViews>
  <sheets>
    <sheet name="个人记录表格" sheetId="1" r:id="rId1"/>
    <sheet name="数据标签" sheetId="8" r:id="rId2"/>
    <sheet name="部门25年组织绩效目标" sheetId="9" r:id="rId3"/>
  </sheets>
  <definedNames>
    <definedName name="_1检测相关_常规">数据标签!$C$2:$C$8</definedName>
    <definedName name="_2检测相关_快速">数据标签!$D$2:$D$8</definedName>
    <definedName name="_3业务管理相关_业务战略总结">数据标签!$E$2:$E$5</definedName>
    <definedName name="_4业务管理相关_项目跟进">数据标签!$F$2:$F$9</definedName>
    <definedName name="_5公共_流程机制">数据标签!$G$2:$G$4</definedName>
    <definedName name="_6公共_部门公共事务支持">数据标签!$H$2:$H$6</definedName>
    <definedName name="_7公共_执业管理">数据标签!$I$2:$I$9</definedName>
    <definedName name="_8管理_仅leader使用">数据标签!$J$2:$J$6</definedName>
    <definedName name="_9其他">数据标签!$K$2:$K$6</definedName>
    <definedName name="_BSC">数据标签!$C$16:$C$34</definedName>
    <definedName name="_OKR">数据标签!$D$16:$D$17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tc={5CB9273C-AD83-49E2-815D-AF9F3F8228E9}</author>
  </authors>
  <commentList>
    <comment ref="L11" authorId="0" shapeId="0" xr:uid="{5CB9273C-AD83-49E2-815D-AF9F3F8228E9}">
      <text>
        <t>[线程批注]
你的Excel版本可读取此线程批注; 但如果在更新版本的Excel中打开文件，则对批注所作的任何改动都将被删除。了解详细信息: https://go.microsoft.com/fwlink/?linkid=870924
注释:
    跨境收单部分里程碑应与关键策略相对应。</t>
      </text>
    </comment>
  </commentList>
</comments>
</file>

<file path=xl/sharedStrings.xml><?xml version="1.0" encoding="utf-8"?>
<sst xmlns="http://schemas.openxmlformats.org/spreadsheetml/2006/main" count="663" uniqueCount="544">
  <si>
    <t>姓名（必填）</t>
  </si>
  <si>
    <t>标签（必填）</t>
  </si>
  <si>
    <t>关键任务（必填）</t>
  </si>
  <si>
    <t>小时数（必填）</t>
  </si>
  <si>
    <t>工作类型（必填）</t>
  </si>
  <si>
    <t>描述（可选）</t>
  </si>
  <si>
    <t>请填入记录人的企微姓名</t>
  </si>
  <si>
    <t>请相应勾选下拉菜单中的事务类别选项</t>
  </si>
  <si>
    <t>请相应勾选下拉菜单中的任务名称选项</t>
  </si>
  <si>
    <t>请下拉选择</t>
  </si>
  <si>
    <t>请相应勾选下拉菜单中的OKR任务选项</t>
  </si>
  <si>
    <t>请输入小时数，精确到小数点后一位</t>
  </si>
  <si>
    <t>请相应勾选下拉菜单中的工作类别选项</t>
  </si>
  <si>
    <t>自选填写项目：简要描述工作内容</t>
  </si>
  <si>
    <t>_1检测相关_常规</t>
  </si>
  <si>
    <t>_BSC</t>
  </si>
  <si>
    <t>项目调研、访谈、资料查阅学习等工作</t>
  </si>
  <si>
    <t>_7公共_执业管理</t>
  </si>
  <si>
    <t>7.8 团队影响力建设</t>
  </si>
  <si>
    <t>_OKR</t>
  </si>
  <si>
    <t>项目执行结果分析、总结、汇报工作</t>
  </si>
  <si>
    <t>_Others</t>
  </si>
  <si>
    <t xml:space="preserve">Total Hours: </t>
  </si>
  <si>
    <t>事项分类</t>
  </si>
  <si>
    <t>C列</t>
  </si>
  <si>
    <t>_2检测相关_快速</t>
  </si>
  <si>
    <t>_3业务管理相关_业务战略总结</t>
  </si>
  <si>
    <t>_4业务管理相关_项目跟进</t>
  </si>
  <si>
    <t>_5公共_流程机制</t>
  </si>
  <si>
    <t>_6公共_部门公共事务支持</t>
  </si>
  <si>
    <t>工作任务</t>
  </si>
  <si>
    <t>D列</t>
  </si>
  <si>
    <t>3.1 OKR、BSC会议</t>
  </si>
  <si>
    <t>4.1 正向价值项目</t>
  </si>
  <si>
    <t>5.1 跨部门/团队流程梳理</t>
  </si>
  <si>
    <t>6.1 各部门管理例会及业务会议</t>
  </si>
  <si>
    <t>7.1 知识分享-公司内</t>
  </si>
  <si>
    <t>3.2 部门年度BSC\OKR制定、调整</t>
  </si>
  <si>
    <t>4.2 反洗钱制裁相关项目</t>
  </si>
  <si>
    <t>5.2 VOC量化评估</t>
  </si>
  <si>
    <t>7.2 知识分享-公司外</t>
  </si>
  <si>
    <t>3.3 部门战略工作汇报、总结</t>
  </si>
  <si>
    <t>4.3 支付相关项目</t>
  </si>
  <si>
    <t>5.3 内部工作机制优化</t>
  </si>
  <si>
    <t>7.3 参加内、外部培训</t>
  </si>
  <si>
    <t>3.4 集团、部门层面各类业务信息总结报送</t>
  </si>
  <si>
    <t>4.4 金融理财相关项目</t>
  </si>
  <si>
    <t>7.4 金融合规培训体系升级</t>
  </si>
  <si>
    <t>4.5 消保相关项目</t>
  </si>
  <si>
    <t>7.5 内部知识管理体系搭建</t>
  </si>
  <si>
    <t>7.6 AI信息赋能能力建设</t>
  </si>
  <si>
    <t>7.7 内部员工成长体系建设</t>
  </si>
  <si>
    <t>标签</t>
  </si>
  <si>
    <t>E列</t>
  </si>
  <si>
    <t>关键任务</t>
  </si>
  <si>
    <t>F列</t>
  </si>
  <si>
    <t>五部门战略工作机制运营维护</t>
  </si>
  <si>
    <t>项目方案讨论、制定</t>
  </si>
  <si>
    <t>项目执行相关的数据调取/分析、抽样工作</t>
  </si>
  <si>
    <t>部门各类会议支持（包括会议前期准备、会议召开、会议总结等工作）</t>
  </si>
  <si>
    <t>部门各类公共支持事务答疑</t>
  </si>
  <si>
    <t>部门拉通类项目推进</t>
  </si>
  <si>
    <t>部门内/跨部门知识分享</t>
  </si>
  <si>
    <t>团队、部门目标管理工作</t>
  </si>
  <si>
    <t>参与工作相关的各类培训</t>
  </si>
  <si>
    <t>其他</t>
  </si>
  <si>
    <t>团队</t>
  </si>
  <si>
    <t>关键策略
（必填）</t>
  </si>
  <si>
    <t>衡量标准
（必填）</t>
  </si>
  <si>
    <t>里程碑（必填）</t>
  </si>
  <si>
    <t>价值性 (5分制)
（必填）</t>
  </si>
  <si>
    <t>协同方
（必填）</t>
  </si>
  <si>
    <t>Q1</t>
  </si>
  <si>
    <t>Q2</t>
  </si>
  <si>
    <t>Q3</t>
  </si>
  <si>
    <t>Q4</t>
  </si>
  <si>
    <t>业务管理及合规检测中心</t>
  </si>
  <si>
    <t>linhan</t>
  </si>
  <si>
    <t>项目跟踪</t>
    <phoneticPr fontId="8" type="noConversion"/>
  </si>
  <si>
    <t>反洗钱与制裁合规部-2025年组织目标制定表</t>
  </si>
  <si>
    <r>
      <rPr>
        <b/>
        <sz val="10"/>
        <color theme="1"/>
        <rFont val="微软雅黑"/>
        <family val="2"/>
        <charset val="134"/>
      </rPr>
      <t>BSC标准：</t>
    </r>
    <r>
      <rPr>
        <sz val="10"/>
        <color theme="1"/>
        <rFont val="微软雅黑"/>
        <family val="2"/>
        <charset val="134"/>
      </rPr>
      <t xml:space="preserve">
1.	一个部门的「核心领域/项目/方向」建议</t>
    </r>
    <r>
      <rPr>
        <sz val="10"/>
        <color rgb="FFC00000"/>
        <rFont val="微软雅黑"/>
        <family val="2"/>
        <charset val="134"/>
      </rPr>
      <t>聚焦、精简</t>
    </r>
    <r>
      <rPr>
        <sz val="10"/>
        <color theme="1"/>
        <rFont val="微软雅黑"/>
        <family val="2"/>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</si>
  <si>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</si>
  <si>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t>关键任务
（必填）</t>
  </si>
  <si>
    <t>责任主体
（必填,精确到具体负责的团队人员）</t>
  </si>
  <si>
    <t>备注</t>
    <phoneticPr fontId="8" type="noConversion"/>
  </si>
  <si>
    <t>聚焦于部门层面的核心业务领域和重大项目</t>
  </si>
  <si>
    <t>把项目总目标分解为关键目标，而不是子项目</t>
  </si>
  <si>
    <r>
      <rPr>
        <sz val="8"/>
        <rFont val="微软雅黑"/>
        <family val="2"/>
        <charset val="134"/>
      </rPr>
      <t>描述解决目标的手段，即How（如何做）</t>
    </r>
    <r>
      <rPr>
        <sz val="8"/>
        <rFont val="微软雅黑"/>
        <family val="2"/>
        <charset val="134"/>
      </rPr>
      <t xml:space="preserve">
要求：简单、清晰、到位</t>
    </r>
  </si>
  <si>
    <t>描述任务的关键结果或达成效果
1、明确描述任务的完成时间、达成结果（可从数量或质量纬度表述）
2、表述方式尽量清晰、具象、切中要点</t>
  </si>
  <si>
    <t>1-5分，5最高，可纳入BG级</t>
  </si>
  <si>
    <t>每个领域/项目团队内责任人</t>
  </si>
  <si>
    <t>相关合作方，具体到相关最小组织单元</t>
  </si>
  <si>
    <t>基于下述两类，制定具体时间节点：
 A：启动和完成节点（如2023/XX/XX，启动XXX）
B：影响交付的关键过程节点（如2023/XX/XX，交付XX）</t>
  </si>
  <si>
    <t>1、促进业务发展</t>
  </si>
  <si>
    <t>集团业务洗钱风险行业评估</t>
    <phoneticPr fontId="8" type="noConversion"/>
  </si>
  <si>
    <t>覆盖金融，游戏，电商，直播，腾讯全资持牌子公司等的行业洗钱风险评估， 输出行业洗钱风险评估报告（行业风险计量体系，分行业的报告）</t>
  </si>
  <si>
    <t>evelong
wulanzhao</t>
  </si>
  <si>
    <t>反洗钱管理中心</t>
    <phoneticPr fontId="8" type="noConversion"/>
  </si>
  <si>
    <t>非金融业务（游戏、直播、电商等）
S2内控
数字舆情团队
安管
Fit 风控
法务
相关数据部门</t>
  </si>
  <si>
    <t>1. 梳理定位上半年报告输出计划 
2. 形成行业洗钱风险评估方法论</t>
  </si>
  <si>
    <t>1. 输出1份报告（论证筛选一个行业，暂定游戏）</t>
  </si>
  <si>
    <t>1. 对上半年输出的报告进行监管沟通行业推广
2. 继续进行行业报告的拟定输出1份行业报告</t>
  </si>
  <si>
    <t>1. 输出本年度的第3份行业调研报告
2. 对行业报告的特性进行整合上收形成集团的洗钱风险评估报告框架</t>
  </si>
  <si>
    <t>OKR</t>
    <phoneticPr fontId="8" type="noConversion"/>
  </si>
  <si>
    <t>非金融洗钱与制裁风险管理</t>
    <phoneticPr fontId="8" type="noConversion"/>
  </si>
  <si>
    <t>游戏领域</t>
  </si>
  <si>
    <t>1. 建设覆盖游戏，电商，直播，腾讯全资子公司等领域的洗钱风险管理体系建设，输出跨多个非金融行业的特定洗钱风险管理链路
2. 建设支持游戏，电商，直播等非金融业务洗钱风险识别模型</t>
  </si>
  <si>
    <t>1. 搭建覆盖游戏，电商，直播，腾讯全资子公司等领域有效的洗钱与制裁风险管理链路搭建
2. 完成游戏，电商，直播等非金融业务洗钱与制裁风险模型建设
3.对制裁风险的关键措控制施的有效性进行检测、审查相关制度，形成差异分析，实现查漏补缺。</t>
  </si>
  <si>
    <t>linghanxie
Jessicaxuxu
amyhyli
evelong
devincai
pacocheng
wulanzhao</t>
  </si>
  <si>
    <t>反洗钱管理中心&amp;制裁与国际反洗钱中心</t>
    <phoneticPr fontId="8" type="noConversion"/>
  </si>
  <si>
    <t>S2内控
IEG合规
Midas风控
Midas财税法</t>
  </si>
  <si>
    <t>【海外游戏】1.1月1日起，支持S2搭建海外游戏数据平台，与GCM联动，选定交易属性强的游戏；
2.2月底前，AMLSC提供游戏内交易监控逻辑
3.随时-提供S2在搭建数据平台时其他必要的专业支持
4.3月底前，整理midas的金融数据
【海外点卡】5.1月1日，整理点卡管控现状
6.1月启动邀请各职能团队分析点卡风险
7.3月1日起，根据已识别的风险设计管控措施并与游戏商议谈判
【境内游戏】
1. 优化游戏洗钱风险管理体系建设（强化体系化标准化游戏洗钱风险管控）
2. 优化游戏洗钱风险识别模型</t>
  </si>
  <si>
    <t>【海外游戏】1.4月1日起，跑通S2的非金融数据和midas的金融数据
【海外点卡】2.4月1日起，跑通管控措施，不断优化该机制，检验管控机制的有效性和合理性，形成长效监控机制
【境内游戏】
1. 运维游戏洗钱风险案例传递管控链路
2. 发现深挖游戏洗钱风险案例，形成样点案例，充实反洗钱灰黑案例库，反哺模型
3. 完成游戏洗钱风险管理标准框架</t>
  </si>
  <si>
    <t>【海外游戏】1.7月1日起，不断优化金融与非金融数据跑通机制，优化监控方案
2.9月1日起，将该模式复用到更多的海外游戏
【境内游戏】
1. 持续运维游戏洗钱风险管理系统和案例挖掘系统
2. 进一步推进完善新游戏，或者历史游戏的数据接入， 拓展洗钱风险识别场景的覆盖</t>
  </si>
  <si>
    <t>【海外游戏】1.10月1日起，不断优化金融与非金融数据跑通机制，优化监控方案
2.10月1日起，将该模式复用到更多的海外游戏
3.12月底前，整个机制的复盘以及整理成制度流程，以文档留底
【境内游戏】
1. 年度游戏洗钱案例沉淀分析，发送游戏洗钱风险案例分析年报</t>
  </si>
  <si>
    <t>电商领域</t>
  </si>
  <si>
    <t>linghanxie
olegyang
amyhyli
evelong
devincai
pacocheng
wulanzhao</t>
  </si>
  <si>
    <t>【反洗钱】WXG平台产品运营
【制裁】WXG平台产品运营、WXG后台安全、财付通风控团队</t>
  </si>
  <si>
    <t>【反洗钱】
1. 微信电商洗钱风险管理体系设计
2. 微信电商洗钱风险管理制度体系搭建
【制裁】1. 持续关注电商平台维护可售卖商品类目清单信息，如有类目新增，参与相关的评审工作。
2. 持续关注电商制裁扫描命中情况。
3. 定期跟进集团IP封禁全面检查的结果。</t>
  </si>
  <si>
    <t>【反洗钱】
1. 微信电商洗钱风险管理体系系统化实现
2. 案例传输链路搭建
【制裁】1. 持续关注电商平台维护可售卖商品类目清单信息，如有类目新增，参与相关的评审工作。
2. 持续关注电商制裁扫描命中情况。
3. 定期跟进集团IP封禁全面检查的结果。</t>
  </si>
  <si>
    <t>【反洗钱】
1. 微信电商洗钱风险数据分析和模型建设方案设计
2. 微信电商洗钱风险管理链路运维和调试优化
【制裁】1. 持续关注电商平台维护可售卖商品类目清单信息，如有类目新增，参与相关的评审工作。
2. 持续关注电商制裁扫描命中情况。
3. 定期跟进集团IP封禁全面检查的结果。</t>
  </si>
  <si>
    <t>【反洗钱】
1. 微信电商洗钱风险模型落地
2. 微信电商洗钱风险案例分析和年度总结总结
3. 微信电商洗钱风险管理链路运维和调试优化
【制裁】1. 持续关注电商平台维护可售卖商品类目清单信息，如有类目新增，参与相关的评审工作。
2. 持续关注电商制裁扫描命中情况。
3. 定期跟进集团IP封禁全面检查的结果。</t>
  </si>
  <si>
    <t>直播领域</t>
  </si>
  <si>
    <t>linghanxie
cindyqingli
amyhyli
evelong
devincai
pacocheng
wulanzhao</t>
  </si>
  <si>
    <t>投资公司
腾讯体系内直播生态</t>
  </si>
  <si>
    <t>【反洗钱】
1. 设计直播业务洗钱风险管理体系
2. 定位对接所有直播业务参与洗钱风险管理的团队并且明确职责划分
【制裁】
1月1日起，启动有效性检测标准的制定。</t>
    <phoneticPr fontId="8" type="noConversion"/>
  </si>
  <si>
    <t>【反洗钱】
1. 落地直播行业洗钱风险管理体系
2. 构建直播数据交互和模型设计
【制裁】
4月1日起，对制裁风险的关键控制措施有效性进行检测，形成差异分析并推动整改</t>
  </si>
  <si>
    <t>【反洗钱】
1. 模型落地和风险案例识别排查
2. 构建直播业务，集团，直播业务交互体系
【制裁】
7月1日起，审查相关制度，形成差异分析</t>
  </si>
  <si>
    <t>【反洗钱】
1. 年度洗钱风险案例回顾排查分析
【制裁】
10月1日起，审查相关制度，形成差异分析，实现查漏补缺</t>
  </si>
  <si>
    <t>腾讯独立运营全资子公司(TME,阅文,虎牙)</t>
    <phoneticPr fontId="8" type="noConversion"/>
  </si>
  <si>
    <t>amyhyli
evelong
devincai
pacocheng
wulanzhao</t>
  </si>
  <si>
    <t>投资公司</t>
  </si>
  <si>
    <t>【反洗钱】
1. 拟定虎牙数据交互方案
2. 拟定虎牙2025 合作事项计划
3. 拟定虎牙制度体系建设优化设计
4. 摸排TME&amp;阅文洗钱风险管理链路构建联系</t>
  </si>
  <si>
    <t>【反洗钱】
1. 虎牙数据交互方案落地
2. 虎牙制度体系优化和培训优化落地
3. 定位TME&amp;阅文洗钱风险管理提升模块，构建协作提升模式</t>
  </si>
  <si>
    <t>【反洗钱】
1. 虎牙数据交互后的风险分析
2. 虎牙洗钱风险管理体系优化方案（包括洗钱风险模型建设和优化+集团沟通汇报路线构建）
3. 基于上半年的排查对TME &amp;阅文的洗钱风险管理链路优化项目逐一落地</t>
  </si>
  <si>
    <t>【反洗钱】
1. 虎牙年度洗钱风险管理体系建设回顾评估
2. 风险案例总结
3. 基于上半年的排查对TME &amp;阅文的洗钱风险管理链路优化项目逐一落地</t>
  </si>
  <si>
    <t>2、业务合规营运无重大风险</t>
  </si>
  <si>
    <t>建设制裁、国际反洗钱合规检查能力，升级境内金融持牌主体合规检查能力</t>
    <phoneticPr fontId="8" type="noConversion"/>
  </si>
  <si>
    <t>制裁： 
1. 向FiT各金融持牌主体拿取制裁政策相關文件， 分析與集团政策的符合度； 細化制定检查范围与计划，包括制裁風險點管控執行的合规性和有效性； 管控細節評估， 制裁風險重大事件發生數據， 匯報機制等。
2. 輸出評估報告及檢查結果，提出優化建議，跟進優化計劃和進度，作出匯總。 
国际反洗钱：
1.在集团层面建立适用于全部海外金融持牌主体反洗钱合规检查要点和模板.
2.制定各持牌主体符合自身属地监管要求与业务实际的年度反洗钱合规检查计划并予以执行
境内反洗钱主体履职：
1.优化集团金融合规检查指标和方法论，支持反洗钱合规检查的敏捷度、精准度。
2.结合监管关注重点，针对财付通牌照全年开展6个检查专项并执行。
3.制定除财付通以外持牌主体的年度反洗钱合规检查计划并予以执行。
4.跨境收单专项
1）开展数据治理，梳理一级商户KYC数据流转至业务底表、反洗钱系统的数据传输、处理环节和映射方式，分析现行数据处理流程中的合规性Gap，提出合理化改进措施。
2）根据数据检验结果，持续优化风险看板与监测指标，加强其展示风险敞口和管控薄弱环节的能力。</t>
  </si>
  <si>
    <t>制裁：
1.输出集团层面制裁合规检查计划；
2.按计划按期有效执行检查FiT各金融持牌主体的制裁政策是否符合集團制裁合規要求、制裁風險點管控執行的合规性和有效性、管控細節評估、制裁風險重大事件發生數據、匯報機制等，并形成检查与跟进总结。
国际反洗钱：
1.输出集团层面的反洗钱合规检查要点与模板，每个持牌主体据此建立符合国际反洗钱合规最低准则及属地重点反洗钱监管风险的合规检查项目与计划；
2.按计划按期有效实施本主体的合规检查，形成适当、有效的主体合规履职记录
境内反洗钱履职：
1.明确检查目标/方向，结合工作实际、同业交流、监管指导或要求输出各检查专项的检查方案
2.推进财付通6个专项检查项目落地。
3.提炼检查方法论，持续优化金融合规自查体系
4.跨境收单专项
建立以跨境收单全量客户数据为基础、以风险指标和风险看板为抓手，实现“以数据结果验证管控有效性”的2道防线的风险监控和管理体系。</t>
  </si>
  <si>
    <t>Clorischiu
Joyezhu
Nancyjiao
Leonxiang
Jessicaxuxu
Beini Yang
Binkyang
Rickoduan</t>
  </si>
  <si>
    <t>制裁与国际反洗钱中心</t>
  </si>
  <si>
    <t>财付通制裁风控侧
、财付通微信境外业务侧、各境外持牌主体业务侧及风控侧</t>
  </si>
  <si>
    <t>【制裁】 
1. 2月底完成制定检查范围与计划，3月31日前向FiT金融持牌主体拿取制裁政策相關文件。
【跨境收单】
1.2月初启动数据治理项目，梳理一级商户KYC数据流转至业务底表、反洗钱系统的数据传输、处理环节和映射方式。
2. 在全面采用技术手段监测全量数据机制前，开展2道防线人工抽查+机器监测， 3月31日前完成并输出检查报告。
【国际反洗钱】
3月31日前，形成集团层面年度检查计划，各境外持牌主体根据主体业务模式、业务量等细化适用本主体的具体检查方案</t>
  </si>
  <si>
    <t>【制裁】 
1.  按照檢查計劃执行檢查項目，6月30日前，完成Q2的检查项目，檢查發現同步到FiT制裁风控、各FiT金融持牌主体。
【跨境收单】
1. 6月30日前完成分析现行数据处理流程中的合规性Gap，提出合理化改进措施。
2.6月30日前完善业务底表数据校验策略，启动建立跨境收单的全量客户上中下游数据质量检验机制。
3. 6月30日前联动各相关团队确定境外KYC监测离线数据与系统化数据合流、线上化方案。
4.  在全面采用技术手段监测全量数据机制前，开展2道防线人工抽查+机器监测，6月30日前完成并输出检查报告。
【国际反洗钱】
按照已确定的各主体年度检查计划开始执行，6月30日前，完成针对Q1的检查项目</t>
  </si>
  <si>
    <t>【制裁】 
1.  按照檢查計劃执行檢查項目，9月30日前，完成Q3的检查项目，檢查發現同步到FiT制裁风控、各FiT金融持牌主体。
【跨境收单】
1. 9月30日前建立2道防线数据定期质量反馈与业务整改机制，定期向1 &amp;1.5道防线输出履职情况和风险报告，并督促其按时整改。
2. 9月30日前持续优化KYC风险看板监测指标，使指标和模型对于发现问题更精准有效。
3. 根据境外KYC监测离线数据与系统化数据合流方案，初步实现数据看板化、可视化。
【国际反洗钱】
9月30日前，按照各主体年度检查计划完成针对Q2的检查项目</t>
  </si>
  <si>
    <t>【制裁】 
1. 12月31日前，按照檢查計劃执行檢查項目，完成Q4的检查项目，檢查發現同步到FiT制裁风控、各FiT金融持牌主体。
2. 12月31日前，整理檢查總結，優化進度，作出匯總。
3. 12月31日前，制定2026年制裁检查项目与具体计划。
【跨境收单】
1. 12月31日前开展2道防线数据定期质量反馈与业务整改机制，定期向1 &amp;1.5道防线输出履职情况和风险报告，并督促其按时整改。
2. 跟进与验证1+1.5道防线对2道防线检查发现问题的整改进展与实效。
3. 12月31日前常态性优化KYC风险看板监测指标，使指标和模型对于发现问题更精准有效。
【国际反洗钱】
1.12月31日前，按照各主体年度检查计划完成针对Q3的检查项目
2.12月31日前，形成全年检查发现与整改跟进情况总结
3.12月31日前，制定2026年各境外持牌主体检查项目与具体计划</t>
  </si>
  <si>
    <t>evelong
xiaxiahuang
xuegeng
---
willfzhou
viviansong
ivyzzheng
aidenwang</t>
  </si>
  <si>
    <t>反洗钱管理中心</t>
  </si>
  <si>
    <t>wxg fit支付线</t>
  </si>
  <si>
    <t>1. 完成反洗钱合规自检计划和指标优化方案设计（覆盖所有金融持牌子）
2. 开始4个专项自检项目</t>
  </si>
  <si>
    <t>1. 完成4个专项自检项目
2. 完成反洗钱合规指标的优化升级和落地排期</t>
  </si>
  <si>
    <t>1. 开始下半年的2-3个专项自检项目
2. 完成反洗钱合规指标的加工落地和系统迭代优化(财付通向小主体扩散的迭代思路)
3. 对上半年专项自检发现的问题事项进行确认和跟踪</t>
  </si>
  <si>
    <t xml:space="preserve">1. 完成下半年的2-3个专项自检项目
2. 完成反洗钱合规系统中自检板块的指标迭代更新
2. 年度合规自查总结
</t>
  </si>
  <si>
    <t>持牌主体反洗钱合规专项提升</t>
  </si>
  <si>
    <t>建立整改机制，推动一二三道防线落实整改方案</t>
    <phoneticPr fontId="8" type="noConversion"/>
  </si>
  <si>
    <t>基于外部监管检查发现和2道合规检查，区分合规性问题和有效性问题，搭建整改机制和设计整改链路和验收标准，定期推动整改成效</t>
  </si>
  <si>
    <t>1.建立跨部门协调机制，定期召开跨部门会议，同步风险，推动整改。
2.基于外部监管检查发现和2道合规检查，确认整改范围，整改责任人以及整改链路，以及整改验收标准
3.基于整改跟踪，反哺检查发现机制，不断完善从源头的检查，到下一步整改，以及整改验收的全链路</t>
  </si>
  <si>
    <t>viviansong
stellaliqin
aidenwang</t>
  </si>
  <si>
    <t>FIT风控
微信支付
手Q
FIT基础支付
FIT其他业务部门</t>
  </si>
  <si>
    <t>1.建立跨部门协调机制
2.梳理问题分类，确定整改方向
3.拉齐相关方，对齐整改目标以及整改标准</t>
  </si>
  <si>
    <t>1.定期输出整改报告
2.定期不定期同步风险，提升团队在公司的影响力。</t>
  </si>
  <si>
    <t>基于整改定期跟踪进展，协助从检查源头发现问题</t>
  </si>
  <si>
    <t>阶段性完成检查整改，进行相关风险收敛</t>
  </si>
  <si>
    <t>香港钱包反洗钱合规专项提升</t>
    <phoneticPr fontId="8" type="noConversion"/>
  </si>
  <si>
    <t>1. 香港钱包充分依据enforcement, desk-based review，借助desk-based review整改独立验证，深入、全面自检反洗钱合规有效性，确保这两项的监管发现、评估发现均实质整改完成，并举一反三，梳理漏洞
2. 提升香港钱包监管报表、管理报表的制式化与自动化
3. 重点梳理CDD和交易监控风险点并制定、推进执行整改与优化措施
4. 对已有机制和系统功能进行优化，例如交易监控场景评估和新增场景、交易监控系统功能完善、CDD系统功能和界面升级</t>
  </si>
  <si>
    <t xml:space="preserve">1. 完成外部审计发现整改项目和验证
2. 完成反洗钱合规风险点内部自查工作形成整改方案，并推动相关部门完成整改，包括机制和制度修订、流程和系统功能提升
3. 实现对2024年新监管报表模版的填报自动化，更新完善内部管理报表信息维度并生效启用，实现填报最大程度自动化
4. 与风控部达成交易监控场景提升方案，配合新交易监控系统上线同步生效实施；与风控部达成CDD审批系统功能提升方案，推动优化实施落地
</t>
  </si>
  <si>
    <t>Rickoduan
Meganguan</t>
  </si>
  <si>
    <t>FiT产品侧、风控侧、制裁风控侧</t>
  </si>
  <si>
    <t>1.3月31日前，完成整改全部项目
2. 3月31日， 初步自查梳理CDD及交易监控主要风险点进行总结汇报
3. 1月1日，开始系统性梳理HKMA 2025年CSP最新要求口径；
4. 2月10日启动合规检测制度和2025年检测方案草拟
5. 3月31日，推动初步达成交易监控场景评估和新增场景、交易监控系统功能完善规划</t>
  </si>
  <si>
    <t>1. 4月1日，启动整改相关的独立验证
2. 6月31日完成自查风险梳理总结及形成整改方案
3. 4月中旬，完成HKMA CSP数据口径梳理及2025Q1数据收集
4. 5月中旬完成合规检测制度和2025年检测方案拟定
5. 5月31日，定稿交易监控场景评估和新增场景、交易监控系统功能完善方案
6. 4月15日，开始梳理管理报表需求</t>
  </si>
  <si>
    <t>1. 9月30日完成整改相关的独立验证
2. 9月30日完成自查风险梳理的高风险事项整改
3. 7月1日开始执行合规检测年度方案
4. 8月31日， 建议监控系统完善方案正式上线
5. 8月1日， 启动CDD系统功能完善方案
6. 9月30日，管理报表梳理完成上线</t>
  </si>
  <si>
    <t>1. 12月31日完成自查风险梳理的全部整改
2. 12月31日，完成2025年合规检测
3. 12月31日， 完成CDD系统功能升级</t>
  </si>
  <si>
    <t>反洗钱与制裁IT系统和数据基础建设</t>
  </si>
  <si>
    <t>构建集团洗钱风险数据库</t>
    <phoneticPr fontId="8" type="noConversion"/>
  </si>
  <si>
    <t>从集团整体视角，收集获取内部风险排查案例和外部舆情风险信息沉淀洗钱风险灰黑案例库，支持集团风险排查聚合和风险传导的防范</t>
  </si>
  <si>
    <t>2025年H2名单库建立
2025年12月完成实现系统化</t>
  </si>
  <si>
    <t xml:space="preserve">
evelong
pacocheng</t>
  </si>
  <si>
    <t>S1办公室、安管、业务方</t>
  </si>
  <si>
    <t>1. 完成数据源的摸排和对接-获取数据
2. 拟定技术对接沉淀方案</t>
  </si>
  <si>
    <t>1.完成数据对接接口开发和数据库建设架构设计，产品方案设计
2. 完成灰黑风险数据后续使用的分级和使用链路设计</t>
  </si>
  <si>
    <t>1. 数据源注入
2. 数据信息质量校验</t>
  </si>
  <si>
    <t>1. 开始运行灰黑案例风险数据库的数据和后续使用的流程跑通和运维
2. 完成数据接口开发工作，和产品设计落地</t>
  </si>
  <si>
    <t>构建集团金融名单库体系，完善风险数据收集</t>
  </si>
  <si>
    <t>明确应纳入集团各金融主体日常监测的风险数据落库形式，搭建集团金融名单库体系。</t>
  </si>
  <si>
    <t>robbiegao
aidenwang</t>
  </si>
  <si>
    <t>1.梳理基础数据类型与相关方，完成基础数据汇总收集
2.与风险事件数据相关团队进行对接，初步了解数据情况</t>
  </si>
  <si>
    <t>对风险事件数据进行数据分析，确定可用范围和对接方案，完成数据汇总</t>
  </si>
  <si>
    <t>在汇总基础数据与风险事件数据基础上开展风险类型层次分析，输出差异化合规策略</t>
  </si>
  <si>
    <t>搭建洗钱与制裁风险动态视图</t>
    <phoneticPr fontId="8" type="noConversion"/>
  </si>
  <si>
    <t>1. 基于风险数据分析，风险图表呈现，构建集团洗钱风险看板支持管理层风险上升和沟通
2. 触达业务条线快速洞察业务涉及的洗钱&amp;制裁风险状况</t>
  </si>
  <si>
    <t>集团风险动态试图完成境内金融持牌主体（含跨境收单）、非金融、制裁模块的搭建</t>
  </si>
  <si>
    <t>amyhyli
evelong
cheeryma
sophieqzsu
ivyzzheng
aidenwang
Jettyan
Joyezhu
nancyjiao</t>
  </si>
  <si>
    <t>FIT风控
微信支付
手Q
FIT基础支付
FIT其他业务部门
TEG企业IT部
财付通数据平台组</t>
  </si>
  <si>
    <t>【境内反洗钱】
1. 数据源整合分析
2. 风险视图迭代规划
【国际反洗钱】
制裁：
1. 2月15日启动香港钱包计算资源获取和配置；
2. 3月31日前完成财付通交易维度监测看板；
跨境收单：
1.2月初启动数据治理项目，梳理一级商户KYC数据流转至业务底表、反洗钱系统的数据传输、处理环节和映射方式。</t>
  </si>
  <si>
    <t>【境内反洗钱】
1. 风险视图迭代开发
2. 风险视图使用链路搭建（user 管理，权限管理，使用层级划分）
【国际反洗钱】
制裁：
1. 5月31日前完成香港钱包交易、行业、经营范围监测看板；
2. 6月30日前完成ZHENXING交易维度监测看板，涉俄金融制裁看板整体完成；
跨境收单：
1. 6月30日前完成分析现行数据处理流程中的合规性Gap，提出合理化改进措施。
2.6月30日前完善业务底表数据校验策略，启动建立跨境收单的全量客户上中下游数据质量检验机制。</t>
  </si>
  <si>
    <t>【境内反洗钱】
1. 风险视图系统对接，推送（风险视图和反洗钱合规系统进行对接以及和其他必要的系统进行对接推送） 
【国际反洗钱】
跨境收单：
1. 根据境外KYC监测离线数据与系统化数据合流方案，初步实现数据看板化、可视化。
2. 9月30日前持续优化KYC风险看板监测指标，使指标和模型对于发现问题更精准有效。</t>
  </si>
  <si>
    <t>【境内反洗钱】
1. 风险视图的运维和调优，以及使用链路、的落地强化
【国际反洗钱】
跨境收单：
1. 12月31日前常态性优化KYC风险看板监测指标，使指标和模型对于发现问题更精准有效。</t>
  </si>
  <si>
    <t>反洗钱合规系统化管理升级</t>
    <phoneticPr fontId="8" type="noConversion"/>
  </si>
  <si>
    <t>扩展反洗钱合规系统化管理覆盖范围，进一步优化和提升系统功能与实际合规管理需求适配性，推进实现反洗钱合规管理系统与业务系统对接，切实提升集团反洗钱合规管理运营效率，强化业务合作，提升跨部门沟通效率</t>
  </si>
  <si>
    <t>1.基于合规管理需求优化系统功能，完成客户自检、产品评估、整改跟踪台账等功能模块迭代
2.复用反洗钱合规管理系统财付通板块功能，完成腾安、小贷对应功能模块优化
3.完成财付通模块机构洗钱风险自评估、反洗钱合规档案库两个新增功能模块迭代上线
4.扩展系统化合规管理覆盖范围到集团层面，完成集团洗钱风险管理系统功能上线，包括集团洗钱风险总览动态视图、舆情管理、风险专项排查管理、黑/灰名单库、产品洗钱风险控制地图等功能模块
5.推进反洗钱合规管理系统与微信业务系统对接，实现重要合规信息互传共享线上化</t>
  </si>
  <si>
    <t>evelong
xiaxiahuang</t>
  </si>
  <si>
    <t>业管
S1办公室
TEG企业IT部
微信支付</t>
  </si>
  <si>
    <t>1.完成机构洗钱风险自评估、反洗钱合规档案库功能模块上线
2.完成客户自检、产品评估、整改跟踪台账功能优化需求梳理</t>
  </si>
  <si>
    <t>1.完成客户自检、产品评估、整改跟踪台账功能优化上线
2.完成腾安、小贷系统功能优化迭代（复用财付通功能模块）
3.完成反洗钱合规管理系统与微信业务系统对接（第一阶段，对接客户自检模块）</t>
  </si>
  <si>
    <t>完成集团洗钱风险管理-舆情管理、风险专项排查管理、集团洗钱风险总览动态视图等3个功能模块上线</t>
  </si>
  <si>
    <t>完成集团洗钱风险管理-产品洗钱风险控制地图、黑/灰名单库2个功能模块上线</t>
  </si>
  <si>
    <t>制裁与国际反洗钱合规管理系统</t>
    <phoneticPr fontId="8" type="noConversion"/>
  </si>
  <si>
    <t>国际反洗钱：
1.与系统用户沟通需求，梳理需求逻辑；
2.获取当前缺少的数据权限，基于数据开发指标计算策略；
3.设计系统功能、界面，并与用户沟通确认；
4.与开发团队沟通系统需求，确认系统排期时间；
5.系统开发、测试、上线；</t>
  </si>
  <si>
    <t>国际反洗钱 -- 推出国际反洗钱风险指标监测系统与监管审计跟进监测系统</t>
  </si>
  <si>
    <t>Jettyan
Beiniyang、Jessicaxuxu</t>
  </si>
  <si>
    <t>TEG企业IT部
财付通数据平台组</t>
  </si>
  <si>
    <t>国际反洗钱：
1. 1月1日启动制裁与国际反洗钱合规管理系统用户沟通确认需求；
2. 3月31日前完成香港钱包和ZHENXING风险报告客户分类指标取数逻辑开发；</t>
  </si>
  <si>
    <t>国际反洗钱：
1. 4月30日前完成制裁与国际反洗钱合规管理系统功能和界面初步方案设计；
2. 5月15日启动与企业IT需求沟通，开发排期；</t>
  </si>
  <si>
    <t>9月30日前推动企业IT完成制裁与国际反洗钱合规管理系统开发上线</t>
  </si>
  <si>
    <t>1. Q4持续测试、迭代优化制裁与国际反洗钱合规管理系统；</t>
  </si>
  <si>
    <t>反洗钱与制裁合规管理提升</t>
  </si>
  <si>
    <t>金融持牌主体篩查名單邏輯標準化</t>
    <phoneticPr fontId="8" type="noConversion"/>
  </si>
  <si>
    <t>1.从集团层面检阅、梳理名单资料库Dow Jones的筛查名单涵盖范围，明确FIT各金融持牌主体（包括财付通，WPHK，ZX，WPEU及Tenpay Global等）在最低标准下需筛查的名单范围，以确保附合集团的政策要求。制定集团层面的筛查名单筛选指引。
2.与FIT制裁风控部瞭解FIT各金融持牌主体现有的筛查名单筛查范围，并与集团新订立的筛查名单范围进行对比、分析新旧筛查范围的差异。
3. 与相关团队介绍集团新订立的最低筛查名单范围并徵求意见。在执行新的筛查名单前，由FiT筛查风控部进行UAT测试、验证、数据分析，以确保在新的筛查名单逻辑下不会为生产数据带来挑战。
4. 定期更新集团层面的筛查名单筛选指引，并要求FIT各金融持牌主体根据指引内容，按新的名单筛查范围执行日常扫描任务。</t>
  </si>
  <si>
    <t>1. 制定集团层面的筛查名单筛选指引。
2. 与FIT金融持牌主体沟通，制定金融持牌主体筛查名单逻辑优化更新计划，包括执行新的筛查名单逻辑前进行UAT测试，验证，数据分析，以确保在新的筛查名单逻辑下不会为生产数据上的挑战</t>
  </si>
  <si>
    <t>Clorischiu
Olegyang</t>
  </si>
  <si>
    <t>财付通制裁风控侧、
FIT金融持牌主体合规人员 （Tenpay，WPHK，ZX，WPEU，Tenpay Global）</t>
  </si>
  <si>
    <t>1. 1月1日起，启动检阅名单资料库Dow Jones的筛查名单涵盖范围，明确FIT各金融持牌主体（包括财付通，WPHK，ZX，WPEU及Tenpay Global等）在最低标准下需筛查的名单范围。
2. 3月31日前与FiT制裁风控部了解各金融持牌主体现有的筛查名单。
3. 3月31日前得出各金融持牌主体的筛查名单范围数据的前后对比</t>
  </si>
  <si>
    <t>1. 4月1日起，启动与FiT制裁风控部，各金融持牌主体介绍集团新订立的筛查名单范围， 收集意见。
2. 6月30日前 对新的筛查名单逻辑前进行UAT测试，验证，数据分析。（如有范围变化）</t>
  </si>
  <si>
    <t>1. 7月1日起启动集团的筛查名单选择规则指引更新/发布。
2. 9 月30日前要求FIT各持牌主体根据指引内容，按新的名单筛查范围执行日常扫描任务。</t>
  </si>
  <si>
    <t>nil</t>
  </si>
  <si>
    <t>提升投并与独立运营子公司制裁筛查能力，搭建差异化、精细化的子公司制裁合规管理体系</t>
    <phoneticPr fontId="8" type="noConversion"/>
  </si>
  <si>
    <t>1.搭建投并制裁筛查专有系统
2.将并表类子公司纳入集团制裁筛查系统
3.针对重点子公司重点投入资源，提升制裁合规有效性
4.在已建立集团对非持牌子公司制裁合规标准化指引的基础上，进一步细化对不同经营类型非持牌子的管理策略，以适配其风险情况</t>
  </si>
  <si>
    <t>1. 实现投并制裁筛查系统的搭建，完成系统搭建、数据接口联调、测试上线.
2. 推动并表类投资公司数据纳入集团集中扫描方案的落地。推动各子公司签订授权合同、梳理数据获取路径、实现接口联调，并最终上线运营。
3.  针对上市和持牌子公司（独立运营子公司）重点管理，建立清晰的有效性检测标准，开展IP封禁+制裁扫描有效性检验工作，提升管理质效
4. 深入分析境内外重点投资公司制裁风险，综合地域分布、监管环境、行业特征和业务属性等因素，梳理子公司类别和层级划分标准；合理制定各类型子公司的制裁风险管控策略，输出相关管理指引</t>
  </si>
  <si>
    <t>Cindyqingli
Leonxiang</t>
  </si>
  <si>
    <t>IEGG、集团法务、各子公司</t>
  </si>
  <si>
    <t>1.1月31前，启动项目，完成系统建设的合同流程、就系统搭建项目启动涉及的资源和技术支持进行预沟通
2.2月15日前，启动项目，推动子公司授权协议签订，启动与投资域就数据、对接方式的沟通
3.3月31日，完成有效性检测标准的初稿，启动检测工作预沟通。</t>
    <phoneticPr fontId="8" type="noConversion"/>
  </si>
  <si>
    <t>1.6月30日前，启动系统搭建、完成名单范围、筛查逻辑、数据对接逻辑的梳理等系统搭建等前提准备工作。
2.5月30日前，启动数据联调工作。
3. 5月30日前，协调IEGG确认LN续费、增补等事宜
4. 5月20日前，完成非持牌游戏投资子的业态及制裁风险暴露情况梳理，根据业务实际情况划分合理的风险等级</t>
  </si>
  <si>
    <t>1.9月25日前，完成系统测试及上线等建设工作
2.9月30日前，实现系统联调、开展测试。
3. 9月30日前，进一步优化非持牌子公司的制裁合规指导细则，为重点非持牌子输出原则性的合规指引</t>
  </si>
  <si>
    <t>1.12月10日前，正式运营并持续优化
2. 12月30日前，完成数据对接，正式纳入集团筛查范围
3.12月31日前，完成有效性检测工作、完成差距分析报告，并汇报管理层
4. 12月31日前，督促完成非持牌游戏投资子年度制裁合规履职并回收履职证明和问卷</t>
  </si>
  <si>
    <t>按类型全面实施集团IP封禁有效性全量监测，搭建集团制裁合规IP子库统一中台</t>
    <phoneticPr fontId="8" type="noConversion"/>
  </si>
  <si>
    <t>1.集团IP封禁执行有效性全量监测（域名封禁+服务器封禁），实现分类、多角度、技术化手段跟进
2.提升集团IP封禁使用IP库的统一性、专业性，搭建IP子库中台</t>
  </si>
  <si>
    <t>1. 域名IP风险实施全量自动化日常监测：与PCG/IEG合作，搭建与实施持续性监测工具与平台，监控GSLB/DNSPOD平台解析域名封禁有效性，分步骤上线实施；完成6大BG之外组织架构所属域名的确认与补充封禁
2. 服务器封禁监测：按照产品类型定期开展服务器封禁监测，跟进VPN检测开发需求
3. 高风险重点监测：对国际云新增产品及时检查、存量国际云产品定期回溯
4.就全面制裁国家/地区的IPIP库中IP段，联合IT团队建立单独的制裁合规IP子库统一中台</t>
    <phoneticPr fontId="8" type="noConversion"/>
  </si>
  <si>
    <t>Joyezhu
Jessicaxuxu</t>
  </si>
  <si>
    <t>PCG安全运营组、IEG/IEGG技术与合规团队、GSLB团队、DNSPOD团队</t>
  </si>
  <si>
    <t xml:space="preserve">
1.1月1日起，启动GSLB全量域名有效性监测数据权限获取、无需封禁数据打标工作，3月31前完成
2.1月1日起，启动6大BG之外组织架构所属域名确认与补充封禁跟进，检视6大BG需封禁域名补充封禁情况；3.3月31日前完成6大BG之外组织架构所属域名确认与补充封禁跟进，并确保6大BG域名已补充封禁完毕
4.3月31前，跑通国际云新增产品定期检查机制</t>
  </si>
  <si>
    <t>1.4月30日前，理顺GSLB全量域名有效性监测平台逻辑
2.6月30日前，完成GSLB全量域名有效性监测平台正式上线运行
3.定期跟进VPN检测开发需求进度
4.定期跟进制裁合规IP子库中台建设进度
5.6月30日前，跑通国际云新增产品定期检查机制</t>
  </si>
  <si>
    <t>1.7月1日起，启动DNSPOD平台全量域名有效性监测数据权限获取、无需封禁数据打标工作，9月30日前完成
2.完成本季度国际云新增产品及存量产品俄罗斯IP封禁回溯检查
3.9月1日起，启动年度服务器封禁2道防线检查
3.定期跟进VPN检测开发需求进度
4.定期跟进制裁合规IP子库中台建设进度</t>
  </si>
  <si>
    <t>1.10月31日前，理顺DNSPOD全量域名有效性监测平台逻辑
2.12月31日前，完成DNSPOD全量域名有效性监测平台正式上线运行
3.12月31日前，输出服务器封禁2道防线检查总结
4.完成本季度国际云新增产品及存量产品俄罗斯IP封禁回溯检查
5.定期跟进VPN检测开发需求进度
6.定期跟进制裁合规IP子库中台建设进度</t>
  </si>
  <si>
    <t>自建并向BG推送制裁高风险名单库，推动制裁管控能力前移</t>
  </si>
  <si>
    <t>1、从集团层面建立适用于非金融业务的制裁黑名单库。
2、推动集团非金融业务前置制裁识别、管控。</t>
  </si>
  <si>
    <t>自建集团制裁黑名单库，并分享给相关业务团队。供业务在客户入驻时拦截或引入制裁合规审核。
一期规划：实现人工添加/推送的模式。初期主要覆盖有较高风险的制裁项目，例如涉俄制裁项目的境内主体。
二期规划：建立系统，通过系统承载，并与业务系统交互。</t>
  </si>
  <si>
    <t>Olegyang
Cindyqingli</t>
  </si>
  <si>
    <t>TEG企业IT部，各业务团队（产品、法务），制裁法务</t>
  </si>
  <si>
    <t xml:space="preserve">1. 3月31日前，完成黑名单库表字段设计，确定黑名单库覆盖内容。
2. 3月31日前，与各业务团队、TEG团队完成握手，确定业务接入黑名单库的范围。
</t>
  </si>
  <si>
    <t>1. 5月31日前，制定业务命中黑名单库的管控流程。 
2. 6月30日前，黑名单一期库表上线
3. 5月31日前，同步开展黑名单库表二期与TEG完成黑名单系统设计方案</t>
  </si>
  <si>
    <t xml:space="preserve">1. 8月31日前，开展黑名单库表二期与业务系统对接联调测试工作。
</t>
  </si>
  <si>
    <t>1. 12月15日前，黑名单系统上线
2. Q4 不断优化黑名单库相关功能</t>
  </si>
  <si>
    <t>优化跨境收单业务合规管理，加强合规策略的可解释性和可落地性</t>
  </si>
  <si>
    <t>1、根据业务实际展业需求，全面梳理当前高风险国家G级子商户管控方面存在的问题，建立事前管控与事后管控相结合的新管理体系。
2、根据监管走访意见和内部审计发现，关注重点领域的风险，对齐行业最佳实践，强化一级商户与子商户风险传导与管控机制。</t>
  </si>
  <si>
    <t>1. 根据监管走访意见与内部审计发现，梳理重点领域的合规gap，拉通各团队制定清晰的整改方案，推动相关团队开展整改，并跟进相关整改效果的验证。
2. 在建立跨境收单进件标准基础上，根据业务发展和监管环境变动情况，参考地域类型、合作机构属性等风险因素，输出针对不同类型境外机构子商户差异化的洗钱风险管理策略。</t>
  </si>
  <si>
    <t>Nancyjiao
Leonxiang</t>
  </si>
  <si>
    <t>微信境外业务侧、风控侧、境内法务侧、境外法务侧、PA侧</t>
  </si>
  <si>
    <t>1. 3月28日前，完成微信支付跨境收单子商户特殊审批流程的意见征询和跨团队协调</t>
  </si>
  <si>
    <t>1. 根据监管正式走访意见，启动对监管检查或内部审计发现（如有）相关反洗钱问题的梳理工作，重点关注机构商与子商户风险传导机制的梳理与完善。
2. 视监管意见完善子商户特批标准与流程。</t>
  </si>
  <si>
    <t>1. 根据业务实际展业需求，9月20日前全面梳理当前高风险国家G级子商户管控方面存在的问题，建立事前管控与事后管控相结合的新管理体系。
2. 9月30日前根据对监管检查和内部审计发现问题的梳理情况，拉通各相关团队制定清晰的整改方案并推动实施。</t>
  </si>
  <si>
    <t>1.根据业务需求，在满足公司风险偏好基础上，通过调研等手段拉齐行业最佳实践，优化商户管理制度流程，强化合规策略的可解释性和可落地性。
2. 12月31日前继续推动监管发现和内审发现问题的整改，跟进相关整改效果的验证。</t>
  </si>
  <si>
    <t>金融模型有效性评估专项</t>
    <phoneticPr fontId="8" type="noConversion"/>
  </si>
  <si>
    <t>基于反洗钱履职有效性基本要求，依托外部咨询机构数据分析能力，对财付通现行可疑交易监测模型和客户洗钱风险等级模型进行专项评估</t>
  </si>
  <si>
    <t>1.构建支付持牌子的可疑交易模型，客户洗钱风险评估模型，以及其他洗钱风险管理相关模型的模型有效性评估流程体系和指标， 输出二道防线独立的模型有效性评估方法论
2.可落地、可实施，完成评估报告。</t>
  </si>
  <si>
    <t>amyhyli
evelong
xuegeng
---
robbiegao
aidenwang</t>
  </si>
  <si>
    <t>N/A</t>
  </si>
  <si>
    <t>1. 咨询公司入场，模型有效性评估项目方案拟定
2. 启动评估和前序资料收集</t>
  </si>
  <si>
    <t>1. 完成模型有效性方法论设计
2. 基于方法论开展一个模型试点评估</t>
  </si>
  <si>
    <t>1. 完成一个模型的评估工作
2.配套梳理相关制度和报告</t>
  </si>
  <si>
    <t>1. 持续推进模型有效性评估对集团模型的覆盖率
2. 通过汇报机制，整改机制， 优化机制等加强模型有效性输出信息的运用</t>
  </si>
  <si>
    <t>检测机制持续优化</t>
  </si>
  <si>
    <t>1、以上一年度引入的风险评估方法与工具为基础，联动五部门各团队整合更新十大风险清单；
2、业管侧主动引入更丰富的风险评估因子，进行独立打分，并与五部门各团队评估的风险清单结果进行权重分配，综合评估整体风险情况；
3、以综合风险评估结果为依据，确定下一年度检测计划，检测范围全面覆盖所有金融职能支持团队；
4、回顾检测机制升级以来的关键成果，探究与合规风险预警平台的链接方式，以整体风险清单和检测发现问题为抓手反哺预警平台发挥作用。</t>
    <phoneticPr fontId="8" type="noConversion"/>
  </si>
  <si>
    <t>1、Q1:输出各团队与业管综合评估后的年度风险清单；
2. 全年：检测项目制定：开展2-3个常规检测项目；2-3个范围集中、周期短、反馈快的专项项目（fast testing）
3.Q3-Q4:提取风险清单与检测发现问题的关键信息，为风险预警合规平台提供信息支持；</t>
    <phoneticPr fontId="8" type="noConversion"/>
  </si>
  <si>
    <t>chrisycchu,chrissyyu,ivyjyding</t>
  </si>
  <si>
    <t>金融法律合规部、金融业务公共事务部、反洗钱与制裁合规部、集团消费者权益保护部、合规交易部</t>
  </si>
  <si>
    <t>确定全年检测项目；</t>
    <phoneticPr fontId="8" type="noConversion"/>
  </si>
  <si>
    <t>持续跟踪检测项目执行情况</t>
    <phoneticPr fontId="8" type="noConversion"/>
  </si>
  <si>
    <t>提取上一年度与本年度检测项目和风险长清单收集的关键信息，输出合规风险预警平台所需内容。</t>
    <phoneticPr fontId="8" type="noConversion"/>
  </si>
  <si>
    <t>1、中心维度风险长清单
2、2026年度检测项目计划
3、评估提权关键信息与合规风险预警平台的链接方式；</t>
  </si>
  <si>
    <t>合规检测项目开展</t>
    <phoneticPr fontId="8" type="noConversion"/>
  </si>
  <si>
    <t>1.对境内持牌主体开展至少3项合规检测项目；对境外持牌主体开展至少2项合规检测项目。
2.重点关注一、二道防线工作的合规性和有效性。
3.有效识别支付、金融、非金融等主体的合规体系与监管要求和集团要求之间的差异并进行风险提示、合规建议。</t>
    <phoneticPr fontId="8" type="noConversion"/>
  </si>
  <si>
    <t>按期完成各项检测项目。</t>
  </si>
  <si>
    <t>chrisycchu，chrissyyu,ivyjyding，katiewong，maycen，lukayin，linhan</t>
  </si>
  <si>
    <t>合规交易部、金融法律合规部、金融业务公共事务部、反洗钱与制裁合规部、集团消费者权益保护部</t>
  </si>
  <si>
    <t>1、完成项目启动，设计调研问卷；
2、正式发出检测通知，预约开展访谈工作；
3、根据问卷及检测范围初步制定检测方案；
4、根据方案推进检测工作；</t>
  </si>
  <si>
    <t>1、根据方案持续推进检测工作；</t>
  </si>
  <si>
    <t>1、完成项目检查与汇报；
2、完成项目后评价。
3、持续跟进团队整改计划与进度。
4、完成项目归档。</t>
  </si>
  <si>
    <t>反诈合规履职工作框架及机制明确</t>
  </si>
  <si>
    <t>1. 完成反诈合规履职工作框架的确定，完成内部确认；
2. 就合规履职工作框架完成内部工作机制的确认。</t>
  </si>
  <si>
    <t>协助团队推进反诈合规框架、工作机制落地及合规整改跟进</t>
  </si>
  <si>
    <t>ivyjyding</t>
  </si>
  <si>
    <t>金融法律合规部、金融业务公共事务部、反洗钱与制裁合规部、集团消费者权益保护部</t>
  </si>
  <si>
    <t>1. 完成反诈合规框架的确认
2. 完成反诈合规内部工作机制的明确</t>
  </si>
  <si>
    <t>消保合规框架及一号位梳理支持</t>
  </si>
  <si>
    <t>1. 协助团队完成投诉工作移交的衔接
2. 协助团队推进清晰框架的输出</t>
  </si>
  <si>
    <t>形成各主体消保各板块一号位工作板块框架</t>
  </si>
  <si>
    <t>linhan</t>
    <phoneticPr fontId="8" type="noConversion"/>
  </si>
  <si>
    <t>集团消费者权益保护部
金融法律合规部</t>
  </si>
  <si>
    <t>1. 协助团队完成各主体消保各板块一号位工作板块框架制定及沟通
2. 协助团队推进投诉工作交接</t>
  </si>
  <si>
    <t>推动团队完成一号位细节梳理及相关团队确认</t>
  </si>
  <si>
    <t>nil</t>
    <phoneticPr fontId="8" type="noConversion"/>
  </si>
  <si>
    <t>财付通一号位梳理及合规闭环流程制定</t>
  </si>
  <si>
    <t>1. 协助团队完成财付通各板块一号位梳理
2. 根据一号位完成金融职能支持团队内部闭环流程制定</t>
  </si>
  <si>
    <t>形成财付通主体合规有效性框架，确保支付合规整体大盘无重大风险，内部协同顺畅高效</t>
  </si>
  <si>
    <t>lukayin，ivyjyding</t>
  </si>
  <si>
    <t>协助团队完成财付通一号位工作板块框架制定</t>
  </si>
  <si>
    <t>基于一号位框架完成S1职能支持团队内部分工及各方确认</t>
  </si>
  <si>
    <t>完成财付通支付业务合规闭环流程</t>
  </si>
  <si>
    <t>持续加强制裁合规日常管理</t>
    <phoneticPr fontId="8" type="noConversion"/>
  </si>
  <si>
    <t>1. 持续跟进全球制裁法律与监管动向，分析解读政策，更新相关制度与指引
2. 持续维护、更新名单监测系统及系统的定期验证，确保名单监测的持续有效
3. 持续支持对业务、产品的制裁合规评审和日常咨询
4. 及时排查制裁风险并及时、适当控制风险，推进涉俄制裁风险定期取数分析与风险看板机制建设
5. 持续开展制裁相关培训与宣导</t>
  </si>
  <si>
    <t xml:space="preserve">
1. 集团层面制裁政策按期完成年检更新；
2. 持续进行制裁合规日常管理工作，制裁合规咨询及时、专业，及时性方面没有投诉，不产生因咨询意见专业性不够导致的损失
3. 重大风险得到排查及管控
4. 全年至少有一次集团层面制裁培训</t>
  </si>
  <si>
    <t>Clorischiu
Cindyqingli
Joyezhu
Olegyang</t>
  </si>
  <si>
    <t xml:space="preserve">
各BG合规官、S1法务；FIT制裁团队</t>
  </si>
  <si>
    <t xml:space="preserve">
1. 3月31日前，输出Q1集团非金融扫描系统的系统有效性测试及非金融扫描质检季度报告。
2.完成舆情监测制度年度重检工作，按月完成质检。
3.完成董办&amp;财管发起的制裁问卷；董监高离线筛查。
4.集团高风险国家/地区清单动态更新
5.持续做好各项制裁合规集团管理，及时识别并管控重大制裁合规风险；
持续支持制裁合规日常咨询</t>
  </si>
  <si>
    <t xml:space="preserve">
1.6月30日前，输出Q2集团非金融扫描系统的系统有效性测试及非金融扫描质检季度报告。
2. 按月完成舆情警报质检。
3.6月30日前完成《腾讯集团制裁筛查指引》及相关附件年度重检
4.完成董办&amp;财管发起的制裁问卷；董监高离线筛查。
5.集团高风险国家/地区清单动态更新
6.持续做好各项制裁合规集团管理，及时识别并管控重大制裁合规风险；持续支持制裁合规日常咨询</t>
  </si>
  <si>
    <t xml:space="preserve">
1. 9月30日前，输出Q3集团非金融扫描系统的系统有效性测试及非金融扫描质检季度报告。
2.7月30日前完成集团IP封禁exception年度重检；9月30日前完成集团高风险国家/地区指引年度重检。
3.按月完成舆情警报质检。
4.完成董办&amp;财管发起的制裁问卷；董监高离线筛查
5.集团高风险国家/地区清单动态更新
6.持续做好各项制裁合规集团管理，及时识别并管控重大制裁合规风险；持续支持制裁合规日常咨询
</t>
  </si>
  <si>
    <t xml:space="preserve">
1. 12月31日前，输出Q4集团非金融扫描的系统有效性测试及非金融扫描质检季度报告。
2.12月31日前完成集团制裁政策年度重检
3. 按月完成舆情警报质检。
4.完成董办&amp;财管发起的制裁问卷
5.集团高风险国家/地区清单动态更新
6.持续做好各项制裁合规集团管理，及时识别并管控重大制裁合规风险；持续支持制裁合规日常咨询
</t>
  </si>
  <si>
    <t>持续加强境外反洗钱合规日常管理</t>
    <phoneticPr fontId="8" type="noConversion"/>
  </si>
  <si>
    <t>1. 持续跟进境外持牌机构所在地反洗钱法律与监管动向，分析解读政策，集团层面拉通国际反洗钱合规最低准则，各主体持续更新相关制度与指引
2. 持续支持对业务、产品的反洗钱合规评审和日常咨询
3. 持续开展反洗钱相关培训
4. 跟进并整改反洗钱合规相关检查、评估、审计发现</t>
  </si>
  <si>
    <t xml:space="preserve">
1. 集团层面建立国际反洗钱合规最低准则
2. 境外持牌机构按期完成年检更新；对新监管政策有差距分析并相应更新反洗钱政策，各主体梳理明确本机构反洗钱合规制度树
3. 反洗钱合规咨询积极回应、专业，回应性方面没有投诉，不产生因咨询意见专业性不够导致的监管投诉或经济损失
4. 每家境外持牌机构至少有一次年度反洗钱合规培训
5. 境外持牌机构反洗钱合规整改无遗漏
6.针对触碰资金的非持牌主体，以风险为本为原则实施反洗钱措施；针对海外游戏业务，提供反洗钱相关咨询，提供管控措施和方案</t>
  </si>
  <si>
    <t>Jessicaxuxu
Beini Yang
Binkyang
Rickoduan
Meganguan</t>
  </si>
  <si>
    <t>FiT产品、风控；各境外持牌主体业务、风控</t>
  </si>
  <si>
    <t>1. 集团层面启动建立国际反洗钱合规最低准则
2.【ZX/TP】持续推动完善ZX/TP反洗钱体系机制，并为产品创新/运营、客户尽调、交易监测、风险处置、监管数据报送、协议审核等提供反洗钱合规支持。
3.【米大师】（1）1月1日持续HS的IRA项目及审计项目；根据审计团队通知时间，配合CT在25年反洗钱专项审计和NFTF 审计相关工作；（2）持续为米大师反洗钱日常工作提供支持和合规方案；
4. 【WPHK】持续为新产品上线和现有产品扩张提供反洗钱咨询和合规方案                 5. 【WPEU】持续为新商务模型/产品提供反洗钱咨询和合规方案。持续为WPEU反洗钱日常工作提供支持和合规方案；
【非金融】
1.持续-针对海外游戏业务的新产品等，提供反洗钱咨询以及合规方案；
2.持续-持续处理除游戏以外的海外产品IPC事项。</t>
  </si>
  <si>
    <t>1.发布集团层面国际反洗钱合规最低准则
2.【ZX/TP】持续推动完善ZX/TP反洗钱体系机制，并为产品创新/运营、客户尽调、交易监测、风险处置、监管数据报送、协议审核等提供反洗钱合规支持。
3.【米大师】（1）4月1日持续HS的IRA项目及审计项目以及后续整改；根据审计团队通知时间，配合CT在25年反洗钱专项审计和NFTF 审计相关工作；（2）持续为米大师反洗钱日常工作提供支持和合规方案；
4. 【WPHK】持续为新产品上线和现有产品扩张提供反洗钱咨询和合规方案
5. 【WPEU】持续为新商务模型/产品提供反洗钱咨询和合规方案。持续为WPEU反洗钱日常工作提供支持和合规方案；
【非金融】
1.持续-针对海外游戏业务的新产品等，提供反洗钱咨询以及合规方案；
2.持续-持续处理除游戏以外的海外产品IPC事项。</t>
  </si>
  <si>
    <t>1. 各持牌主体应用集团国际反洗钱合规最低准则，相应更新完成本主体政策
2.【ZX/TP】持续推动完善ZX/TP反洗钱体系机制，并为产品创新/运营、客户尽调、交易监测、风险处置、监管数据报送、协议审核等提供反洗钱合规支持。
3.【米大师】（1）7月1日完成HS的IRA项目及审计项目的整改；CT预备启动EWRA；MPE 9月1日，启动SIRA（2）持续为米大师反洗钱日常工作提供支持和合规方案；
4. 【WPHK】持续为新产品上线和现有产品扩张提供反洗钱咨询和合规方案
5. 【WPEU】9月1日，启动SIRA；持续为新商务模型/产品提供反洗钱咨询和合规方案。持续为WPEU反洗钱日常工作提供支持和合规方案；
【非金融】
1.持续-针对海外游戏业务的新产品等，提供反洗钱咨询以及合规方案；
2.持续-持续处理除游戏以外的海外产品IPC事项。</t>
  </si>
  <si>
    <t>1.【ZX/TP】持续推动完善ZX/TP反洗钱体系机制，并为产品创新/运营、客户尽调、交易监测、风险处置、监管数据报送、协议审核等提供反洗钱合规支持。
2.【米大师】（1）10月1日起，CT启动EWRA；（2）持续为米大师反洗钱日常工作提供支持和合规方案；
3. 【WPHK】持续为新产品上线和现有产品扩张提供反洗钱咨询和合规方案
4. 【WPEU】持续为新商务模型/产品提供反洗钱咨询和合规方案。持续为WPEU反洗钱日常工作提供支持和合规方案；
【非金融】
1.持续-针对海外游戏业务的新产品等，提供反洗钱咨询以及合规方案；
2.持续-持续处理除游戏以外的海外产品IPC事项。</t>
  </si>
  <si>
    <t>微信支付跨境业务日常合规支持</t>
    <phoneticPr fontId="8" type="noConversion"/>
  </si>
  <si>
    <t>为微信支付应对境外国家级新战略（如东亚互联互通），以及对标主要友商新的竞争行为所拓展的新业态，提供洗钱风险管理支持</t>
  </si>
  <si>
    <t>1. 支持微信支付跨境业务（跨境人民币渠道和外汇渠道）的反洗钱日常合规评估与审核工作；
2. 支持业务的模式创新和新地区展业，配合完成相关洗钱风险评估和建立保障机制</t>
  </si>
  <si>
    <t>Leonxiang
nancyjiao</t>
  </si>
  <si>
    <t>财付通境外业务侧、风控反洗钱侧、集团制裁侧、风控制裁侧、境内法务、境外法务、境内PA</t>
  </si>
  <si>
    <t>1. 持续支持微信支付展业各类合同、协议、特殊业务（如预付充值类）的审核，就业务数据流、资金流的安排及机构权责协议等持续提供合规咨询意见；
2. 持续支持无金融牌照机构等高风险客户入驻合规评估，为各类例外情形、风险情形审批出具合规意见；
3. 3月28日前，支持微信支付新业态（如接入卡组织）的前期评审与调研工作。</t>
  </si>
  <si>
    <t xml:space="preserve">1. 持续支持微信支付展业各类合同、协议、特殊业务的审核，就业务数据流、资金流的安排及机构权责协议等持续提供合规咨询意见；
2. 6月27日前，支持创新业务模式（如国家网关）上线前的风险评审，在风险可控基础上，合理评定同类风险国家并提供风险管理建议；
3. 持续支持无金融牌照机构等高风险客户入驻合规评估，为各类例外情形、风险情形审批出具合规意见。
</t>
  </si>
  <si>
    <t>1. 持续支持微信支付展业各类合同、协议、特殊业务的审核，就业务数据流、资金流的安排及机构权责协议等持续提供合规咨询意见；
2. 9月27日前，联动境外法务，建立境外监管调整对跨境收单的法规要求后（如越南），洗钱风险评估和建议管控机制的适配流程；
3. 持续支持无金融牌照机构等高风险客户入驻合规评估，为各类例外情形、风险情形审批出具合规意见。</t>
  </si>
  <si>
    <t>1. 持续支持微信支付展业各类合同、协议、特殊业务的审核，就业务数据流、资金流的安排及机构权责协议等持续提供合规咨询意见；
2. 12月31日前，根据加拿大新支付法案，配合CFT/ZX为达成加拿大牌照新规而启动的合同/法律关系评估，明确相关的洗钱风控和管理义务细则；
3. 持续支持无金融牌照机构等高风险客户入驻合规评估，为各类例外情形、风险情形审批出具合规意见。</t>
  </si>
  <si>
    <t>制裁与国际反洗钱数据与系统日常维护与优化</t>
    <phoneticPr fontId="8" type="noConversion"/>
  </si>
  <si>
    <t>1.根据舆情部门爬取的国际支付行业反洗钱监管处罚案例，定期更新小马BI监管处罚案例库；
2.根据更新的非金融业务数据，定期更新小马BI集团非金融涉俄业务分布风险看板；
3.国际反洗钱、制裁合规管理日常系统和数据支持；</t>
  </si>
  <si>
    <t>1.按季度更新小马BI国际支付行业反洗钱监管处罚案例库；
2. 按月完成集团非金融涉俄业务分布风险看板的更新；
3.支持国际反洗钱、制裁合规管理日常数据工作；</t>
  </si>
  <si>
    <t>Jettyan
Olegyang</t>
  </si>
  <si>
    <t xml:space="preserve">S1数字舆情部
S2财经团队
</t>
  </si>
  <si>
    <t xml:space="preserve">【支付行业反洗钱监管处罚案例库】
1.持续按季度更新维护案例库数据；
【非金融看板】
1. 持续按月完成风险看板数据更新；
2. 如有新增风险情况，制定控制风险方案，并跟进落实。
</t>
  </si>
  <si>
    <t>日常调证数据处理</t>
    <phoneticPr fontId="8" type="noConversion"/>
  </si>
  <si>
    <t>支持深圳/各个属地/央行人行下发的反洗钱调证需求数据处理和提供</t>
  </si>
  <si>
    <t>按照调证函件要求准时，准确，高效的提供相关数据信息</t>
  </si>
  <si>
    <t>evelong
cheeryma</t>
    <phoneticPr fontId="8" type="noConversion"/>
  </si>
  <si>
    <t>-</t>
  </si>
  <si>
    <t>完成当季调证需求</t>
  </si>
  <si>
    <t>监管系统需求处理</t>
    <phoneticPr fontId="8" type="noConversion"/>
  </si>
  <si>
    <t>支持监管系统建设需求的有序落地</t>
  </si>
  <si>
    <t>基于监管对系统建设的需求确保系统建设准时符合监管预期的交付</t>
  </si>
  <si>
    <t>办公室
TEG 开发团队</t>
  </si>
  <si>
    <t>基于监管需求完成系统建设需求</t>
  </si>
  <si>
    <t>境内金融反洗钱合规管理和支持工作</t>
    <phoneticPr fontId="8" type="noConversion"/>
  </si>
  <si>
    <t>1.为加强内控ICI工作管理，根据《监管期望2024》、《金融业反洗钱监管策略2024》以及2024监管走访意见修订《内控ICI行动指南》，并基于指南制定各主体内控工作计划，推动落实。
2.及时跟踪修订合规策略，完成策略部署，为各业务侧提供合规咨询意见，指导相关反洗钱工作开展。
3.积极支持监管部门工作，输出行业影响力，并为内部关联部门提供业务支持，保障公司金融业务有序发展。</t>
  </si>
  <si>
    <t>1.修订内控行动指南，按计划开展境内各金融主体内控工作并留档
2.根据法律法规输出合规策略，完善相关制度体系，并为业务部门提供合规咨询服务
3.建立反洗钱机要管理系统，开展合规档案管理与调阅服务
4.支持深圳反洗钱专业委员会工作以及为兄弟部门提供相关业务支持</t>
  </si>
  <si>
    <t>viviansong
willfzhou
robbiegao
ivyzzheng
sophieqzsu
stellaliqin
aidenwang</t>
  </si>
  <si>
    <t>FIT风控
微信支付
手Q
FIT基础支付
其他业务部门</t>
  </si>
  <si>
    <t>按计划和需求完成日常工作</t>
  </si>
  <si>
    <t>3、监管环境沟通维护良好</t>
  </si>
  <si>
    <t>优化金融监管沟通机制和积极开展调查研究</t>
    <phoneticPr fontId="8" type="noConversion"/>
  </si>
  <si>
    <t>聚焦于与监管机构和内部团队的紧密合作。对外，要加强与反洗钱局及关键分支的沟通，准确把握监管需求，并主动展示内部成果，以获得监管认可。对内，需强化与各部门防线的协调，确保资源的高效调配，全力配合监管工作。同时，深化支付业务调研，以赢得更多监管支持及业务好评。</t>
  </si>
  <si>
    <t>1.搭建完备的金融反洗钱PA沟通机制
2.做好监管重要课题的牵头组织引导工作，全年争取不少于2项监管重要课题话题
3.做好业务调研，积极开展监管沟通，争取有利政策环境</t>
  </si>
  <si>
    <t>stellaliqin
aidenwang</t>
  </si>
  <si>
    <t>FIT风控
微信支付</t>
  </si>
  <si>
    <t>搭建完备的金融反洗钱监管沟通机制</t>
  </si>
  <si>
    <t>1.力争取获得1项监管重要课题话题。
2.力争组织内部提交1篇重要课题调研。</t>
  </si>
  <si>
    <t>1.获得监管对反洗钱合规部工作的认可。
2.为各部门争取有利政策环境</t>
  </si>
  <si>
    <t>1.力争取全年一共获得2项监管重要课题话题、组织内部共提交2篇重要课题调研，提升监管的对团队专业的认可度。
3.力争获得监管1-2次口头或者书面表扬，为公司争取有力政策环境，提升公司的影响力。</t>
  </si>
  <si>
    <t>支持FATF评估工作</t>
    <phoneticPr fontId="8" type="noConversion"/>
  </si>
  <si>
    <t>支持监管FATF互评估工作和输出行业先进经验</t>
    <phoneticPr fontId="8" type="noConversion"/>
  </si>
  <si>
    <t>深化与反洗钱局及属地监管机构的合作，主动融入FATF相关研究，同时高效整合内部资源，致力于向监管和FATF分享先进经验，并积极响应和支持监管在FATF方面的各项工作要求，以展现财付通的专业度和行业领导力。</t>
  </si>
  <si>
    <t>1.积极按反洗钱局要求支持FATF各项工作和系统开发
2.输出行业优秀实践案例，支持国家自评估工作</t>
  </si>
  <si>
    <t>stellaliqin
ivyzzheng
aidenwang</t>
  </si>
  <si>
    <t>和反洗钱及承担国家互评的工作的分行沟通，力争获取合作机会</t>
  </si>
  <si>
    <t>力争参与国家互评估各项工作，提升公司影响力</t>
  </si>
  <si>
    <t>基于FATF的方法论探索各类评估工作。</t>
  </si>
  <si>
    <t>输出行业实践优秀案例，获得监管肯定，为国家互评估做出贡献。</t>
  </si>
  <si>
    <t>正向价值机制维护与运行</t>
  </si>
  <si>
    <t>1、搭建与固化五部门正向价值运行机制，并根据运行效果适当调整策略方向；
2、作为跨部门中台拉通整体目标实现与重点项目的推进；
3、维护与更新素材库，利用梧桐与投教平台，提升各方资源利用率与实际监管沟通报送效率；</t>
  </si>
  <si>
    <t>1、工作机制有效落地实施，输出25年跨部门整体工作规划。五部门正向价值工作上的计划、进度及成果，做到可追踪、可呈现。
2、梧桐开放平台在各业务领域更广泛利用；
3、重点项目看板，包括财付通企业社会责任专报；
4、季度滚动更新的素材库；</t>
  </si>
  <si>
    <t>linhan, chrissyyu</t>
  </si>
  <si>
    <t>1、完成年度计划制定并同步相关方；
2、季度跟进事项进展、素材库。</t>
  </si>
  <si>
    <t>1、年中重点项目进展回顾，形成看板初稿；
2、季度跟进事项进展、素材库。</t>
  </si>
  <si>
    <t>1、拉通各部门启动财付通企业社会责任专报制作，前期素材准备；
2、季度跟进事项进展、素材库。</t>
  </si>
  <si>
    <t>1、年末各事项进度跟踪；
2、重点项目年终总结；
3、财付通企业责任专报定稿；</t>
  </si>
  <si>
    <t>金融科技板块跟进与运行</t>
  </si>
  <si>
    <t>1. 拉通境内外金融科技板块团队工作，形成需求看板；
2. 按月/季度周期性与团队盘点金融科技板块规划及进度，形成拉通合力。识别与跟进年度重点金融科技相关专项（如有）
3. 尝试制定适用于集团金融合规科技板块的合规工作框架</t>
  </si>
  <si>
    <t>协助团队拉通金融职能支持团队内部资源，打磨金融科技合规工作框架</t>
  </si>
  <si>
    <t>lukayin</t>
  </si>
  <si>
    <t>金融业务公共事务部、金融法律合规部</t>
  </si>
  <si>
    <t>1.完成2025年金融科技工作年度工作计划
2. 与团队识别出年度金融科技重点项目
3. 启动金融科技板块合规工作调研，制定调研计划</t>
  </si>
  <si>
    <t>1. 跟进团队金融科技工作
2. 重点项目专项跟进
3. 完成金融科技合规调研</t>
  </si>
  <si>
    <t>1. 跟进团队金融科技工作
2. 重点项目专项跟进
3. 基于H1工作实践及学习，启动金融科技合规工作框架制定</t>
  </si>
  <si>
    <t>1. 完成2025年金融科技合规工作盘点
2. 完成金融科技合规工作框架制定</t>
  </si>
  <si>
    <t>4、管理增效</t>
  </si>
  <si>
    <t>集团洗钱风险治理架构升级</t>
    <phoneticPr fontId="8" type="noConversion"/>
  </si>
  <si>
    <t>优化集团洗钱风险管理和制裁风险管理的治理架构。</t>
  </si>
  <si>
    <t>1. 升级现有集团洗钱风险治理架构，从集团角度有效管理境内，境外，跨业务条线的洗钱风险治理架构
2. 涵盖集团洗钱风险管理制度建设，宣传培训，报告机制以及舆情检测报告等多维度的管理机制流程建设和落地运维</t>
  </si>
  <si>
    <t>amyhyli
evelong
wulanzhao
zailiwang</t>
  </si>
  <si>
    <t>业管
消保
数字舆情部</t>
  </si>
  <si>
    <t>1. 形成集团治理优化方案
2. 摸排优化需要联动的合作支持干系方
3. 年度集团治理方案拟定包括宣传，培训，制度发布，舆情监测等
4. 拟定1份重点舆情监测报告</t>
  </si>
  <si>
    <t>1. 和相关干系方和支持方进行优化点握手沟通，输出阶段性合作和优化事项
2. 定稿阶段性集团治理优化方案
3. 集团治理方案落地和运行
4. 拟定1份重点舆情监测报告</t>
  </si>
  <si>
    <t>1. 完成集团治理方案沉淀
2. 持续推进集团治理细项运维
3. 拟定1份重点舆情监测报告
4. 舆情信息的系统化对接</t>
  </si>
  <si>
    <t>1. 对集团治理策略的持续调优
2. 拟定1份重点舆情监测报告
3. 年度舆情报告信息总结，形成舆情月报和重点舆情报告机制
5. 舆情信息系统化建设第一期完成</t>
  </si>
  <si>
    <t>FATF 智囊库建设</t>
    <phoneticPr fontId="8" type="noConversion"/>
  </si>
  <si>
    <t>为更好地我国第五轮互评估工作，输出优秀实践案例，公司内部需要更深入系统了解及落实FATF相关要求。拉通反洗钱境内境外团队、ARD及业务侧，共同建设FATF智囊库，沉淀反洗钱各实践探索成果，并作为支持国家互评估工作的一项机制</t>
  </si>
  <si>
    <t>1.输出FATF主题的iwiki板块框架规划，并构建独立iwiki板块
2.定期收集相关研究材料（含FATF最新指引、建议、报告及其解读、评估要求、制度援引等），丰富智囊库
3.定期发布半年白皮书fatf 前沿信息研究分析报告和对策库建设</t>
  </si>
  <si>
    <t>amyhyli
evelong
devinrcai
---
ivyzzheng
aidenwang</t>
  </si>
  <si>
    <t>FIT风控</t>
  </si>
  <si>
    <t>1. 完成fatf智囊库的产品规划工作和预算申请
---
2.输出iwiki框架规划，并搭建好相应框架
3.与相关部门沟通，建立定期的素材采集及更新机制
4.放入R16相关材料</t>
  </si>
  <si>
    <t>1. 完成产品设计生产和输出
---
2.整理2025FATF第一次全会素材并放入
3.组织并收集其他部门相关素材
4.整理并发布半年白皮书</t>
  </si>
  <si>
    <t>1. 推广产品运用对重要事项进行优化
--
2.根据H1运转情况检视并优化iwiki框架板块及权限配置，探索更有效展现方式
3.持续更新智囊库素材</t>
  </si>
  <si>
    <t>1.梳理盘点全年FATF探索成果，整理并发布全年总结白皮书
2.持续更新智囊库素材</t>
  </si>
  <si>
    <t>VOC量化评估体系</t>
  </si>
  <si>
    <t>1. 持续优化完善VOC量化指标及使用场景。
2. 运用VOC开展合规、法务、监管等工作事项的量化评估。
3. 搭建基于各业务视角的量化评估视图。</t>
  </si>
  <si>
    <t>工作机制落地有效运行，输出关键任务VOC评估结果，能够客观呈现量化结果，辅助团队资源管理</t>
  </si>
  <si>
    <t>ivyjyding、katiewong、lukayin、linhan</t>
  </si>
  <si>
    <t>1. 计算各部门重点工作事项V值；
2. 部门工作记录机制正式运行；
3. 完成工作记录数据看板的搭建；
4. 视机制运行情况，进行优化调整。</t>
  </si>
  <si>
    <t>视机制运行情况，进行优化调整</t>
  </si>
  <si>
    <t>完成机制固化</t>
  </si>
  <si>
    <t>1. 完成各部门年度战略工作规划的制定，并输出金融领域拉通OKR事项；
2. 各部门OKR、BSC定期跟踪及配套会议机制的运行；
3. 负责各部门季度、半年度、年度战略工作的回顾与调整，并安排相关战略工作汇报。
4. 金融部门重大事项项目管理，形成有效的进度跟进及风险管理。</t>
  </si>
  <si>
    <t>战略工作机制顺畅运行，保障各部门工作推进无重大偏差</t>
  </si>
  <si>
    <t>1. 完成部门年度工作规划的制定、以及金融部门拉通重点工作事项的制定。
2. 完成部门年度工作自评及年度工作汇报。
3. 定期召开部门工作回顾会议。
4. 与S1 办公室确认金融重大专项范围</t>
  </si>
  <si>
    <t>1. 定期召开部门工作回顾会议。
2. 制定并维护S1办公室重大专项项目管理机制</t>
  </si>
  <si>
    <t>1. 完成各部门下半年工作的回顾及校正，召开各部门月度OKR跟踪会议。
2 定期召开部门工作回顾会议。
3. 制定并维护S1办公室重大专项项目管理机制</t>
  </si>
  <si>
    <t>1. 定期召开部门工作回顾会议
2. 启动各部门2024战略工作回顾及2025年战略规划工作。
3.完成年度S1重大专项盘点，整理项目复盘纳入年度部门汇报</t>
  </si>
  <si>
    <t>产品清单全盘梳理</t>
  </si>
  <si>
    <t>分阶段完成业务条线金融产品前世今生的发展梳理，形成一套详细、完整的金融产品集成说明。</t>
  </si>
  <si>
    <t>1、产品详细说明手册1.0版本</t>
  </si>
  <si>
    <t>chrissyyu</t>
  </si>
  <si>
    <t>对项目进行初步规划，拉齐项目目标、范围与时间表；</t>
  </si>
  <si>
    <t>按计划进行深入调研</t>
  </si>
  <si>
    <t>1、产品详细手册1.0版本初稿</t>
  </si>
  <si>
    <t>校招生轮岗机制维护</t>
  </si>
  <si>
    <t>校招生轮岗、培训在五部门铺开并充分沟通落地，补充完善规则细节</t>
  </si>
  <si>
    <t>校招生轮岗机制有效运行，年轻人通过机制得到跨领域多元业务知识积累。</t>
  </si>
  <si>
    <t>HR、金融法律合规部、金融业务公共事务部、反洗钱与制裁合规部、集团消费者权益保护部、合规交易部</t>
  </si>
  <si>
    <t>1. 形成机制要求文字并完成管理层宣导；
2. 按期推进各成员轮岗工作。</t>
  </si>
  <si>
    <t>按期推进各成员轮岗工作，与HR获取入职计划。</t>
  </si>
  <si>
    <t>1. 阶段性成果访谈及回顾，优化轮岗机制；
2. 按期推进各成员轮岗工作。</t>
  </si>
  <si>
    <t>知识管理优化</t>
  </si>
  <si>
    <t>1.  维护机制顺畅运行，各模块按规则有序沉淀，根据业务及团队情况及时优化结构与内容质量；
2. 运营激励活动，促进分享及使用。</t>
  </si>
  <si>
    <t>1. 维护机制顺畅运行，各模块按规则有序沉淀；
2. 运营激励机制，知识库分享及使用活跃度提升。</t>
  </si>
  <si>
    <t>落地及监督各模块分头维护要求，运营第一阶段激励措施。</t>
  </si>
  <si>
    <t>模块及运营数据回顾，确认第二阶段激励措施。</t>
  </si>
  <si>
    <t>/</t>
  </si>
  <si>
    <t>预算管理机制维护</t>
  </si>
  <si>
    <t>1. 梳理各类预算相关管理要求、机制及流程，撰写管理手册，进行体系化呈现及沉淀；
2. 维护管理要求，对各团队费用需求事项进行审核（邮件/单据审批），结合VOC等手段优化审核标准；
3. 维护预算监督机制，按期输出预算执行报告；其中，运营律所管理要求，对律所资源、律所使用规则、律所用量等进行专项监控。同时关注监控的智能化手段，提升效率和准确度；
4. 按公司/BG要求落实全年重要预算相关事项。</t>
  </si>
  <si>
    <t>管理机制运行有序，部门预算使用符合计划预期，年终无大规模剩余或缺口。</t>
  </si>
  <si>
    <t>秘书、各团队管理人员</t>
  </si>
  <si>
    <t>1. 回顾2024年预算项目C值，以此优化预算评估标准；
2. 完成管理手册；
3. 完成24年律所使用报告；
4. 日常费用监督回顾报告、需求审核，同步优化执行细节。</t>
  </si>
  <si>
    <t>日常费用监督回顾报告、需求审核，同步优化执行细节。</t>
  </si>
  <si>
    <t>1. 完成次年预算申报；
2. 完成25H1律所使用报告；
3. 日常费用监督回顾报告、需求审核，同步优化执行细节。</t>
  </si>
  <si>
    <t>1. 完成预算分配及下发；
2. 日常费用监督回顾报告、需求审核，同步优化执行细节。</t>
  </si>
  <si>
    <t>团队专业能力培养及影响力提升</t>
  </si>
  <si>
    <t>1. 设计及开展针对性的内部培养课程、梳理专业课程，维护专业领域资质要求；
2. 梳理内外部渠道合作资源，继续运营每年院校合作、刊物合作；
3. 梳理奖项机会，安排申奖计划。</t>
  </si>
  <si>
    <t>各项工作如期推进。</t>
  </si>
  <si>
    <t>秘书、金融法律合规部、金融业务公共事务部、反洗钱与制裁合规部、集团消费者权益保护部、合规交易部</t>
  </si>
  <si>
    <t>定期开展课程、推进院校资源合作、适时安排申奖并协助材料优化。</t>
  </si>
  <si>
    <t>风险合规预警平台搭建</t>
  </si>
  <si>
    <t>1、盘点现有价值信息渠道
2、基于各信息渠道，梳理预警生成逻辑，初步形成风险合规预警平台搭建思路</t>
  </si>
  <si>
    <t>输出风险合规预警平台建设方案</t>
  </si>
  <si>
    <t>chrisycchu ivyjyding chrissyyu</t>
  </si>
  <si>
    <t>内部梳理、讨论价值信息渠道来源及对于信息渠道的整合利用思路</t>
  </si>
  <si>
    <t>初步形成合规预警平台搭建思路</t>
  </si>
  <si>
    <t>持续优化完善合规预警平台搭建方案，评估系统化能力建设必要性</t>
  </si>
  <si>
    <t>合规预警平台搭建最终方案确认</t>
  </si>
  <si>
    <t>研发项目与IT系统搭建</t>
  </si>
  <si>
    <t>1、承接S1办公室对研发系统出具的各项制度要求，推动五部门各团队落地执行；
2、收集、评估与报送全年外采、自建研发需求情况，对IT预算执行率定期回顾；
3、搭建团队系统安全管理机制的执行，推动团队对系统权限、账号定期审阅工作；</t>
  </si>
  <si>
    <t>1、各IT系统与研发项目如期推进，保持跟进；
2、各系统无重大安全风险</t>
  </si>
  <si>
    <t>1、支持各项IT研发项目的采购/开发；</t>
  </si>
  <si>
    <t>1、支持各项IT研发项目的采购/开发；
2、年中系统使用情况与安全管理情况审阅；</t>
  </si>
  <si>
    <t>1、2025年研发预算预估执行数的反馈工作，收集2025年外采需求预算变动情况；
2、外采类需求：启动2026年五部门研发需求规划盘点工作，拉通五部门研发需求的申报；
3、</t>
  </si>
  <si>
    <t>1、自研类需求：启动2026年五部门研发需求规划盘点工作，拉通五部门研发需求的申报；
2、年终系统使用情况与安全管理情况审阅；</t>
  </si>
  <si>
    <t>金融合规培训活动运营</t>
  </si>
  <si>
    <t>1、结合监管要求，梳理支付、理财、反洗钱、制裁、消保等领域培训开展情况的合规差距；
2、持续支持五部门对外培训的开展，运营培训活动的全流程；
3、寻求与其他BG合作的可能性，提升五部门在知识沉淀领域的价值与影响力；</t>
  </si>
  <si>
    <t>1、Q1：全年培训计划
Q4：全年培训总结
2、各团队培训全流程运营支持
3、与团队合作，至少推进一门IDP课程认证与上线；</t>
  </si>
  <si>
    <t>1、收集各中心2025年全年培训计划；
2、根据监管制度要求梳理年度应展开培训内容，对标各中心全年培训计划，识别合规差距；
3、启动培训工作运营效果调研，设计调研问卷，向五部门培训接口人发放与回收，识别整体培训运营活动可提升领域；</t>
  </si>
  <si>
    <t>1、按计划与各中心定期开展培训工作
2、牵头反洗钱与制裁合规部规划2025年与学堂合作的课程内容规划；</t>
  </si>
  <si>
    <t>1、按计划与各中心定期开展培训工作</t>
  </si>
  <si>
    <t>1、按计划与各中心定期开展培训工作
2、启动各团队下一年度培训计划制定工作；</t>
  </si>
  <si>
    <t>附录：评估标准说明如下：</t>
  </si>
  <si>
    <t>评估等级</t>
  </si>
  <si>
    <t>定义</t>
  </si>
  <si>
    <t>通俗叫法</t>
  </si>
  <si>
    <t>5星</t>
  </si>
  <si>
    <t>非常突出，堪称行业标杆</t>
  </si>
  <si>
    <t>了不起</t>
  </si>
  <si>
    <t>4星(+/-)</t>
  </si>
  <si>
    <t>达到公司预期，有突出价值贡献</t>
  </si>
  <si>
    <t>非常棒</t>
  </si>
  <si>
    <t>3星(+/-)</t>
  </si>
  <si>
    <t>达到公司预期</t>
  </si>
  <si>
    <t>好样的</t>
  </si>
  <si>
    <t>2星</t>
  </si>
  <si>
    <t>未能达成公司预期，尚有改进空间</t>
  </si>
  <si>
    <t>加把劲</t>
  </si>
  <si>
    <t>1星</t>
  </si>
  <si>
    <t>距离公司预期有很大差距，急需改进</t>
  </si>
  <si>
    <t>逆袭吧</t>
  </si>
  <si>
    <t>8.1 员工培养及辅导</t>
    <phoneticPr fontId="8" type="noConversion"/>
  </si>
  <si>
    <t>8.2 跨团队管理事务沟通</t>
    <phoneticPr fontId="8" type="noConversion"/>
  </si>
  <si>
    <t>8.3 管理类会议组织及参会</t>
    <phoneticPr fontId="8" type="noConversion"/>
  </si>
  <si>
    <t>8.4 组织氛围建设</t>
    <phoneticPr fontId="8" type="noConversion"/>
  </si>
  <si>
    <t>8.5 团队招聘</t>
    <phoneticPr fontId="8" type="noConversion"/>
  </si>
  <si>
    <t>_8管理_仅leader使用</t>
    <phoneticPr fontId="8" type="noConversion"/>
  </si>
  <si>
    <t>检测机制持续优化</t>
    <phoneticPr fontId="8" type="noConversion"/>
  </si>
  <si>
    <t>VOC量化评估体系</t>
    <phoneticPr fontId="8" type="noConversion"/>
  </si>
  <si>
    <t>H列</t>
    <phoneticPr fontId="8" type="noConversion"/>
  </si>
  <si>
    <t>工作类型</t>
    <phoneticPr fontId="8" type="noConversion"/>
  </si>
  <si>
    <t>AI信息赋能能力持续建设</t>
    <phoneticPr fontId="8" type="noConversion"/>
  </si>
  <si>
    <t>金融职能支持部门信息上报运营</t>
    <phoneticPr fontId="8" type="noConversion"/>
  </si>
  <si>
    <t>金融职能支持部门跨团队流程制定及优化</t>
    <phoneticPr fontId="8" type="noConversion"/>
  </si>
  <si>
    <t>2.1 非金融平台治理检测</t>
    <phoneticPr fontId="8" type="noConversion"/>
  </si>
  <si>
    <t>2.2 涉俄制裁风险管理与应对有效性检测</t>
    <phoneticPr fontId="8" type="noConversion"/>
  </si>
  <si>
    <t>2.3 跨团队、多主体评估流程检测</t>
    <phoneticPr fontId="8" type="noConversion"/>
  </si>
  <si>
    <t>1.1 跨境收单业务合规检测</t>
    <phoneticPr fontId="8" type="noConversion"/>
  </si>
  <si>
    <t>1.2 整体合规/法务工作机制检测</t>
    <phoneticPr fontId="8" type="noConversion"/>
  </si>
  <si>
    <t>2.4 金融持牌主体反洗钱检测</t>
    <phoneticPr fontId="8" type="noConversion"/>
  </si>
  <si>
    <t>1.3 2024年支付合规团队自查复验</t>
    <phoneticPr fontId="8" type="noConversion"/>
  </si>
  <si>
    <t>2.5 金融主体投诉管理工作检测</t>
    <phoneticPr fontId="8" type="noConversion"/>
  </si>
  <si>
    <t>2.6 圳星/Tenpay Global 反洗钱整体检测</t>
    <phoneticPr fontId="8" type="noConversion"/>
  </si>
  <si>
    <t>1.4 金融消保长效工作机制后续检测</t>
    <phoneticPr fontId="8" type="noConversion"/>
  </si>
  <si>
    <t>1.5 梧桐稳智平台 采购与合规性检测</t>
    <phoneticPr fontId="8" type="noConversion"/>
  </si>
  <si>
    <t>1.6 PA OKR/BSC review</t>
    <phoneticPr fontId="8" type="noConversion"/>
  </si>
  <si>
    <t>2.7 服务商商户不能同一验证</t>
    <phoneticPr fontId="8" type="noConversion"/>
  </si>
  <si>
    <t>4.6 境外主体合规管理</t>
    <phoneticPr fontId="8" type="noConversion"/>
  </si>
  <si>
    <t>1.7 境外机构制裁检测</t>
    <phoneticPr fontId="8" type="noConversion"/>
  </si>
  <si>
    <t xml:space="preserve">金融职能支持部门日常运营支持 </t>
    <phoneticPr fontId="8" type="noConversion"/>
  </si>
  <si>
    <t>4.7 金融科技相关</t>
    <phoneticPr fontId="8" type="noConversion"/>
  </si>
  <si>
    <t>工作分类（必填）</t>
  </si>
  <si>
    <t>任务名称（必填）</t>
  </si>
  <si>
    <t>4.8 检测项目后续跟踪</t>
    <phoneticPr fontId="8" type="noConversion"/>
  </si>
  <si>
    <t>_9其他</t>
    <phoneticPr fontId="8" type="noConversion"/>
  </si>
  <si>
    <t>9.1 工时填写</t>
    <phoneticPr fontId="8" type="noConversion"/>
  </si>
  <si>
    <t>6.2 预算管理</t>
    <phoneticPr fontId="8" type="noConversion"/>
  </si>
  <si>
    <t>6.3 IT管理</t>
    <phoneticPr fontId="8" type="noConversion"/>
  </si>
  <si>
    <t>6.4 管理类总结</t>
    <phoneticPr fontId="8" type="noConversion"/>
  </si>
  <si>
    <t>6.5 其他</t>
    <phoneticPr fontId="8" type="noConversion"/>
  </si>
  <si>
    <t>9.2 团队/部门例会</t>
    <phoneticPr fontId="8" type="noConversion"/>
  </si>
  <si>
    <t>9.3 团队日报/周报/月报填写</t>
    <phoneticPr fontId="8" type="noConversion"/>
  </si>
  <si>
    <t>9.5 商务招待（非工作时间段）</t>
    <phoneticPr fontId="8" type="noConversion"/>
  </si>
  <si>
    <t>9.4 差旅路途时间</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</si>
</sst>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00_ "/>
  </numFmts>
  <fonts count="30">
    <font>
      <sz val="11"/>
      <color theme="1"/>
      <name val="等线"/>
      <charset val="134"/>
      <scheme val="minor"/>
    </font>
    <font>
      <sz val="11"/>
      <color indexed="8"/>
      <name val="等线"/>
      <family val="3"/>
      <charset val="134"/>
    </font>
    <font>
      <sz val="11"/>
      <name val="等线"/>
      <family val="3"/>
      <charset val="134"/>
      <scheme val="minor"/>
    </font>
    <font>
      <sz val="10"/>
      <color theme="1"/>
      <name val="等线"/>
      <family val="3"/>
      <charset val="134"/>
      <scheme val="minor"/>
    </font>
    <font>
      <b/>
      <sz val="10"/>
      <color theme="4" tint="-0.499984740745262"/>
      <name val="等线"/>
      <family val="3"/>
      <charset val="134"/>
      <scheme val="minor"/>
    </font>
    <font>
      <b/>
      <i/>
      <sz val="10"/>
      <color theme="1"/>
      <name val="等线"/>
      <family val="3"/>
      <charset val="134"/>
      <scheme val="minor"/>
    </font>
    <font>
      <i/>
      <sz val="10"/>
      <color theme="4" tint="-0.499984740745262"/>
      <name val="等线"/>
      <family val="3"/>
      <charset val="134"/>
      <scheme val="minor"/>
    </font>
    <font>
      <sz val="10"/>
      <color theme="4" tint="-0.499984740745262"/>
      <name val="等线"/>
      <family val="3"/>
      <charset val="134"/>
      <scheme val="minor"/>
    </font>
    <font>
      <sz val="9"/>
      <name val="等线"/>
      <family val="3"/>
      <charset val="134"/>
      <scheme val="minor"/>
    </font>
    <font>
      <sz val="11"/>
      <color theme="1"/>
      <name val="等线"/>
      <family val="3"/>
      <charset val="134"/>
      <scheme val="minor"/>
    </font>
    <font>
      <sz val="12"/>
      <color theme="1"/>
      <name val="等线"/>
      <family val="3"/>
      <charset val="134"/>
      <scheme val="minor"/>
    </font>
    <font>
      <b/>
      <sz val="14"/>
      <name val="微软雅黑"/>
      <family val="2"/>
      <charset val="134"/>
    </font>
    <font>
      <b/>
      <sz val="14"/>
      <color theme="1"/>
      <name val="微软雅黑"/>
      <family val="2"/>
      <charset val="134"/>
    </font>
    <font>
      <sz val="10"/>
      <color theme="1"/>
      <name val="微软雅黑"/>
      <family val="2"/>
      <charset val="134"/>
    </font>
    <font>
      <b/>
      <sz val="10"/>
      <color theme="1"/>
      <name val="微软雅黑"/>
      <family val="2"/>
      <charset val="134"/>
    </font>
    <font>
      <sz val="10"/>
      <color rgb="FFC00000"/>
      <name val="微软雅黑"/>
      <family val="2"/>
      <charset val="134"/>
    </font>
    <font>
      <b/>
      <sz val="11"/>
      <color theme="0"/>
      <name val="微软雅黑"/>
      <family val="2"/>
      <charset val="134"/>
    </font>
    <font>
      <sz val="8"/>
      <name val="微软雅黑"/>
      <family val="2"/>
      <charset val="134"/>
    </font>
    <font>
      <sz val="10"/>
      <color theme="1"/>
      <name val="等线"/>
      <family val="3"/>
      <charset val="134"/>
    </font>
    <font>
      <sz val="10"/>
      <color theme="1"/>
      <name val="等线"/>
      <family val="3"/>
      <charset val="134"/>
      <scheme val="minor"/>
    </font>
    <font>
      <sz val="12"/>
      <name val="等线"/>
      <family val="3"/>
      <charset val="134"/>
      <scheme val="minor"/>
    </font>
    <font>
      <sz val="10"/>
      <name val="等线"/>
      <family val="3"/>
      <charset val="134"/>
    </font>
    <font>
      <sz val="12"/>
      <color rgb="FF000000"/>
      <name val="等线"/>
      <family val="3"/>
      <charset val="134"/>
      <scheme val="minor"/>
    </font>
    <font>
      <sz val="12"/>
      <color theme="0" tint="-0.499984740745262"/>
      <name val="等线"/>
      <family val="3"/>
      <charset val="134"/>
      <scheme val="minor"/>
    </font>
    <font>
      <sz val="12"/>
      <color rgb="FF808080"/>
      <name val="等线"/>
      <family val="3"/>
      <charset val="134"/>
      <scheme val="minor"/>
    </font>
    <font>
      <b/>
      <sz val="11"/>
      <color theme="1"/>
      <name val="微软雅黑"/>
      <family val="2"/>
      <charset val="134"/>
    </font>
    <font>
      <sz val="10"/>
      <name val="等线"/>
      <family val="3"/>
      <charset val="134"/>
      <scheme val="minor"/>
    </font>
    <font>
      <b/>
      <sz val="9"/>
      <color theme="0"/>
      <name val="微软雅黑"/>
      <family val="2"/>
      <charset val="134"/>
    </font>
    <font>
      <sz val="9"/>
      <color rgb="FF000000"/>
      <name val="微软雅黑"/>
      <family val="2"/>
      <charset val="134"/>
    </font>
    <font>
      <sz val="11"/>
      <color theme="1"/>
      <name val="等线"/>
      <family val="4"/>
      <charset val="134"/>
      <scheme val="minor"/>
    </font>
  </fonts>
  <fills count="7">
    <fill>
      <patternFill patternType="none"/>
    </fill>
    <fill>
      <patternFill patternType="gray125"/>
    </fill>
    <fill>
      <patternFill patternType="solid">
        <fgColor rgb="FF0070C0"/>
        <bgColor indexed="64"/>
      </patternFill>
    </fill>
    <fill>
      <patternFill patternType="solid">
        <fgColor theme="8" tint="0.79989013336588644"/>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8168889431442"/>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rgb="FF000000"/>
      </left>
      <right style="thin">
        <color rgb="FF000000"/>
      </right>
      <top style="thin">
        <color rgb="FF000000"/>
      </top>
      <bottom/>
      <diagonal/>
    </border>
    <border>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medium">
        <color auto="1"/>
      </left>
      <right style="thin">
        <color auto="1"/>
      </right>
      <top/>
      <bottom/>
      <diagonal/>
    </border>
    <border>
      <left style="medium">
        <color auto="1"/>
      </left>
      <right/>
      <top/>
      <bottom/>
      <diagonal/>
    </border>
    <border>
      <left style="thin">
        <color auto="1"/>
      </left>
      <right style="medium">
        <color auto="1"/>
      </right>
      <top style="thin">
        <color auto="1"/>
      </top>
      <bottom/>
      <diagonal/>
    </border>
    <border>
      <left style="thin">
        <color rgb="FF000000"/>
      </left>
      <right/>
      <top/>
      <bottom/>
      <diagonal/>
    </border>
    <border>
      <left style="thin">
        <color auto="1"/>
      </left>
      <right style="thin">
        <color rgb="FF000000"/>
      </right>
      <top/>
      <bottom/>
      <diagonal/>
    </border>
    <border>
      <left style="thin">
        <color auto="1"/>
      </left>
      <right style="thin">
        <color rgb="FF000000"/>
      </right>
      <top/>
      <bottom style="thin">
        <color auto="1"/>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97">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49" fontId="1" fillId="0" borderId="0" xfId="0" applyNumberFormat="1" applyFont="1" applyAlignment="1">
      <alignment vertical="center" wrapText="1"/>
    </xf>
    <xf numFmtId="49" fontId="0" fillId="0" borderId="0" xfId="0" applyNumberFormat="1" applyAlignment="1">
      <alignment vertical="center" wrapText="1"/>
    </xf>
    <xf numFmtId="49" fontId="2" fillId="0" borderId="0" xfId="0" applyNumberFormat="1" applyFont="1" applyAlignment="1">
      <alignment vertical="center" wrapText="1"/>
    </xf>
    <xf numFmtId="0" fontId="3" fillId="0" borderId="0" xfId="0" applyFont="1" applyAlignment="1">
      <alignment vertical="center" wrapText="1"/>
    </xf>
    <xf numFmtId="0" fontId="0" fillId="0" borderId="0" xfId="0"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5" fillId="0" borderId="0" xfId="0" applyFont="1" applyAlignment="1">
      <alignment horizontal="right" vertical="center" wrapText="1"/>
    </xf>
    <xf numFmtId="0" fontId="6" fillId="3" borderId="9" xfId="0" applyFont="1" applyFill="1" applyBorder="1" applyAlignment="1">
      <alignment vertical="center" wrapText="1"/>
    </xf>
    <xf numFmtId="0" fontId="6" fillId="3" borderId="1" xfId="0" applyFont="1" applyFill="1" applyBorder="1" applyAlignment="1">
      <alignment vertical="center" wrapText="1"/>
    </xf>
    <xf numFmtId="0" fontId="6" fillId="3" borderId="1" xfId="0" applyFont="1" applyFill="1" applyBorder="1" applyAlignment="1">
      <alignment horizontal="center" vertical="center" wrapText="1"/>
    </xf>
    <xf numFmtId="0" fontId="6" fillId="0" borderId="9"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176" fontId="6" fillId="0" borderId="1" xfId="0" applyNumberFormat="1" applyFont="1" applyBorder="1" applyAlignment="1">
      <alignment horizontal="center" vertical="center" wrapText="1"/>
    </xf>
    <xf numFmtId="0" fontId="7" fillId="0" borderId="9" xfId="0" applyFont="1" applyBorder="1" applyAlignment="1">
      <alignment vertical="center" wrapText="1"/>
    </xf>
    <xf numFmtId="0" fontId="7" fillId="0" borderId="1" xfId="0" applyFont="1" applyBorder="1" applyAlignment="1">
      <alignment horizontal="center" vertical="center" wrapText="1"/>
    </xf>
    <xf numFmtId="176" fontId="7" fillId="0" borderId="1" xfId="0" applyNumberFormat="1" applyFont="1" applyBorder="1" applyAlignment="1">
      <alignment horizontal="center" vertical="center" wrapText="1"/>
    </xf>
    <xf numFmtId="0" fontId="4" fillId="0" borderId="11" xfId="0" applyFont="1" applyBorder="1" applyAlignment="1">
      <alignment horizontal="right" vertical="center" wrapText="1"/>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0" fontId="6" fillId="3" borderId="15" xfId="0" applyFont="1" applyFill="1" applyBorder="1" applyAlignment="1">
      <alignment vertical="center" wrapText="1"/>
    </xf>
    <xf numFmtId="0" fontId="6" fillId="0" borderId="15" xfId="0" applyFont="1" applyBorder="1" applyAlignment="1">
      <alignment vertical="center" wrapText="1"/>
    </xf>
    <xf numFmtId="0" fontId="7" fillId="0" borderId="15" xfId="0" applyFont="1" applyBorder="1" applyAlignment="1">
      <alignment vertical="center" wrapText="1"/>
    </xf>
    <xf numFmtId="0" fontId="9" fillId="0" borderId="0" xfId="0" applyFont="1">
      <alignment vertical="center"/>
    </xf>
    <xf numFmtId="0" fontId="10" fillId="4" borderId="0" xfId="0" applyFont="1" applyFill="1" applyProtection="1">
      <alignment vertical="center"/>
      <protection locked="0"/>
    </xf>
    <xf numFmtId="0" fontId="16" fillId="2" borderId="1" xfId="0" applyFont="1" applyFill="1" applyBorder="1" applyAlignment="1">
      <alignment horizontal="center" vertical="center" wrapText="1" shrinkToFit="1" readingOrder="1"/>
    </xf>
    <xf numFmtId="0" fontId="17" fillId="5" borderId="9" xfId="0" applyFont="1" applyFill="1" applyBorder="1" applyAlignment="1">
      <alignment horizontal="left" vertical="center" wrapText="1" readingOrder="1"/>
    </xf>
    <xf numFmtId="0" fontId="17" fillId="5" borderId="1" xfId="0" applyFont="1" applyFill="1" applyBorder="1" applyAlignment="1">
      <alignment horizontal="left" vertical="center" wrapText="1" readingOrder="1"/>
    </xf>
    <xf numFmtId="0" fontId="18" fillId="4" borderId="0" xfId="0" applyFont="1" applyFill="1">
      <alignment vertical="center"/>
    </xf>
    <xf numFmtId="0" fontId="20" fillId="0" borderId="5" xfId="0" applyFont="1" applyBorder="1" applyAlignment="1">
      <alignment vertical="center" wrapText="1"/>
    </xf>
    <xf numFmtId="0" fontId="20" fillId="0" borderId="6" xfId="0" applyFont="1" applyBorder="1" applyAlignment="1">
      <alignment vertical="center" wrapText="1"/>
    </xf>
    <xf numFmtId="0" fontId="20" fillId="0" borderId="6" xfId="0" applyFont="1" applyBorder="1" applyAlignment="1">
      <alignment horizontal="center" vertical="center" wrapText="1"/>
    </xf>
    <xf numFmtId="177" fontId="20" fillId="0" borderId="6" xfId="0" applyNumberFormat="1" applyFont="1" applyBorder="1" applyAlignment="1">
      <alignment vertical="center" wrapText="1" readingOrder="1"/>
    </xf>
    <xf numFmtId="0" fontId="20" fillId="0" borderId="6" xfId="0" applyFont="1" applyBorder="1" applyAlignment="1">
      <alignment vertical="center" wrapText="1" readingOrder="1"/>
    </xf>
    <xf numFmtId="177" fontId="20" fillId="0" borderId="6" xfId="0" applyNumberFormat="1" applyFont="1" applyBorder="1" applyAlignment="1">
      <alignment horizontal="left" vertical="center" wrapText="1" readingOrder="1"/>
    </xf>
    <xf numFmtId="0" fontId="20" fillId="0" borderId="25" xfId="0" applyFont="1" applyBorder="1" applyAlignment="1">
      <alignment vertical="center" wrapText="1"/>
    </xf>
    <xf numFmtId="0" fontId="21" fillId="4" borderId="0" xfId="0" applyFont="1" applyFill="1" applyAlignment="1">
      <alignment vertical="center" wrapText="1"/>
    </xf>
    <xf numFmtId="0" fontId="19" fillId="4" borderId="0" xfId="0" applyFont="1" applyFill="1" applyProtection="1">
      <alignment vertical="center"/>
      <protection locked="0"/>
    </xf>
    <xf numFmtId="177" fontId="20" fillId="0" borderId="27" xfId="0" applyNumberFormat="1" applyFont="1" applyBorder="1" applyAlignment="1">
      <alignment horizontal="left" vertical="center" wrapText="1" readingOrder="1"/>
    </xf>
    <xf numFmtId="0" fontId="20" fillId="0" borderId="27" xfId="0" applyFont="1" applyBorder="1" applyAlignment="1">
      <alignment vertical="center" wrapText="1" readingOrder="1"/>
    </xf>
    <xf numFmtId="177" fontId="20" fillId="0" borderId="27" xfId="0" applyNumberFormat="1" applyFont="1" applyBorder="1" applyAlignment="1">
      <alignment horizontal="left" vertical="center" wrapText="1"/>
    </xf>
    <xf numFmtId="0" fontId="20" fillId="0" borderId="26" xfId="0" applyFont="1" applyBorder="1" applyAlignment="1">
      <alignment vertical="center" wrapText="1"/>
    </xf>
    <xf numFmtId="0" fontId="20" fillId="0" borderId="27" xfId="0" applyFont="1" applyBorder="1" applyAlignment="1">
      <alignment vertical="center" wrapText="1"/>
    </xf>
    <xf numFmtId="0" fontId="20" fillId="0" borderId="28" xfId="0" applyFont="1" applyBorder="1" applyAlignment="1">
      <alignment vertical="center" wrapText="1"/>
    </xf>
    <xf numFmtId="0" fontId="19" fillId="4" borderId="0" xfId="0" applyFont="1" applyFill="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8" fillId="4" borderId="0" xfId="0" applyFont="1" applyFill="1" applyAlignment="1">
      <alignment horizontal="center" vertical="center"/>
    </xf>
    <xf numFmtId="0" fontId="10" fillId="0" borderId="1" xfId="0" applyFont="1" applyBorder="1" applyAlignment="1">
      <alignment horizontal="left" vertical="center" wrapText="1"/>
    </xf>
    <xf numFmtId="177" fontId="10" fillId="0" borderId="1" xfId="0" applyNumberFormat="1" applyFont="1" applyBorder="1" applyAlignment="1">
      <alignment vertical="center" wrapText="1" readingOrder="1"/>
    </xf>
    <xf numFmtId="0" fontId="10" fillId="0" borderId="15" xfId="0" applyFont="1" applyBorder="1" applyAlignment="1">
      <alignment vertical="center" wrapText="1"/>
    </xf>
    <xf numFmtId="0" fontId="22" fillId="0" borderId="2" xfId="0" applyFont="1" applyBorder="1" applyAlignment="1">
      <alignment horizontal="left" vertical="center" wrapText="1"/>
    </xf>
    <xf numFmtId="0" fontId="10" fillId="0" borderId="2" xfId="0" applyFont="1" applyBorder="1" applyAlignment="1">
      <alignment horizontal="left" vertical="center" wrapText="1"/>
    </xf>
    <xf numFmtId="0" fontId="10" fillId="0" borderId="2" xfId="0" applyFont="1" applyBorder="1" applyAlignment="1">
      <alignment vertical="center" wrapText="1"/>
    </xf>
    <xf numFmtId="0" fontId="10" fillId="0" borderId="2" xfId="0" applyFont="1" applyBorder="1" applyAlignment="1">
      <alignment horizontal="center" vertical="center" wrapText="1"/>
    </xf>
    <xf numFmtId="177" fontId="10" fillId="0" borderId="2" xfId="0" applyNumberFormat="1" applyFont="1" applyBorder="1" applyAlignment="1">
      <alignment vertical="center" wrapText="1" readingOrder="1"/>
    </xf>
    <xf numFmtId="0" fontId="10" fillId="0" borderId="34" xfId="0" applyFont="1" applyBorder="1" applyAlignment="1">
      <alignment vertical="center" wrapText="1"/>
    </xf>
    <xf numFmtId="0" fontId="10" fillId="0" borderId="5" xfId="0" applyFont="1" applyBorder="1" applyAlignment="1">
      <alignment horizontal="left" vertical="center" wrapText="1"/>
    </xf>
    <xf numFmtId="0" fontId="10" fillId="0" borderId="5" xfId="0" applyFont="1" applyBorder="1" applyAlignment="1">
      <alignment horizontal="center" vertical="center" wrapText="1"/>
    </xf>
    <xf numFmtId="177" fontId="10" fillId="0" borderId="5" xfId="0" applyNumberFormat="1" applyFont="1" applyBorder="1" applyAlignment="1">
      <alignment vertical="center" wrapText="1" readingOrder="1"/>
    </xf>
    <xf numFmtId="0" fontId="10" fillId="0" borderId="5" xfId="0" applyFont="1" applyBorder="1" applyAlignment="1">
      <alignment vertical="center" wrapText="1"/>
    </xf>
    <xf numFmtId="177" fontId="10" fillId="0" borderId="5" xfId="0" applyNumberFormat="1" applyFont="1" applyBorder="1" applyAlignment="1">
      <alignment vertical="center" wrapText="1"/>
    </xf>
    <xf numFmtId="0" fontId="10" fillId="0" borderId="23" xfId="0" applyFont="1" applyBorder="1" applyAlignment="1">
      <alignment horizontal="left" vertical="center" wrapText="1"/>
    </xf>
    <xf numFmtId="0" fontId="23" fillId="0" borderId="1" xfId="0" applyFont="1" applyBorder="1" applyAlignment="1">
      <alignment horizontal="center" vertical="center"/>
    </xf>
    <xf numFmtId="177" fontId="20" fillId="0" borderId="1" xfId="0" applyNumberFormat="1" applyFont="1" applyBorder="1" applyAlignment="1">
      <alignment vertical="center" wrapText="1" readingOrder="1"/>
    </xf>
    <xf numFmtId="0" fontId="20" fillId="0" borderId="23" xfId="0" applyFont="1" applyBorder="1" applyAlignment="1">
      <alignment horizontal="left" vertical="center" wrapText="1"/>
    </xf>
    <xf numFmtId="177" fontId="10" fillId="0" borderId="1" xfId="0" applyNumberFormat="1" applyFont="1" applyBorder="1" applyAlignment="1">
      <alignment vertical="center" wrapText="1"/>
    </xf>
    <xf numFmtId="0" fontId="23" fillId="0" borderId="2" xfId="0" applyFont="1" applyBorder="1" applyAlignment="1">
      <alignment horizontal="center" vertical="center"/>
    </xf>
    <xf numFmtId="0" fontId="20" fillId="0" borderId="5" xfId="0" applyFont="1" applyBorder="1" applyAlignment="1">
      <alignment horizontal="center" vertical="center"/>
    </xf>
    <xf numFmtId="177" fontId="20" fillId="0" borderId="5" xfId="0" applyNumberFormat="1" applyFont="1" applyBorder="1" applyAlignment="1">
      <alignment vertical="center" wrapText="1"/>
    </xf>
    <xf numFmtId="0" fontId="20" fillId="0" borderId="26" xfId="0" applyFont="1" applyBorder="1" applyAlignment="1">
      <alignment horizontal="center" vertical="center"/>
    </xf>
    <xf numFmtId="177" fontId="20" fillId="0" borderId="26" xfId="0" applyNumberFormat="1" applyFont="1" applyBorder="1" applyAlignment="1">
      <alignment vertical="center" wrapText="1"/>
    </xf>
    <xf numFmtId="0" fontId="20" fillId="0" borderId="40" xfId="0" applyFont="1" applyBorder="1" applyAlignment="1">
      <alignment vertical="center" wrapText="1"/>
    </xf>
    <xf numFmtId="0" fontId="20" fillId="0" borderId="40" xfId="0" applyFont="1" applyBorder="1" applyAlignment="1">
      <alignment horizontal="center" vertical="center"/>
    </xf>
    <xf numFmtId="177" fontId="20" fillId="0" borderId="40" xfId="0" applyNumberFormat="1" applyFont="1" applyBorder="1" applyAlignment="1">
      <alignment vertical="center" wrapText="1"/>
    </xf>
    <xf numFmtId="0" fontId="20" fillId="0" borderId="41" xfId="0" applyFont="1" applyBorder="1" applyAlignment="1">
      <alignment vertical="center" wrapText="1"/>
    </xf>
    <xf numFmtId="0" fontId="20" fillId="0" borderId="41" xfId="0" applyFont="1" applyBorder="1" applyAlignment="1">
      <alignment horizontal="center" vertical="center"/>
    </xf>
    <xf numFmtId="177" fontId="20" fillId="0" borderId="41" xfId="0" applyNumberFormat="1" applyFont="1" applyBorder="1" applyAlignment="1">
      <alignment vertical="center" wrapText="1"/>
    </xf>
    <xf numFmtId="0" fontId="20" fillId="0" borderId="5" xfId="0" applyFont="1" applyBorder="1" applyAlignment="1">
      <alignment horizontal="center" vertical="center" wrapText="1"/>
    </xf>
    <xf numFmtId="0" fontId="20" fillId="0" borderId="26" xfId="0" applyFont="1" applyBorder="1" applyAlignment="1">
      <alignment horizontal="center" vertical="center" wrapText="1"/>
    </xf>
    <xf numFmtId="0" fontId="24" fillId="0" borderId="5" xfId="0" applyFont="1" applyBorder="1" applyAlignment="1">
      <alignment horizontal="center" vertical="center"/>
    </xf>
    <xf numFmtId="0" fontId="20" fillId="0" borderId="5" xfId="0" applyFont="1" applyBorder="1" applyAlignment="1">
      <alignment vertical="center" wrapText="1" readingOrder="1"/>
    </xf>
    <xf numFmtId="177" fontId="20" fillId="0" borderId="5" xfId="0" applyNumberFormat="1" applyFont="1" applyBorder="1" applyAlignment="1">
      <alignment horizontal="left" vertical="center" wrapText="1" readingOrder="1"/>
    </xf>
    <xf numFmtId="177" fontId="20" fillId="0" borderId="5" xfId="0" applyNumberFormat="1" applyFont="1" applyBorder="1" applyAlignment="1">
      <alignment horizontal="left" vertical="center" wrapText="1"/>
    </xf>
    <xf numFmtId="0" fontId="10" fillId="0" borderId="2" xfId="0" applyFont="1" applyBorder="1">
      <alignment vertical="center"/>
    </xf>
    <xf numFmtId="0" fontId="20" fillId="0" borderId="43" xfId="0" applyFont="1" applyBorder="1" applyAlignment="1">
      <alignment vertical="center" wrapText="1"/>
    </xf>
    <xf numFmtId="0" fontId="24" fillId="0" borderId="40" xfId="0" applyFont="1" applyBorder="1" applyAlignment="1">
      <alignment horizontal="center" vertical="center"/>
    </xf>
    <xf numFmtId="0" fontId="20" fillId="0" borderId="40" xfId="0" applyFont="1" applyBorder="1" applyAlignment="1">
      <alignment vertical="center" wrapText="1" readingOrder="1"/>
    </xf>
    <xf numFmtId="177" fontId="20" fillId="0" borderId="40" xfId="0" applyNumberFormat="1" applyFont="1" applyBorder="1" applyAlignment="1">
      <alignment horizontal="left" vertical="center" wrapText="1" readingOrder="1"/>
    </xf>
    <xf numFmtId="0" fontId="20" fillId="0" borderId="40" xfId="0" applyFont="1" applyBorder="1" applyAlignment="1">
      <alignment wrapText="1"/>
    </xf>
    <xf numFmtId="177" fontId="20" fillId="0" borderId="40" xfId="0" applyNumberFormat="1" applyFont="1" applyBorder="1" applyAlignment="1">
      <alignment horizontal="left" vertical="center"/>
    </xf>
    <xf numFmtId="177" fontId="20" fillId="0" borderId="40" xfId="0" applyNumberFormat="1" applyFont="1" applyBorder="1" applyAlignment="1">
      <alignment horizontal="left" vertical="center" wrapText="1"/>
    </xf>
    <xf numFmtId="0" fontId="23" fillId="0" borderId="5" xfId="0" applyFont="1" applyBorder="1" applyAlignment="1">
      <alignment horizontal="center" vertical="center" wrapText="1"/>
    </xf>
    <xf numFmtId="0" fontId="14" fillId="4" borderId="0" xfId="0" applyFont="1" applyFill="1" applyAlignment="1">
      <alignment horizontal="center" vertical="center"/>
    </xf>
    <xf numFmtId="0" fontId="25" fillId="4" borderId="0" xfId="0" applyFont="1" applyFill="1" applyAlignment="1">
      <alignment horizontal="center" vertical="center"/>
    </xf>
    <xf numFmtId="0" fontId="26" fillId="4" borderId="0" xfId="0" applyFont="1" applyFill="1" applyAlignment="1">
      <alignment horizontal="left" vertical="center"/>
    </xf>
    <xf numFmtId="0" fontId="25" fillId="4" borderId="44" xfId="0" applyFont="1" applyFill="1" applyBorder="1" applyAlignment="1">
      <alignment vertical="center" wrapText="1"/>
    </xf>
    <xf numFmtId="0" fontId="21" fillId="4" borderId="0" xfId="0" applyFont="1" applyFill="1">
      <alignment vertical="center"/>
    </xf>
    <xf numFmtId="0" fontId="26" fillId="4" borderId="0" xfId="0" applyFont="1" applyFill="1" applyProtection="1">
      <alignment vertical="center"/>
      <protection locked="0"/>
    </xf>
    <xf numFmtId="0" fontId="19" fillId="4" borderId="0" xfId="0" applyFont="1" applyFill="1" applyAlignment="1">
      <alignment horizontal="left" vertical="center"/>
    </xf>
    <xf numFmtId="0" fontId="27" fillId="2" borderId="7" xfId="0" applyFont="1" applyFill="1" applyBorder="1" applyAlignment="1">
      <alignment horizontal="center" vertical="center" wrapText="1"/>
    </xf>
    <xf numFmtId="0" fontId="27" fillId="2" borderId="14" xfId="0" applyFont="1" applyFill="1" applyBorder="1" applyAlignment="1">
      <alignment horizontal="center" vertical="center" wrapText="1" readingOrder="1"/>
    </xf>
    <xf numFmtId="0" fontId="28" fillId="0" borderId="9" xfId="0" applyFont="1" applyBorder="1" applyAlignment="1">
      <alignment horizontal="center" vertical="center" wrapText="1"/>
    </xf>
    <xf numFmtId="0" fontId="28" fillId="0" borderId="15" xfId="0" applyFont="1" applyBorder="1" applyAlignment="1">
      <alignment horizontal="center" vertical="center" wrapText="1" readingOrder="1"/>
    </xf>
    <xf numFmtId="0" fontId="28" fillId="0" borderId="49" xfId="0" applyFont="1" applyBorder="1" applyAlignment="1">
      <alignment horizontal="center" vertical="center" wrapText="1"/>
    </xf>
    <xf numFmtId="0" fontId="28" fillId="0" borderId="50" xfId="0" applyFont="1" applyBorder="1" applyAlignment="1">
      <alignment horizontal="center" vertical="center" wrapText="1" readingOrder="1"/>
    </xf>
    <xf numFmtId="0" fontId="10" fillId="4" borderId="0" xfId="0" applyFont="1" applyFill="1">
      <alignment vertical="center"/>
    </xf>
    <xf numFmtId="0" fontId="10" fillId="0" borderId="0" xfId="0" applyFont="1" applyProtection="1">
      <alignment vertical="center"/>
      <protection locked="0"/>
    </xf>
    <xf numFmtId="0" fontId="10" fillId="0" borderId="0" xfId="0" applyFont="1" applyAlignment="1" applyProtection="1">
      <alignment horizontal="center" vertical="center"/>
      <protection locked="0"/>
    </xf>
    <xf numFmtId="49" fontId="9" fillId="0" borderId="0" xfId="0" applyNumberFormat="1" applyFont="1" applyAlignment="1">
      <alignment vertical="center" wrapText="1"/>
    </xf>
    <xf numFmtId="0" fontId="9" fillId="0" borderId="0" xfId="0" applyFont="1" applyAlignment="1">
      <alignment vertical="center" wrapText="1"/>
    </xf>
    <xf numFmtId="49" fontId="2" fillId="0" borderId="0" xfId="0" applyNumberFormat="1" applyFont="1">
      <alignment vertical="center"/>
    </xf>
    <xf numFmtId="0" fontId="2" fillId="0" borderId="0" xfId="0" applyFont="1">
      <alignment vertical="center"/>
    </xf>
    <xf numFmtId="0" fontId="29" fillId="0" borderId="0" xfId="0" applyFont="1">
      <alignment vertical="center"/>
    </xf>
    <xf numFmtId="49" fontId="29" fillId="0" borderId="0" xfId="0" applyNumberFormat="1" applyFont="1" applyAlignment="1">
      <alignment vertical="center" wrapText="1"/>
    </xf>
    <xf numFmtId="0" fontId="4" fillId="0" borderId="10" xfId="0" applyFont="1" applyBorder="1" applyAlignment="1">
      <alignment horizontal="right" vertical="center" wrapText="1"/>
    </xf>
    <xf numFmtId="0" fontId="4" fillId="0" borderId="11" xfId="0" applyFont="1" applyBorder="1" applyAlignment="1">
      <alignment horizontal="right" vertical="center" wrapText="1"/>
    </xf>
    <xf numFmtId="0" fontId="4" fillId="0" borderId="12" xfId="0" applyFont="1" applyBorder="1" applyAlignment="1">
      <alignment horizontal="right" vertical="center" wrapText="1"/>
    </xf>
    <xf numFmtId="176" fontId="4" fillId="0" borderId="13" xfId="0" applyNumberFormat="1" applyFont="1" applyBorder="1" applyAlignment="1">
      <alignment horizontal="left" vertical="center" wrapText="1"/>
    </xf>
    <xf numFmtId="176" fontId="4" fillId="0" borderId="11" xfId="0" applyNumberFormat="1" applyFont="1" applyBorder="1" applyAlignment="1">
      <alignment horizontal="left" vertical="center" wrapText="1"/>
    </xf>
    <xf numFmtId="176" fontId="4" fillId="0" borderId="16" xfId="0" applyNumberFormat="1" applyFont="1" applyBorder="1" applyAlignment="1">
      <alignment horizontal="left" vertical="center" wrapText="1"/>
    </xf>
    <xf numFmtId="0" fontId="9" fillId="0" borderId="0" xfId="0" applyFont="1" applyAlignment="1">
      <alignment horizontal="center" vertical="center"/>
    </xf>
    <xf numFmtId="0" fontId="0" fillId="0" borderId="0" xfId="0"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left" vertical="center" wrapText="1"/>
    </xf>
    <xf numFmtId="0" fontId="16" fillId="2" borderId="3" xfId="0" applyFont="1" applyFill="1" applyBorder="1" applyAlignment="1">
      <alignment horizontal="center" vertical="center" wrapText="1" shrinkToFit="1" readingOrder="1"/>
    </xf>
    <xf numFmtId="0" fontId="16" fillId="2" borderId="4" xfId="0" applyFont="1" applyFill="1" applyBorder="1" applyAlignment="1">
      <alignment horizontal="center" vertical="center" wrapText="1" shrinkToFit="1" readingOrder="1"/>
    </xf>
    <xf numFmtId="0" fontId="16" fillId="2" borderId="17" xfId="0" applyFont="1" applyFill="1" applyBorder="1" applyAlignment="1">
      <alignment horizontal="center" vertical="center" wrapText="1" shrinkToFit="1" readingOrder="1"/>
    </xf>
    <xf numFmtId="0" fontId="16" fillId="2" borderId="18" xfId="0" applyFont="1" applyFill="1" applyBorder="1" applyAlignment="1">
      <alignment horizontal="center" vertical="center" wrapText="1" shrinkToFit="1" readingOrder="1"/>
    </xf>
    <xf numFmtId="0" fontId="16" fillId="2" borderId="19" xfId="0" applyFont="1" applyFill="1" applyBorder="1" applyAlignment="1">
      <alignment horizontal="center" vertical="center" wrapText="1" shrinkToFit="1" readingOrder="1"/>
    </xf>
    <xf numFmtId="0" fontId="16" fillId="2" borderId="21" xfId="0" applyFont="1" applyFill="1" applyBorder="1" applyAlignment="1">
      <alignment horizontal="center" vertical="center" wrapText="1" shrinkToFit="1" readingOrder="1"/>
    </xf>
    <xf numFmtId="0" fontId="16" fillId="2" borderId="20" xfId="0" applyFont="1" applyFill="1" applyBorder="1" applyAlignment="1">
      <alignment horizontal="center" vertical="center" wrapText="1" shrinkToFit="1" readingOrder="1"/>
    </xf>
    <xf numFmtId="0" fontId="19" fillId="4" borderId="0" xfId="0" applyFont="1" applyFill="1" applyAlignment="1">
      <alignment horizontal="center" vertical="center"/>
    </xf>
    <xf numFmtId="0" fontId="20" fillId="0" borderId="24" xfId="0" applyFont="1" applyBorder="1" applyAlignment="1">
      <alignment horizontal="center" vertical="center" wrapText="1"/>
    </xf>
    <xf numFmtId="0" fontId="20" fillId="0" borderId="24" xfId="0" applyFont="1" applyBorder="1" applyAlignment="1"/>
    <xf numFmtId="0" fontId="20" fillId="0" borderId="6" xfId="0" applyFont="1" applyBorder="1" applyAlignment="1">
      <alignment horizontal="center" vertical="center" wrapText="1"/>
    </xf>
    <xf numFmtId="0" fontId="20" fillId="0" borderId="6" xfId="0" applyFont="1" applyBorder="1" applyAlignment="1"/>
    <xf numFmtId="0" fontId="20" fillId="0" borderId="26" xfId="0" applyFont="1" applyBorder="1" applyAlignment="1">
      <alignment horizontal="center" vertical="center" wrapText="1"/>
    </xf>
    <xf numFmtId="0" fontId="20" fillId="0" borderId="26" xfId="0" applyFont="1" applyBorder="1" applyAlignment="1"/>
    <xf numFmtId="0" fontId="20" fillId="0" borderId="26" xfId="0" applyFont="1" applyBorder="1" applyAlignment="1">
      <alignment vertical="center" wrapText="1"/>
    </xf>
    <xf numFmtId="0" fontId="20" fillId="0" borderId="26" xfId="0" applyFont="1" applyBorder="1">
      <alignment vertical="center"/>
    </xf>
    <xf numFmtId="0" fontId="20" fillId="0" borderId="39" xfId="0" applyFont="1" applyBorder="1" applyAlignment="1">
      <alignment horizontal="center" vertical="center" wrapText="1"/>
    </xf>
    <xf numFmtId="0" fontId="10" fillId="0" borderId="6" xfId="0" applyFont="1" applyBorder="1">
      <alignment vertical="center"/>
    </xf>
    <xf numFmtId="0" fontId="10" fillId="4" borderId="0" xfId="0" applyFont="1" applyFill="1" applyAlignment="1" applyProtection="1">
      <alignment horizontal="center" vertical="center"/>
      <protection locked="0"/>
    </xf>
    <xf numFmtId="0" fontId="17" fillId="5" borderId="22" xfId="0" applyFont="1" applyFill="1" applyBorder="1" applyAlignment="1">
      <alignment horizontal="center" vertical="center" wrapText="1" readingOrder="1"/>
    </xf>
    <xf numFmtId="0" fontId="17" fillId="5" borderId="23" xfId="0" applyFont="1" applyFill="1" applyBorder="1" applyAlignment="1">
      <alignment horizontal="center" vertical="center" wrapText="1" readingOrder="1"/>
    </xf>
    <xf numFmtId="0" fontId="17" fillId="5" borderId="1" xfId="0" applyFont="1" applyFill="1" applyBorder="1" applyAlignment="1">
      <alignment horizontal="center" vertical="center" wrapText="1" readingOrder="1"/>
    </xf>
    <xf numFmtId="0" fontId="17" fillId="5" borderId="15" xfId="0" applyFont="1" applyFill="1" applyBorder="1" applyAlignment="1">
      <alignment horizontal="center" vertical="center" wrapText="1" readingOrder="1"/>
    </xf>
    <xf numFmtId="0" fontId="18" fillId="4" borderId="0" xfId="0" applyFont="1" applyFill="1" applyAlignment="1">
      <alignment horizontal="center" vertical="center"/>
    </xf>
    <xf numFmtId="0" fontId="20" fillId="0" borderId="5" xfId="0" applyFont="1" applyBorder="1" applyAlignment="1">
      <alignment horizontal="center" vertical="center" wrapText="1"/>
    </xf>
    <xf numFmtId="0" fontId="20" fillId="0" borderId="5" xfId="0" applyFont="1" applyBorder="1" applyAlignment="1"/>
    <xf numFmtId="0" fontId="20" fillId="0" borderId="40" xfId="0" applyFont="1" applyBorder="1" applyAlignment="1">
      <alignment horizontal="center" vertical="center" wrapText="1"/>
    </xf>
    <xf numFmtId="0" fontId="10" fillId="0" borderId="40" xfId="0" applyFont="1" applyBorder="1">
      <alignment vertical="center"/>
    </xf>
    <xf numFmtId="0" fontId="20" fillId="0" borderId="42" xfId="0" applyFont="1" applyBorder="1" applyAlignment="1">
      <alignment horizontal="center" vertical="center" wrapText="1"/>
    </xf>
    <xf numFmtId="0" fontId="20" fillId="0" borderId="42" xfId="0" applyFont="1" applyBorder="1" applyAlignment="1"/>
    <xf numFmtId="0" fontId="10" fillId="0" borderId="3" xfId="0" applyFont="1" applyBorder="1" applyAlignment="1">
      <alignment horizontal="left" vertical="center" wrapText="1"/>
    </xf>
    <xf numFmtId="0" fontId="10" fillId="0" borderId="3" xfId="0" applyFont="1" applyBorder="1">
      <alignment vertical="center"/>
    </xf>
    <xf numFmtId="0" fontId="18" fillId="4" borderId="33" xfId="0" applyFont="1" applyFill="1" applyBorder="1" applyAlignment="1">
      <alignment horizontal="center" vertical="center"/>
    </xf>
    <xf numFmtId="0" fontId="10" fillId="0" borderId="5" xfId="0" applyFont="1" applyBorder="1">
      <alignment vertical="center"/>
    </xf>
    <xf numFmtId="0" fontId="10" fillId="0" borderId="5" xfId="0" applyFont="1" applyBorder="1" applyAlignment="1">
      <alignment vertical="center" wrapText="1"/>
    </xf>
    <xf numFmtId="0" fontId="18" fillId="4" borderId="35" xfId="0" applyFont="1" applyFill="1" applyBorder="1" applyAlignment="1">
      <alignment horizontal="center" vertical="center"/>
    </xf>
    <xf numFmtId="0" fontId="20" fillId="0" borderId="36" xfId="0" applyFont="1" applyBorder="1" applyAlignment="1">
      <alignment vertical="center" wrapText="1"/>
    </xf>
    <xf numFmtId="0" fontId="10" fillId="0" borderId="18" xfId="0" applyFont="1" applyBorder="1">
      <alignment vertical="center"/>
    </xf>
    <xf numFmtId="0" fontId="10" fillId="0" borderId="36" xfId="0" applyFont="1" applyBorder="1">
      <alignment vertical="center"/>
    </xf>
    <xf numFmtId="0" fontId="10" fillId="0" borderId="37" xfId="0" applyFont="1" applyBorder="1">
      <alignment vertical="center"/>
    </xf>
    <xf numFmtId="0" fontId="10" fillId="0" borderId="30" xfId="0" applyFont="1" applyBorder="1" applyAlignment="1">
      <alignment horizontal="center" vertical="center" wrapText="1"/>
    </xf>
    <xf numFmtId="0" fontId="10" fillId="0" borderId="31" xfId="0" applyFont="1" applyBorder="1">
      <alignment vertical="center"/>
    </xf>
    <xf numFmtId="0" fontId="10" fillId="0" borderId="29" xfId="0" applyFont="1" applyBorder="1" applyAlignment="1">
      <alignment horizontal="center" vertical="center" wrapText="1"/>
    </xf>
    <xf numFmtId="0" fontId="10" fillId="0" borderId="32" xfId="0" applyFont="1" applyBorder="1">
      <alignment vertical="center"/>
    </xf>
    <xf numFmtId="0" fontId="10" fillId="0" borderId="33" xfId="0" applyFont="1" applyBorder="1">
      <alignment vertical="center"/>
    </xf>
    <xf numFmtId="0" fontId="20" fillId="0" borderId="30" xfId="0" applyFont="1" applyBorder="1" applyAlignment="1">
      <alignment horizontal="center" vertical="center" wrapText="1"/>
    </xf>
    <xf numFmtId="0" fontId="10" fillId="0" borderId="19" xfId="0" applyFont="1" applyBorder="1">
      <alignment vertical="center"/>
    </xf>
    <xf numFmtId="0" fontId="10" fillId="0" borderId="21" xfId="0" applyFont="1" applyBorder="1">
      <alignment vertical="center"/>
    </xf>
    <xf numFmtId="0" fontId="10" fillId="0" borderId="2" xfId="0" applyFont="1" applyBorder="1" applyAlignment="1">
      <alignment vertical="center" wrapText="1"/>
    </xf>
    <xf numFmtId="0" fontId="10" fillId="0" borderId="4" xfId="0" applyFont="1" applyBorder="1">
      <alignment vertical="center"/>
    </xf>
    <xf numFmtId="0" fontId="18" fillId="4" borderId="17" xfId="0" applyFont="1" applyFill="1" applyBorder="1" applyAlignment="1">
      <alignment horizontal="center" vertical="center"/>
    </xf>
    <xf numFmtId="0" fontId="20" fillId="0" borderId="38" xfId="0" applyFont="1" applyBorder="1" applyAlignment="1">
      <alignment horizontal="center" vertical="center" wrapText="1"/>
    </xf>
    <xf numFmtId="0" fontId="10" fillId="0" borderId="27" xfId="0" applyFont="1" applyBorder="1">
      <alignment vertical="center"/>
    </xf>
    <xf numFmtId="0" fontId="10" fillId="0" borderId="29" xfId="0" applyFont="1" applyBorder="1" applyAlignment="1">
      <alignment vertical="center" wrapText="1"/>
    </xf>
    <xf numFmtId="0" fontId="10" fillId="0" borderId="5" xfId="0" applyFont="1" applyBorder="1" applyAlignment="1">
      <alignment horizontal="center" vertical="center"/>
    </xf>
    <xf numFmtId="0" fontId="10" fillId="6" borderId="5" xfId="0" applyFont="1" applyFill="1" applyBorder="1" applyAlignment="1">
      <alignment horizontal="center" vertical="center"/>
    </xf>
    <xf numFmtId="0" fontId="10" fillId="0" borderId="39" xfId="0" applyFont="1" applyBorder="1" applyAlignment="1">
      <alignment horizontal="center" vertical="center"/>
    </xf>
    <xf numFmtId="0" fontId="10" fillId="0" borderId="6" xfId="0" applyFont="1" applyBorder="1" applyAlignment="1">
      <alignment horizontal="center" vertical="center"/>
    </xf>
    <xf numFmtId="0" fontId="28" fillId="0" borderId="22" xfId="0" applyFont="1" applyBorder="1" applyAlignment="1">
      <alignment horizontal="center" vertical="center" wrapText="1" readingOrder="1"/>
    </xf>
    <xf numFmtId="0" fontId="28" fillId="0" borderId="48" xfId="0" applyFont="1" applyBorder="1" applyAlignment="1">
      <alignment horizontal="center" vertical="center" wrapText="1" readingOrder="1"/>
    </xf>
    <xf numFmtId="0" fontId="28" fillId="0" borderId="23" xfId="0" applyFont="1" applyBorder="1" applyAlignment="1">
      <alignment horizontal="center" vertical="center" wrapText="1" readingOrder="1"/>
    </xf>
    <xf numFmtId="0" fontId="28" fillId="0" borderId="13" xfId="0" applyFont="1" applyBorder="1" applyAlignment="1">
      <alignment horizontal="center" vertical="center" wrapText="1" readingOrder="1"/>
    </xf>
    <xf numFmtId="0" fontId="28" fillId="0" borderId="11" xfId="0" applyFont="1" applyBorder="1" applyAlignment="1">
      <alignment horizontal="center" vertical="center" wrapText="1" readingOrder="1"/>
    </xf>
    <xf numFmtId="0" fontId="28" fillId="0" borderId="12" xfId="0" applyFont="1" applyBorder="1" applyAlignment="1">
      <alignment horizontal="center" vertical="center" wrapText="1" readingOrder="1"/>
    </xf>
    <xf numFmtId="0" fontId="27" fillId="2" borderId="45" xfId="0" applyFont="1" applyFill="1" applyBorder="1" applyAlignment="1">
      <alignment horizontal="center" vertical="center" wrapText="1" readingOrder="1"/>
    </xf>
    <xf numFmtId="0" fontId="27" fillId="2" borderId="46" xfId="0" applyFont="1" applyFill="1" applyBorder="1" applyAlignment="1">
      <alignment horizontal="center" vertical="center" wrapText="1" readingOrder="1"/>
    </xf>
    <xf numFmtId="0" fontId="27" fillId="2" borderId="47" xfId="0" applyFont="1" applyFill="1" applyBorder="1" applyAlignment="1">
      <alignment horizontal="center" vertical="center"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岑美欣" id="{79B1A093-3FC2-4323-A616-F7E824503AF0}" userId="" providerI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11" dT="2024-12-11T06:53:45.00" personId="{79B1A093-3FC2-4323-A616-F7E824503AF0}" id="{5CB9273C-AD83-49E2-815D-AF9F3F8228E9}">
    <text>跨境收单部分里程碑应与关键策略相对应。</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8"/>
  <sheetViews>
    <sheetView tabSelected="1" zoomScale="85" zoomScaleNormal="85" workbookViewId="0">
      <selection activeCell="C4" sqref="C4"/>
    </sheetView>
  </sheetViews>
  <sheetFormatPr baseColWidth="10" defaultColWidth="9" defaultRowHeight="15"/>
  <cols>
    <col min="1" max="1" width="3" style="1" customWidth="1"/>
    <col min="2" max="2" width="15.5" style="1" customWidth="1"/>
    <col min="3" max="3" width="30.6640625" style="1" customWidth="1"/>
    <col min="4" max="4" width="31.5" style="1" customWidth="1"/>
    <col min="5" max="5" width="14.33203125" style="7" customWidth="1"/>
    <col min="6" max="6" width="31.83203125" style="1" customWidth="1"/>
    <col min="7" max="7" width="14.6640625" style="1" customWidth="1"/>
    <col min="8" max="8" width="38.5" style="1" customWidth="1"/>
    <col min="9" max="9" width="45.6640625" style="1" customWidth="1"/>
    <col min="10" max="16384" width="9" style="1"/>
  </cols>
  <sheetData>
    <row r="2" spans="1:9" ht="27" customHeight="1">
      <c r="B2" s="8" t="s">
        <v>0</v>
      </c>
      <c r="C2" s="9" t="s">
        <v>531</v>
      </c>
      <c r="D2" s="9" t="s">
        <v>532</v>
      </c>
      <c r="E2" s="9" t="s">
        <v>1</v>
      </c>
      <c r="F2" s="9" t="s">
        <v>2</v>
      </c>
      <c r="G2" s="9" t="s">
        <v>3</v>
      </c>
      <c r="H2" s="9" t="s">
        <v>4</v>
      </c>
      <c r="I2" s="23" t="s">
        <v>5</v>
      </c>
    </row>
    <row r="3" spans="1:9" s="6" customFormat="1" ht="30" customHeight="1">
      <c r="A3" s="10"/>
      <c r="B3" s="11" t="s">
        <v>6</v>
      </c>
      <c r="C3" s="12" t="s">
        <v>7</v>
      </c>
      <c r="D3" s="12" t="s">
        <v>8</v>
      </c>
      <c r="E3" s="13" t="s">
        <v>9</v>
      </c>
      <c r="F3" s="12" t="s">
        <v>10</v>
      </c>
      <c r="G3" s="12" t="s">
        <v>11</v>
      </c>
      <c r="H3" s="12" t="s">
        <v>12</v>
      </c>
      <c r="I3" s="24" t="s">
        <v>13</v>
      </c>
    </row>
    <row r="4" spans="1:9" s="6" customFormat="1" ht="13">
      <c r="A4" s="10"/>
      <c r="B4" s="14"/>
      <c r="C4" s="15"/>
      <c r="D4" s="15"/>
      <c r="E4" s="16"/>
      <c r="F4" s="15"/>
      <c r="G4" s="17"/>
      <c r="H4" s="15"/>
      <c r="I4" s="25"/>
    </row>
    <row r="5" spans="1:9" s="6" customFormat="1" ht="13">
      <c r="B5" s="14"/>
      <c r="C5" s="15"/>
      <c r="D5" s="15"/>
      <c r="E5" s="16"/>
      <c r="F5" s="15"/>
      <c r="G5" s="17"/>
      <c r="H5" s="15"/>
      <c r="I5" s="25"/>
    </row>
    <row r="6" spans="1:9" s="6" customFormat="1" ht="13">
      <c r="B6" s="14"/>
      <c r="C6" s="15"/>
      <c r="D6" s="15"/>
      <c r="E6" s="16"/>
      <c r="F6" s="15"/>
      <c r="G6" s="17"/>
      <c r="H6" s="15"/>
      <c r="I6" s="25"/>
    </row>
    <row r="7" spans="1:9" s="6" customFormat="1" ht="13">
      <c r="B7" s="18"/>
      <c r="C7" s="15"/>
      <c r="D7" s="15"/>
      <c r="E7" s="19"/>
      <c r="F7" s="15"/>
      <c r="G7" s="20"/>
      <c r="H7" s="15"/>
      <c r="I7" s="26"/>
    </row>
    <row r="8" spans="1:9" s="6" customFormat="1" ht="13">
      <c r="B8" s="18"/>
      <c r="C8" s="15"/>
      <c r="D8" s="15"/>
      <c r="E8" s="19"/>
      <c r="F8" s="15"/>
      <c r="G8" s="20"/>
      <c r="H8" s="15"/>
      <c r="I8" s="26"/>
    </row>
    <row r="9" spans="1:9" s="6" customFormat="1" ht="13">
      <c r="B9" s="18"/>
      <c r="C9" s="15"/>
      <c r="D9" s="15"/>
      <c r="E9" s="19"/>
      <c r="F9" s="15"/>
      <c r="G9" s="20"/>
      <c r="H9" s="15"/>
      <c r="I9" s="26"/>
    </row>
    <row r="10" spans="1:9" s="6" customFormat="1" ht="13">
      <c r="B10" s="18"/>
      <c r="C10" s="15"/>
      <c r="D10" s="15"/>
      <c r="E10" s="19"/>
      <c r="F10" s="15"/>
      <c r="G10" s="20"/>
      <c r="H10" s="15"/>
      <c r="I10" s="26"/>
    </row>
    <row r="11" spans="1:9" s="6" customFormat="1" ht="13">
      <c r="B11" s="18"/>
      <c r="C11" s="15"/>
      <c r="D11" s="15"/>
      <c r="E11" s="19"/>
      <c r="F11" s="15"/>
      <c r="G11" s="20"/>
      <c r="H11" s="15"/>
      <c r="I11" s="26"/>
    </row>
    <row r="12" spans="1:9" s="6" customFormat="1" ht="13">
      <c r="B12" s="18"/>
      <c r="C12" s="15"/>
      <c r="D12" s="15"/>
      <c r="E12" s="19"/>
      <c r="F12" s="15"/>
      <c r="G12" s="20"/>
      <c r="H12" s="15"/>
      <c r="I12" s="26"/>
    </row>
    <row r="13" spans="1:9" s="6" customFormat="1" ht="13">
      <c r="B13" s="18"/>
      <c r="C13" s="15"/>
      <c r="D13" s="15"/>
      <c r="E13" s="19"/>
      <c r="F13" s="15"/>
      <c r="G13" s="20"/>
      <c r="H13" s="15"/>
      <c r="I13" s="26"/>
    </row>
    <row r="14" spans="1:9" s="6" customFormat="1" ht="13">
      <c r="B14" s="18"/>
      <c r="C14" s="15"/>
      <c r="D14" s="15"/>
      <c r="E14" s="19"/>
      <c r="F14" s="15"/>
      <c r="G14" s="20"/>
      <c r="H14" s="15"/>
      <c r="I14" s="26"/>
    </row>
    <row r="15" spans="1:9" s="6" customFormat="1" ht="13">
      <c r="B15" s="18"/>
      <c r="C15" s="15"/>
      <c r="D15" s="15"/>
      <c r="E15" s="19"/>
      <c r="F15" s="15"/>
      <c r="G15" s="20"/>
      <c r="H15" s="15"/>
      <c r="I15" s="26"/>
    </row>
    <row r="16" spans="1:9" s="6" customFormat="1" ht="13">
      <c r="B16" s="18"/>
      <c r="C16" s="15"/>
      <c r="D16" s="15"/>
      <c r="E16" s="19"/>
      <c r="F16" s="15"/>
      <c r="G16" s="20"/>
      <c r="H16" s="15"/>
      <c r="I16" s="26"/>
    </row>
    <row r="17" spans="2:9" s="6" customFormat="1" ht="13">
      <c r="B17" s="18"/>
      <c r="C17" s="15"/>
      <c r="D17" s="15"/>
      <c r="E17" s="19"/>
      <c r="F17" s="15"/>
      <c r="G17" s="20"/>
      <c r="H17" s="15"/>
      <c r="I17" s="26"/>
    </row>
    <row r="18" spans="2:9" s="6" customFormat="1" ht="13">
      <c r="B18" s="18"/>
      <c r="C18" s="15"/>
      <c r="D18" s="15"/>
      <c r="E18" s="19"/>
      <c r="F18" s="15"/>
      <c r="G18" s="20"/>
      <c r="H18" s="15"/>
      <c r="I18" s="26"/>
    </row>
    <row r="19" spans="2:9" s="6" customFormat="1" ht="13">
      <c r="B19" s="18"/>
      <c r="C19" s="15"/>
      <c r="D19" s="15"/>
      <c r="E19" s="19"/>
      <c r="F19" s="15"/>
      <c r="G19" s="20"/>
      <c r="H19" s="15"/>
      <c r="I19" s="26"/>
    </row>
    <row r="20" spans="2:9" s="6" customFormat="1" ht="13">
      <c r="B20" s="18"/>
      <c r="C20" s="15"/>
      <c r="D20" s="15"/>
      <c r="E20" s="19"/>
      <c r="F20" s="15"/>
      <c r="G20" s="20"/>
      <c r="H20" s="15"/>
      <c r="I20" s="26"/>
    </row>
    <row r="21" spans="2:9" s="6" customFormat="1" ht="13">
      <c r="B21" s="18"/>
      <c r="C21" s="15"/>
      <c r="D21" s="15"/>
      <c r="E21" s="19"/>
      <c r="F21" s="15"/>
      <c r="G21" s="20"/>
      <c r="H21" s="15"/>
      <c r="I21" s="26"/>
    </row>
    <row r="22" spans="2:9" s="6" customFormat="1" ht="13">
      <c r="B22" s="18"/>
      <c r="C22" s="15"/>
      <c r="D22" s="15"/>
      <c r="E22" s="19"/>
      <c r="F22" s="15"/>
      <c r="G22" s="20"/>
      <c r="H22" s="15"/>
      <c r="I22" s="26"/>
    </row>
    <row r="23" spans="2:9" s="6" customFormat="1" ht="13">
      <c r="B23" s="18"/>
      <c r="C23" s="15"/>
      <c r="D23" s="15"/>
      <c r="E23" s="19"/>
      <c r="F23" s="15"/>
      <c r="G23" s="20"/>
      <c r="H23" s="15"/>
      <c r="I23" s="26"/>
    </row>
    <row r="24" spans="2:9" s="6" customFormat="1" ht="13">
      <c r="B24" s="18"/>
      <c r="C24" s="15"/>
      <c r="D24" s="15"/>
      <c r="E24" s="19"/>
      <c r="F24" s="15"/>
      <c r="G24" s="20"/>
      <c r="H24" s="15"/>
      <c r="I24" s="26"/>
    </row>
    <row r="25" spans="2:9" s="6" customFormat="1" ht="13">
      <c r="B25" s="18"/>
      <c r="C25" s="15"/>
      <c r="D25" s="15"/>
      <c r="E25" s="19"/>
      <c r="F25" s="15"/>
      <c r="G25" s="20"/>
      <c r="H25" s="15"/>
      <c r="I25" s="26"/>
    </row>
    <row r="26" spans="2:9" s="6" customFormat="1" ht="13">
      <c r="B26" s="18"/>
      <c r="C26" s="15"/>
      <c r="D26" s="15"/>
      <c r="E26" s="19"/>
      <c r="F26" s="15"/>
      <c r="G26" s="20"/>
      <c r="H26" s="15"/>
      <c r="I26" s="26"/>
    </row>
    <row r="27" spans="2:9" s="6" customFormat="1" ht="13">
      <c r="B27" s="18"/>
      <c r="C27" s="15"/>
      <c r="D27" s="15"/>
      <c r="E27" s="19"/>
      <c r="F27" s="15"/>
      <c r="G27" s="20"/>
      <c r="H27" s="15"/>
      <c r="I27" s="26"/>
    </row>
    <row r="28" spans="2:9" s="6" customFormat="1" ht="13">
      <c r="B28" s="18"/>
      <c r="C28" s="15"/>
      <c r="D28" s="15"/>
      <c r="E28" s="19"/>
      <c r="F28" s="15"/>
      <c r="G28" s="20"/>
      <c r="H28" s="15"/>
      <c r="I28" s="26"/>
    </row>
    <row r="29" spans="2:9" s="6" customFormat="1" ht="13">
      <c r="B29" s="18"/>
      <c r="C29" s="15"/>
      <c r="D29" s="15"/>
      <c r="E29" s="19"/>
      <c r="F29" s="15"/>
      <c r="G29" s="20"/>
      <c r="H29" s="15"/>
      <c r="I29" s="26"/>
    </row>
    <row r="30" spans="2:9" s="6" customFormat="1" ht="13">
      <c r="B30" s="18"/>
      <c r="C30" s="15"/>
      <c r="D30" s="15"/>
      <c r="E30" s="19"/>
      <c r="F30" s="15"/>
      <c r="G30" s="20"/>
      <c r="H30" s="15"/>
      <c r="I30" s="26"/>
    </row>
    <row r="31" spans="2:9" s="6" customFormat="1" ht="13">
      <c r="B31" s="18"/>
      <c r="C31" s="15"/>
      <c r="D31" s="15"/>
      <c r="E31" s="19"/>
      <c r="F31" s="15"/>
      <c r="G31" s="20"/>
      <c r="H31" s="15"/>
      <c r="I31" s="26"/>
    </row>
    <row r="32" spans="2:9" s="6" customFormat="1" ht="13">
      <c r="B32" s="18"/>
      <c r="C32" s="15"/>
      <c r="D32" s="15"/>
      <c r="E32" s="19"/>
      <c r="F32" s="15"/>
      <c r="G32" s="20"/>
      <c r="H32" s="15"/>
      <c r="I32" s="26"/>
    </row>
    <row r="33" spans="2:9" s="6" customFormat="1" ht="13">
      <c r="B33" s="18"/>
      <c r="C33" s="15"/>
      <c r="D33" s="15"/>
      <c r="E33" s="19"/>
      <c r="F33" s="15"/>
      <c r="G33" s="20"/>
      <c r="H33" s="15"/>
      <c r="I33" s="26"/>
    </row>
    <row r="34" spans="2:9" s="6" customFormat="1" ht="13">
      <c r="B34" s="18"/>
      <c r="C34" s="15"/>
      <c r="D34" s="15"/>
      <c r="E34" s="19"/>
      <c r="F34" s="15"/>
      <c r="G34" s="20"/>
      <c r="H34" s="15"/>
      <c r="I34" s="26"/>
    </row>
    <row r="35" spans="2:9" s="6" customFormat="1" ht="13">
      <c r="B35" s="18"/>
      <c r="C35" s="15"/>
      <c r="D35" s="15"/>
      <c r="E35" s="19"/>
      <c r="F35" s="15"/>
      <c r="G35" s="20"/>
      <c r="H35" s="15"/>
      <c r="I35" s="26"/>
    </row>
    <row r="36" spans="2:9" s="6" customFormat="1" ht="13">
      <c r="B36" s="18"/>
      <c r="C36" s="15"/>
      <c r="D36" s="15"/>
      <c r="E36" s="19"/>
      <c r="F36" s="15"/>
      <c r="G36" s="20"/>
      <c r="H36" s="15"/>
      <c r="I36" s="26"/>
    </row>
    <row r="37" spans="2:9" s="6" customFormat="1" ht="13">
      <c r="B37" s="18"/>
      <c r="C37" s="15"/>
      <c r="D37" s="15"/>
      <c r="E37" s="19"/>
      <c r="F37" s="15"/>
      <c r="G37" s="20"/>
      <c r="H37" s="15"/>
      <c r="I37" s="26"/>
    </row>
    <row r="38" spans="2:9" s="6" customFormat="1" ht="14.25" customHeight="1">
      <c r="B38" s="119" t="s">
        <v>22</v>
      </c>
      <c r="C38" s="120"/>
      <c r="D38" s="121"/>
      <c r="E38" s="22"/>
      <c r="F38" s="21"/>
      <c r="G38" s="122">
        <f>SUM(G4:G37)</f>
        <v>0</v>
      </c>
      <c r="H38" s="123"/>
      <c r="I38" s="124"/>
    </row>
  </sheetData>
  <mergeCells count="2">
    <mergeCell ref="B38:D38"/>
    <mergeCell ref="G38:I38"/>
  </mergeCells>
  <phoneticPr fontId="8" type="noConversion"/>
  <dataValidations count="1">
    <dataValidation type="list" allowBlank="1" showInputMessage="1" showErrorMessage="1" sqref="D35 D4:D6 D7:D9 D10:D12 D13:D15 D16:D23 D24:D28 D29:D30 D31:D34 D36:D37 F4:F37" xr:uid="{00000000-0002-0000-0000-000000000000}">
      <formula1>INDIRECT(C4)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数据标签!$C$15:$E$15</xm:f>
          </x14:formula1>
          <xm:sqref>E4:E37</xm:sqref>
        </x14:dataValidation>
        <x14:dataValidation type="list" allowBlank="1" showInputMessage="1" showErrorMessage="1" xr:uid="{00000000-0002-0000-0000-000003000000}">
          <x14:formula1>
            <xm:f>数据标签!$C$36:$C$47</xm:f>
          </x14:formula1>
          <xm:sqref>H4:H37</xm:sqref>
        </x14:dataValidation>
        <x14:dataValidation type="list" allowBlank="1" showInputMessage="1" showErrorMessage="1" xr:uid="{C0F5F05C-A366-2A49-BE19-AAF25748E918}">
          <x14:formula1>
            <xm:f>数据标签!$C$1:$K$1</xm:f>
          </x14:formula1>
          <xm:sqref>C4:C37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7"/>
  <sheetViews>
    <sheetView zoomScale="85" zoomScaleNormal="85" workbookViewId="0">
      <selection activeCell="K14" sqref="K14"/>
    </sheetView>
  </sheetViews>
  <sheetFormatPr baseColWidth="10" defaultColWidth="8.83203125" defaultRowHeight="15"/>
  <cols>
    <col min="2" max="2" width="5.33203125" customWidth="1"/>
    <col min="3" max="3" width="37.33203125" customWidth="1"/>
    <col min="4" max="4" width="32.5" customWidth="1"/>
    <col min="5" max="5" width="30.83203125" customWidth="1"/>
    <col min="6" max="6" width="24.6640625" customWidth="1"/>
    <col min="7" max="7" width="24.33203125" customWidth="1"/>
    <col min="8" max="8" width="23.5" customWidth="1"/>
    <col min="9" max="9" width="23.33203125" customWidth="1"/>
    <col min="10" max="10" width="25.33203125" customWidth="1"/>
    <col min="11" max="11" width="22" customWidth="1"/>
  </cols>
  <sheetData>
    <row r="1" spans="1:11" ht="16">
      <c r="A1" t="s">
        <v>23</v>
      </c>
      <c r="B1" s="2" t="s">
        <v>24</v>
      </c>
      <c r="C1" s="3" t="s">
        <v>14</v>
      </c>
      <c r="D1" s="3" t="s">
        <v>25</v>
      </c>
      <c r="E1" s="3" t="s">
        <v>26</v>
      </c>
      <c r="F1" s="3" t="s">
        <v>27</v>
      </c>
      <c r="G1" s="3" t="s">
        <v>28</v>
      </c>
      <c r="H1" s="3" t="s">
        <v>29</v>
      </c>
      <c r="I1" s="3" t="s">
        <v>17</v>
      </c>
      <c r="J1" s="3" t="s">
        <v>506</v>
      </c>
      <c r="K1" s="3" t="s">
        <v>534</v>
      </c>
    </row>
    <row r="2" spans="1:11" ht="32">
      <c r="A2" s="126" t="s">
        <v>30</v>
      </c>
      <c r="B2" s="126" t="s">
        <v>31</v>
      </c>
      <c r="C2" s="5" t="s">
        <v>517</v>
      </c>
      <c r="D2" s="5" t="s">
        <v>514</v>
      </c>
      <c r="E2" s="5" t="s">
        <v>32</v>
      </c>
      <c r="F2" s="4" t="s">
        <v>33</v>
      </c>
      <c r="G2" s="4" t="s">
        <v>34</v>
      </c>
      <c r="H2" s="4" t="s">
        <v>35</v>
      </c>
      <c r="I2" s="4" t="s">
        <v>36</v>
      </c>
      <c r="J2" s="113" t="s">
        <v>501</v>
      </c>
      <c r="K2" s="113" t="s">
        <v>535</v>
      </c>
    </row>
    <row r="3" spans="1:11" ht="32">
      <c r="A3" s="126"/>
      <c r="B3" s="126"/>
      <c r="C3" s="5" t="s">
        <v>518</v>
      </c>
      <c r="D3" s="5" t="s">
        <v>515</v>
      </c>
      <c r="E3" s="115" t="s">
        <v>37</v>
      </c>
      <c r="F3" s="4" t="s">
        <v>38</v>
      </c>
      <c r="G3" s="4" t="s">
        <v>39</v>
      </c>
      <c r="H3" s="118" t="s">
        <v>536</v>
      </c>
      <c r="I3" s="4" t="s">
        <v>40</v>
      </c>
      <c r="J3" s="113" t="s">
        <v>502</v>
      </c>
      <c r="K3" s="113" t="s">
        <v>540</v>
      </c>
    </row>
    <row r="4" spans="1:11" ht="32">
      <c r="A4" s="126"/>
      <c r="B4" s="126"/>
      <c r="C4" s="5" t="s">
        <v>520</v>
      </c>
      <c r="D4" s="5" t="s">
        <v>516</v>
      </c>
      <c r="E4" s="5" t="s">
        <v>41</v>
      </c>
      <c r="F4" s="4" t="s">
        <v>42</v>
      </c>
      <c r="G4" s="4" t="s">
        <v>43</v>
      </c>
      <c r="H4" s="118" t="s">
        <v>537</v>
      </c>
      <c r="I4" s="4" t="s">
        <v>44</v>
      </c>
      <c r="J4" s="113" t="s">
        <v>503</v>
      </c>
      <c r="K4" s="113" t="s">
        <v>541</v>
      </c>
    </row>
    <row r="5" spans="1:11" ht="32">
      <c r="A5" s="126"/>
      <c r="B5" s="126"/>
      <c r="C5" s="5" t="s">
        <v>523</v>
      </c>
      <c r="D5" s="5" t="s">
        <v>519</v>
      </c>
      <c r="E5" s="5" t="s">
        <v>45</v>
      </c>
      <c r="F5" s="4" t="s">
        <v>46</v>
      </c>
      <c r="H5" s="117" t="s">
        <v>538</v>
      </c>
      <c r="I5" t="s">
        <v>47</v>
      </c>
      <c r="J5" s="113" t="s">
        <v>504</v>
      </c>
      <c r="K5" s="113" t="s">
        <v>543</v>
      </c>
    </row>
    <row r="6" spans="1:11" ht="32">
      <c r="A6" s="126"/>
      <c r="B6" s="126"/>
      <c r="C6" s="5" t="s">
        <v>524</v>
      </c>
      <c r="D6" s="5" t="s">
        <v>521</v>
      </c>
      <c r="E6" s="5"/>
      <c r="F6" s="4" t="s">
        <v>48</v>
      </c>
      <c r="G6" s="4"/>
      <c r="H6" s="27" t="s">
        <v>539</v>
      </c>
      <c r="I6" t="s">
        <v>49</v>
      </c>
      <c r="J6" s="113" t="s">
        <v>505</v>
      </c>
      <c r="K6" s="113" t="s">
        <v>542</v>
      </c>
    </row>
    <row r="7" spans="1:11" ht="16">
      <c r="A7" s="126"/>
      <c r="B7" s="126"/>
      <c r="C7" s="5" t="s">
        <v>525</v>
      </c>
      <c r="D7" s="5" t="s">
        <v>522</v>
      </c>
      <c r="E7" s="116"/>
      <c r="F7" s="27" t="s">
        <v>527</v>
      </c>
      <c r="I7" t="s">
        <v>50</v>
      </c>
    </row>
    <row r="8" spans="1:11" ht="16">
      <c r="A8" s="126"/>
      <c r="B8" s="126"/>
      <c r="C8" s="5" t="s">
        <v>528</v>
      </c>
      <c r="D8" s="5" t="s">
        <v>526</v>
      </c>
      <c r="E8" s="116"/>
      <c r="F8" s="27" t="s">
        <v>530</v>
      </c>
      <c r="I8" t="s">
        <v>51</v>
      </c>
    </row>
    <row r="9" spans="1:11">
      <c r="A9" s="126"/>
      <c r="B9" s="126"/>
      <c r="F9" s="27" t="s">
        <v>533</v>
      </c>
      <c r="I9" t="s">
        <v>18</v>
      </c>
    </row>
    <row r="15" spans="1:11">
      <c r="A15" t="s">
        <v>52</v>
      </c>
      <c r="B15" t="s">
        <v>53</v>
      </c>
      <c r="C15" t="s">
        <v>15</v>
      </c>
      <c r="D15" t="s">
        <v>19</v>
      </c>
      <c r="E15" t="s">
        <v>21</v>
      </c>
    </row>
    <row r="16" spans="1:11" ht="16">
      <c r="A16" s="126" t="s">
        <v>54</v>
      </c>
      <c r="B16" s="126" t="s">
        <v>55</v>
      </c>
      <c r="C16" s="27" t="s">
        <v>507</v>
      </c>
      <c r="D16" s="114" t="s">
        <v>280</v>
      </c>
    </row>
    <row r="17" spans="1:4">
      <c r="A17" s="126"/>
      <c r="B17" s="126"/>
      <c r="C17" t="s">
        <v>378</v>
      </c>
      <c r="D17" s="27" t="s">
        <v>508</v>
      </c>
    </row>
    <row r="18" spans="1:4">
      <c r="A18" s="126"/>
      <c r="B18" s="126"/>
      <c r="C18" t="s">
        <v>386</v>
      </c>
    </row>
    <row r="19" spans="1:4">
      <c r="A19" s="126"/>
      <c r="B19" s="126"/>
      <c r="C19" t="s">
        <v>56</v>
      </c>
    </row>
    <row r="20" spans="1:4">
      <c r="A20" s="126"/>
      <c r="B20" s="126"/>
      <c r="C20" t="s">
        <v>427</v>
      </c>
    </row>
    <row r="21" spans="1:4">
      <c r="A21" s="126"/>
      <c r="B21" s="126"/>
      <c r="C21" t="s">
        <v>434</v>
      </c>
    </row>
    <row r="22" spans="1:4">
      <c r="A22" s="126"/>
      <c r="B22" s="126"/>
      <c r="C22" t="s">
        <v>441</v>
      </c>
    </row>
    <row r="23" spans="1:4">
      <c r="A23" s="126"/>
      <c r="B23" s="126"/>
      <c r="C23" t="s">
        <v>447</v>
      </c>
    </row>
    <row r="24" spans="1:4">
      <c r="A24" s="126"/>
      <c r="B24" s="126"/>
      <c r="C24" t="s">
        <v>455</v>
      </c>
    </row>
    <row r="25" spans="1:4">
      <c r="A25" s="126"/>
      <c r="B25" s="126"/>
      <c r="C25" t="s">
        <v>460</v>
      </c>
    </row>
    <row r="26" spans="1:4">
      <c r="A26" s="126"/>
      <c r="B26" s="126"/>
      <c r="C26" t="s">
        <v>468</v>
      </c>
    </row>
    <row r="27" spans="1:4">
      <c r="A27" s="126"/>
      <c r="B27" s="126"/>
      <c r="C27" t="s">
        <v>475</v>
      </c>
    </row>
    <row r="28" spans="1:4">
      <c r="A28" s="126"/>
      <c r="B28" s="126"/>
      <c r="C28" s="27" t="s">
        <v>511</v>
      </c>
    </row>
    <row r="29" spans="1:4">
      <c r="A29" s="126"/>
      <c r="B29" s="126"/>
      <c r="C29" s="27" t="s">
        <v>512</v>
      </c>
    </row>
    <row r="30" spans="1:4">
      <c r="A30" s="126"/>
      <c r="B30" s="126"/>
      <c r="C30" s="27" t="s">
        <v>513</v>
      </c>
    </row>
    <row r="31" spans="1:4">
      <c r="A31" s="126"/>
      <c r="B31" s="126"/>
      <c r="C31" s="27" t="s">
        <v>529</v>
      </c>
    </row>
    <row r="32" spans="1:4" ht="16">
      <c r="A32" s="126"/>
      <c r="B32" s="126"/>
      <c r="C32" s="1" t="s">
        <v>288</v>
      </c>
    </row>
    <row r="33" spans="1:3">
      <c r="A33" s="126"/>
      <c r="B33" s="126"/>
      <c r="C33" t="s">
        <v>294</v>
      </c>
    </row>
    <row r="34" spans="1:3">
      <c r="A34" s="126"/>
      <c r="B34" s="126"/>
      <c r="C34" t="s">
        <v>302</v>
      </c>
    </row>
    <row r="36" spans="1:3">
      <c r="A36" s="125" t="s">
        <v>510</v>
      </c>
      <c r="B36" s="125" t="s">
        <v>509</v>
      </c>
      <c r="C36" t="s">
        <v>16</v>
      </c>
    </row>
    <row r="37" spans="1:3">
      <c r="A37" s="125"/>
      <c r="B37" s="125"/>
      <c r="C37" t="s">
        <v>57</v>
      </c>
    </row>
    <row r="38" spans="1:3">
      <c r="A38" s="125"/>
      <c r="B38" s="125"/>
      <c r="C38" t="s">
        <v>58</v>
      </c>
    </row>
    <row r="39" spans="1:3">
      <c r="A39" s="125"/>
      <c r="B39" s="125"/>
      <c r="C39" t="s">
        <v>20</v>
      </c>
    </row>
    <row r="40" spans="1:3">
      <c r="A40" s="125"/>
      <c r="B40" s="125"/>
      <c r="C40" t="s">
        <v>78</v>
      </c>
    </row>
    <row r="41" spans="1:3">
      <c r="A41" s="125"/>
      <c r="B41" s="125"/>
      <c r="C41" t="s">
        <v>59</v>
      </c>
    </row>
    <row r="42" spans="1:3">
      <c r="A42" s="125"/>
      <c r="B42" s="125"/>
      <c r="C42" t="s">
        <v>60</v>
      </c>
    </row>
    <row r="43" spans="1:3">
      <c r="A43" s="125"/>
      <c r="B43" s="125"/>
      <c r="C43" t="s">
        <v>61</v>
      </c>
    </row>
    <row r="44" spans="1:3">
      <c r="A44" s="125"/>
      <c r="B44" s="125"/>
      <c r="C44" t="s">
        <v>62</v>
      </c>
    </row>
    <row r="45" spans="1:3">
      <c r="A45" s="125"/>
      <c r="B45" s="125"/>
      <c r="C45" t="s">
        <v>63</v>
      </c>
    </row>
    <row r="46" spans="1:3">
      <c r="A46" s="125"/>
      <c r="B46" s="125"/>
      <c r="C46" t="s">
        <v>64</v>
      </c>
    </row>
    <row r="47" spans="1:3">
      <c r="A47" s="125"/>
      <c r="B47" s="125"/>
      <c r="C47" t="s">
        <v>65</v>
      </c>
    </row>
  </sheetData>
  <mergeCells count="6">
    <mergeCell ref="B36:B47"/>
    <mergeCell ref="A36:A47"/>
    <mergeCell ref="A2:A9"/>
    <mergeCell ref="B2:B9"/>
    <mergeCell ref="A16:A34"/>
    <mergeCell ref="B16:B34"/>
  </mergeCells>
  <phoneticPr fontId="8" type="noConversion"/>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0DCDC-CF89-4FB0-BA69-D68E968DDBEE}">
  <dimension ref="A1:Z63"/>
  <sheetViews>
    <sheetView topLeftCell="A6" workbookViewId="0">
      <selection activeCell="F7" sqref="F7:F10"/>
    </sheetView>
  </sheetViews>
  <sheetFormatPr baseColWidth="10" defaultColWidth="9.5" defaultRowHeight="16" outlineLevelRow="1"/>
  <cols>
    <col min="1" max="1" width="1.6640625" style="28" customWidth="1"/>
    <col min="2" max="2" width="2.83203125" style="28" customWidth="1"/>
    <col min="3" max="3" width="16.83203125" style="111" customWidth="1"/>
    <col min="4" max="4" width="15.5" style="111" customWidth="1"/>
    <col min="5" max="5" width="20.6640625" style="111" customWidth="1"/>
    <col min="6" max="6" width="35.33203125" style="111" customWidth="1"/>
    <col min="7" max="7" width="27.83203125" style="111" customWidth="1"/>
    <col min="8" max="8" width="13.6640625" style="111" customWidth="1"/>
    <col min="9" max="9" width="16.1640625" style="112" customWidth="1"/>
    <col min="10" max="10" width="11.83203125" style="111" customWidth="1"/>
    <col min="11" max="11" width="16.1640625" style="111" customWidth="1"/>
    <col min="12" max="12" width="28.6640625" style="111" customWidth="1"/>
    <col min="13" max="13" width="26.1640625" style="111" customWidth="1"/>
    <col min="14" max="14" width="21.33203125" style="111" customWidth="1"/>
    <col min="15" max="15" width="19.83203125" style="28" customWidth="1"/>
    <col min="16" max="26" width="9.5" style="28"/>
  </cols>
  <sheetData>
    <row r="1" spans="1:26" ht="20.25" customHeight="1">
      <c r="C1" s="127" t="s">
        <v>79</v>
      </c>
      <c r="D1" s="128"/>
      <c r="E1" s="128"/>
      <c r="F1" s="128"/>
      <c r="G1" s="128"/>
      <c r="H1" s="128"/>
      <c r="I1" s="128"/>
      <c r="J1" s="128"/>
      <c r="K1" s="128"/>
      <c r="L1" s="128"/>
      <c r="M1" s="128"/>
      <c r="N1" s="128"/>
      <c r="O1" s="128"/>
    </row>
    <row r="2" spans="1:26" ht="18" customHeight="1">
      <c r="C2" s="129" t="s">
        <v>80</v>
      </c>
      <c r="D2" s="129"/>
      <c r="E2" s="129"/>
      <c r="F2" s="129"/>
      <c r="G2" s="129"/>
      <c r="H2" s="129"/>
      <c r="I2" s="129"/>
      <c r="J2" s="129"/>
      <c r="K2" s="129"/>
      <c r="L2" s="129"/>
      <c r="M2" s="129"/>
      <c r="N2" s="129"/>
      <c r="O2" s="129"/>
    </row>
    <row r="3" spans="1:26" ht="17" customHeight="1">
      <c r="C3" s="130" t="s">
        <v>81</v>
      </c>
      <c r="D3" s="132" t="s">
        <v>82</v>
      </c>
      <c r="E3" s="133"/>
      <c r="F3" s="130" t="s">
        <v>67</v>
      </c>
      <c r="G3" s="130" t="s">
        <v>68</v>
      </c>
      <c r="H3" s="130" t="s">
        <v>70</v>
      </c>
      <c r="I3" s="130" t="s">
        <v>83</v>
      </c>
      <c r="J3" s="130" t="s">
        <v>66</v>
      </c>
      <c r="K3" s="130" t="s">
        <v>71</v>
      </c>
      <c r="L3" s="134" t="s">
        <v>69</v>
      </c>
      <c r="M3" s="136"/>
      <c r="N3" s="136"/>
      <c r="O3" s="135"/>
      <c r="P3" s="148" t="s">
        <v>84</v>
      </c>
    </row>
    <row r="4" spans="1:26" ht="18">
      <c r="C4" s="131"/>
      <c r="D4" s="134"/>
      <c r="E4" s="135"/>
      <c r="F4" s="131"/>
      <c r="G4" s="131"/>
      <c r="H4" s="131"/>
      <c r="I4" s="131"/>
      <c r="J4" s="131"/>
      <c r="K4" s="131"/>
      <c r="L4" s="29" t="s">
        <v>72</v>
      </c>
      <c r="M4" s="29" t="s">
        <v>73</v>
      </c>
      <c r="N4" s="29" t="s">
        <v>74</v>
      </c>
      <c r="O4" s="29" t="s">
        <v>75</v>
      </c>
      <c r="P4" s="148"/>
    </row>
    <row r="5" spans="1:26" ht="29" customHeight="1" outlineLevel="1">
      <c r="C5" s="30" t="s">
        <v>85</v>
      </c>
      <c r="D5" s="149" t="s">
        <v>86</v>
      </c>
      <c r="E5" s="150"/>
      <c r="F5" s="31" t="s">
        <v>87</v>
      </c>
      <c r="G5" s="31" t="s">
        <v>88</v>
      </c>
      <c r="H5" s="31" t="s">
        <v>89</v>
      </c>
      <c r="I5" s="31"/>
      <c r="J5" s="31" t="s">
        <v>90</v>
      </c>
      <c r="K5" s="31" t="s">
        <v>91</v>
      </c>
      <c r="L5" s="151" t="s">
        <v>92</v>
      </c>
      <c r="M5" s="151"/>
      <c r="N5" s="151"/>
      <c r="O5" s="152"/>
      <c r="P5" s="148"/>
    </row>
    <row r="6" spans="1:26" s="41" customFormat="1" ht="153" outlineLevel="1">
      <c r="A6" s="32"/>
      <c r="B6" s="137"/>
      <c r="C6" s="138" t="s">
        <v>93</v>
      </c>
      <c r="D6" s="140" t="s">
        <v>94</v>
      </c>
      <c r="E6" s="141"/>
      <c r="F6" s="33" t="s">
        <v>95</v>
      </c>
      <c r="G6" s="34" t="s">
        <v>95</v>
      </c>
      <c r="H6" s="35">
        <v>4</v>
      </c>
      <c r="I6" s="36" t="s">
        <v>96</v>
      </c>
      <c r="J6" s="36" t="s">
        <v>97</v>
      </c>
      <c r="K6" s="37" t="s">
        <v>98</v>
      </c>
      <c r="L6" s="38" t="s">
        <v>99</v>
      </c>
      <c r="M6" s="38" t="s">
        <v>100</v>
      </c>
      <c r="N6" s="38" t="s">
        <v>101</v>
      </c>
      <c r="O6" s="39" t="s">
        <v>102</v>
      </c>
      <c r="P6" s="40" t="s">
        <v>103</v>
      </c>
      <c r="Q6" s="32"/>
      <c r="R6" s="32"/>
      <c r="S6" s="32"/>
      <c r="T6" s="32"/>
      <c r="U6" s="32"/>
      <c r="V6" s="32"/>
      <c r="W6" s="32"/>
      <c r="X6" s="32"/>
      <c r="Y6" s="32"/>
      <c r="Z6" s="32"/>
    </row>
    <row r="7" spans="1:26" s="41" customFormat="1" ht="372" outlineLevel="1">
      <c r="A7" s="32"/>
      <c r="B7" s="137"/>
      <c r="C7" s="139"/>
      <c r="D7" s="142" t="s">
        <v>104</v>
      </c>
      <c r="E7" s="33" t="s">
        <v>105</v>
      </c>
      <c r="F7" s="144" t="s">
        <v>106</v>
      </c>
      <c r="G7" s="144" t="s">
        <v>107</v>
      </c>
      <c r="H7" s="142">
        <v>5</v>
      </c>
      <c r="I7" s="42" t="s">
        <v>108</v>
      </c>
      <c r="J7" s="43" t="s">
        <v>109</v>
      </c>
      <c r="K7" s="42" t="s">
        <v>110</v>
      </c>
      <c r="L7" s="43" t="s">
        <v>111</v>
      </c>
      <c r="M7" s="42" t="s">
        <v>112</v>
      </c>
      <c r="N7" s="42" t="s">
        <v>113</v>
      </c>
      <c r="O7" s="44" t="s">
        <v>114</v>
      </c>
      <c r="P7" s="153" t="s">
        <v>103</v>
      </c>
      <c r="Q7" s="32"/>
      <c r="R7" s="32"/>
      <c r="S7" s="32"/>
      <c r="T7" s="32"/>
      <c r="U7" s="32"/>
      <c r="V7" s="32"/>
      <c r="W7" s="32"/>
      <c r="X7" s="32"/>
      <c r="Y7" s="32"/>
      <c r="Z7" s="32"/>
    </row>
    <row r="8" spans="1:26" s="41" customFormat="1" ht="323" outlineLevel="1">
      <c r="A8" s="32"/>
      <c r="B8" s="137"/>
      <c r="C8" s="139"/>
      <c r="D8" s="143"/>
      <c r="E8" s="45" t="s">
        <v>115</v>
      </c>
      <c r="F8" s="145"/>
      <c r="G8" s="143"/>
      <c r="H8" s="143"/>
      <c r="I8" s="42" t="s">
        <v>116</v>
      </c>
      <c r="J8" s="43" t="s">
        <v>109</v>
      </c>
      <c r="K8" s="42" t="s">
        <v>117</v>
      </c>
      <c r="L8" s="42" t="s">
        <v>118</v>
      </c>
      <c r="M8" s="42" t="s">
        <v>119</v>
      </c>
      <c r="N8" s="42" t="s">
        <v>120</v>
      </c>
      <c r="O8" s="44" t="s">
        <v>121</v>
      </c>
      <c r="P8" s="153"/>
      <c r="Q8" s="32"/>
      <c r="R8" s="32"/>
      <c r="S8" s="32"/>
      <c r="T8" s="32"/>
      <c r="U8" s="32"/>
      <c r="V8" s="32"/>
      <c r="W8" s="32"/>
      <c r="X8" s="32"/>
      <c r="Y8" s="32"/>
      <c r="Z8" s="32"/>
    </row>
    <row r="9" spans="1:26" s="41" customFormat="1" ht="187" outlineLevel="1">
      <c r="A9" s="32"/>
      <c r="B9" s="137"/>
      <c r="C9" s="139"/>
      <c r="D9" s="143"/>
      <c r="E9" s="45" t="s">
        <v>122</v>
      </c>
      <c r="F9" s="145"/>
      <c r="G9" s="143"/>
      <c r="H9" s="143"/>
      <c r="I9" s="42" t="s">
        <v>123</v>
      </c>
      <c r="J9" s="43" t="s">
        <v>109</v>
      </c>
      <c r="K9" s="42" t="s">
        <v>124</v>
      </c>
      <c r="L9" s="43" t="s">
        <v>125</v>
      </c>
      <c r="M9" s="43" t="s">
        <v>126</v>
      </c>
      <c r="N9" s="43" t="s">
        <v>127</v>
      </c>
      <c r="O9" s="46" t="s">
        <v>128</v>
      </c>
      <c r="P9" s="153"/>
      <c r="Q9" s="32"/>
      <c r="R9" s="32"/>
      <c r="S9" s="32"/>
      <c r="T9" s="32"/>
      <c r="U9" s="32"/>
      <c r="V9" s="32"/>
      <c r="W9" s="32"/>
      <c r="X9" s="32"/>
      <c r="Y9" s="32"/>
      <c r="Z9" s="32"/>
    </row>
    <row r="10" spans="1:26" s="41" customFormat="1" ht="204" outlineLevel="1">
      <c r="A10" s="32"/>
      <c r="B10" s="137"/>
      <c r="C10" s="139"/>
      <c r="D10" s="143"/>
      <c r="E10" s="45" t="s">
        <v>129</v>
      </c>
      <c r="F10" s="143"/>
      <c r="G10" s="143"/>
      <c r="H10" s="143"/>
      <c r="I10" s="42" t="s">
        <v>130</v>
      </c>
      <c r="J10" s="43" t="s">
        <v>109</v>
      </c>
      <c r="K10" s="42" t="s">
        <v>131</v>
      </c>
      <c r="L10" s="43" t="s">
        <v>132</v>
      </c>
      <c r="M10" s="42" t="s">
        <v>133</v>
      </c>
      <c r="N10" s="42" t="s">
        <v>134</v>
      </c>
      <c r="O10" s="47" t="s">
        <v>135</v>
      </c>
      <c r="P10" s="153"/>
      <c r="Q10" s="32"/>
      <c r="R10" s="32"/>
      <c r="S10" s="32"/>
      <c r="T10" s="32"/>
      <c r="U10" s="32"/>
      <c r="V10" s="32"/>
      <c r="W10" s="32"/>
      <c r="X10" s="32"/>
      <c r="Y10" s="32"/>
      <c r="Z10" s="32"/>
    </row>
    <row r="11" spans="1:26" s="41" customFormat="1" ht="409.5" customHeight="1" outlineLevel="1">
      <c r="A11" s="32"/>
      <c r="B11" s="48"/>
      <c r="C11" s="172" t="s">
        <v>136</v>
      </c>
      <c r="D11" s="175" t="s">
        <v>137</v>
      </c>
      <c r="E11" s="171"/>
      <c r="F11" s="178" t="s">
        <v>138</v>
      </c>
      <c r="G11" s="178" t="s">
        <v>139</v>
      </c>
      <c r="H11" s="49">
        <v>4</v>
      </c>
      <c r="I11" s="50" t="s">
        <v>140</v>
      </c>
      <c r="J11" s="50" t="s">
        <v>141</v>
      </c>
      <c r="K11" s="50" t="s">
        <v>142</v>
      </c>
      <c r="L11" s="50" t="s">
        <v>143</v>
      </c>
      <c r="M11" s="50" t="s">
        <v>144</v>
      </c>
      <c r="N11" s="50" t="s">
        <v>145</v>
      </c>
      <c r="O11" s="50" t="s">
        <v>146</v>
      </c>
      <c r="P11" s="180" t="s">
        <v>103</v>
      </c>
      <c r="Q11" s="32"/>
      <c r="R11" s="32"/>
      <c r="S11" s="32"/>
      <c r="T11" s="32"/>
      <c r="U11" s="32"/>
      <c r="V11" s="32"/>
      <c r="W11" s="32"/>
      <c r="X11" s="32"/>
      <c r="Y11" s="32"/>
      <c r="Z11" s="32"/>
    </row>
    <row r="12" spans="1:26" s="32" customFormat="1" ht="279.75" customHeight="1" outlineLevel="1">
      <c r="B12" s="51"/>
      <c r="C12" s="173"/>
      <c r="D12" s="176"/>
      <c r="E12" s="177"/>
      <c r="F12" s="179"/>
      <c r="G12" s="179"/>
      <c r="H12" s="49">
        <v>5</v>
      </c>
      <c r="I12" s="50" t="s">
        <v>147</v>
      </c>
      <c r="J12" s="50" t="s">
        <v>148</v>
      </c>
      <c r="K12" s="50" t="s">
        <v>149</v>
      </c>
      <c r="L12" s="50" t="s">
        <v>150</v>
      </c>
      <c r="M12" s="50" t="s">
        <v>151</v>
      </c>
      <c r="N12" s="50" t="s">
        <v>152</v>
      </c>
      <c r="O12" s="50" t="s">
        <v>153</v>
      </c>
      <c r="P12" s="180"/>
    </row>
    <row r="13" spans="1:26" s="41" customFormat="1" ht="187" outlineLevel="1">
      <c r="A13" s="32"/>
      <c r="B13" s="137"/>
      <c r="C13" s="173"/>
      <c r="D13" s="160" t="s">
        <v>154</v>
      </c>
      <c r="E13" s="52" t="s">
        <v>155</v>
      </c>
      <c r="F13" s="52" t="s">
        <v>156</v>
      </c>
      <c r="G13" s="50" t="s">
        <v>157</v>
      </c>
      <c r="H13" s="49">
        <v>5</v>
      </c>
      <c r="I13" s="53" t="s">
        <v>158</v>
      </c>
      <c r="J13" s="53" t="s">
        <v>148</v>
      </c>
      <c r="K13" s="53" t="s">
        <v>159</v>
      </c>
      <c r="L13" s="53" t="s">
        <v>160</v>
      </c>
      <c r="M13" s="53" t="s">
        <v>161</v>
      </c>
      <c r="N13" s="53" t="s">
        <v>162</v>
      </c>
      <c r="O13" s="54" t="s">
        <v>163</v>
      </c>
      <c r="P13" s="162" t="s">
        <v>103</v>
      </c>
      <c r="Q13" s="32"/>
      <c r="R13" s="32"/>
      <c r="S13" s="32"/>
      <c r="T13" s="32"/>
      <c r="U13" s="32"/>
      <c r="V13" s="32"/>
      <c r="W13" s="32"/>
      <c r="X13" s="32"/>
      <c r="Y13" s="32"/>
      <c r="Z13" s="32"/>
    </row>
    <row r="14" spans="1:26" s="41" customFormat="1" ht="336" customHeight="1" outlineLevel="1">
      <c r="A14" s="32"/>
      <c r="B14" s="137"/>
      <c r="C14" s="173"/>
      <c r="D14" s="161"/>
      <c r="E14" s="55" t="s">
        <v>164</v>
      </c>
      <c r="F14" s="56" t="s">
        <v>165</v>
      </c>
      <c r="G14" s="57" t="s">
        <v>166</v>
      </c>
      <c r="H14" s="58">
        <v>4</v>
      </c>
      <c r="I14" s="59" t="s">
        <v>167</v>
      </c>
      <c r="J14" s="59" t="s">
        <v>141</v>
      </c>
      <c r="K14" s="59" t="s">
        <v>168</v>
      </c>
      <c r="L14" s="59" t="s">
        <v>169</v>
      </c>
      <c r="M14" s="59" t="s">
        <v>170</v>
      </c>
      <c r="N14" s="59" t="s">
        <v>171</v>
      </c>
      <c r="O14" s="60" t="s">
        <v>172</v>
      </c>
      <c r="P14" s="162"/>
      <c r="Q14" s="32"/>
      <c r="R14" s="32"/>
      <c r="S14" s="32"/>
      <c r="T14" s="32"/>
      <c r="U14" s="32"/>
      <c r="V14" s="32"/>
      <c r="W14" s="32"/>
      <c r="X14" s="32"/>
      <c r="Y14" s="32"/>
      <c r="Z14" s="32"/>
    </row>
    <row r="15" spans="1:26" s="41" customFormat="1" ht="126" customHeight="1" outlineLevel="1">
      <c r="A15" s="32"/>
      <c r="B15" s="137"/>
      <c r="C15" s="174"/>
      <c r="D15" s="154" t="s">
        <v>173</v>
      </c>
      <c r="E15" s="61" t="s">
        <v>174</v>
      </c>
      <c r="F15" s="61" t="s">
        <v>175</v>
      </c>
      <c r="G15" s="164" t="s">
        <v>176</v>
      </c>
      <c r="H15" s="62">
        <v>4</v>
      </c>
      <c r="I15" s="63" t="s">
        <v>177</v>
      </c>
      <c r="J15" s="63" t="s">
        <v>148</v>
      </c>
      <c r="K15" s="63" t="s">
        <v>178</v>
      </c>
      <c r="L15" s="63" t="s">
        <v>179</v>
      </c>
      <c r="M15" s="63" t="s">
        <v>180</v>
      </c>
      <c r="N15" s="63" t="s">
        <v>181</v>
      </c>
      <c r="O15" s="64" t="s">
        <v>182</v>
      </c>
      <c r="P15" s="165" t="s">
        <v>103</v>
      </c>
      <c r="Q15" s="32"/>
      <c r="R15" s="32"/>
      <c r="S15" s="32"/>
      <c r="T15" s="32"/>
      <c r="U15" s="32"/>
      <c r="V15" s="32"/>
      <c r="W15" s="32"/>
      <c r="X15" s="32"/>
      <c r="Y15" s="32"/>
      <c r="Z15" s="32"/>
    </row>
    <row r="16" spans="1:26" s="41" customFormat="1" ht="111.75" customHeight="1" outlineLevel="1">
      <c r="A16" s="32"/>
      <c r="B16" s="137"/>
      <c r="C16" s="174"/>
      <c r="D16" s="163"/>
      <c r="E16" s="61" t="s">
        <v>183</v>
      </c>
      <c r="F16" s="61" t="s">
        <v>184</v>
      </c>
      <c r="G16" s="163"/>
      <c r="H16" s="62">
        <v>5</v>
      </c>
      <c r="I16" s="63" t="s">
        <v>185</v>
      </c>
      <c r="J16" s="63" t="s">
        <v>148</v>
      </c>
      <c r="K16" s="63" t="s">
        <v>178</v>
      </c>
      <c r="L16" s="63" t="s">
        <v>186</v>
      </c>
      <c r="M16" s="63" t="s">
        <v>187</v>
      </c>
      <c r="N16" s="63" t="s">
        <v>188</v>
      </c>
      <c r="O16" s="64"/>
      <c r="P16" s="165"/>
      <c r="Q16" s="32"/>
      <c r="R16" s="32"/>
      <c r="S16" s="32"/>
      <c r="T16" s="32"/>
      <c r="U16" s="32"/>
      <c r="V16" s="32"/>
      <c r="W16" s="32"/>
      <c r="X16" s="32"/>
      <c r="Y16" s="32"/>
      <c r="Z16" s="32"/>
    </row>
    <row r="17" spans="1:26" s="32" customFormat="1" ht="388" outlineLevel="1">
      <c r="B17" s="153"/>
      <c r="C17" s="174"/>
      <c r="D17" s="163"/>
      <c r="E17" s="61" t="s">
        <v>189</v>
      </c>
      <c r="F17" s="61" t="s">
        <v>190</v>
      </c>
      <c r="G17" s="64" t="s">
        <v>191</v>
      </c>
      <c r="H17" s="62">
        <v>5</v>
      </c>
      <c r="I17" s="65" t="s">
        <v>192</v>
      </c>
      <c r="J17" s="65" t="s">
        <v>109</v>
      </c>
      <c r="K17" s="65" t="s">
        <v>193</v>
      </c>
      <c r="L17" s="65" t="s">
        <v>194</v>
      </c>
      <c r="M17" s="65" t="s">
        <v>195</v>
      </c>
      <c r="N17" s="65" t="s">
        <v>196</v>
      </c>
      <c r="O17" s="64" t="s">
        <v>197</v>
      </c>
      <c r="P17" s="32" t="s">
        <v>103</v>
      </c>
    </row>
    <row r="18" spans="1:26" s="32" customFormat="1" ht="340" outlineLevel="1">
      <c r="B18" s="153"/>
      <c r="C18" s="174"/>
      <c r="D18" s="163"/>
      <c r="E18" s="61" t="s">
        <v>198</v>
      </c>
      <c r="F18" s="61" t="s">
        <v>199</v>
      </c>
      <c r="G18" s="64" t="s">
        <v>200</v>
      </c>
      <c r="H18" s="62">
        <v>5</v>
      </c>
      <c r="I18" s="65" t="s">
        <v>201</v>
      </c>
      <c r="J18" s="65" t="s">
        <v>148</v>
      </c>
      <c r="K18" s="65" t="s">
        <v>202</v>
      </c>
      <c r="L18" s="65" t="s">
        <v>203</v>
      </c>
      <c r="M18" s="65" t="s">
        <v>204</v>
      </c>
      <c r="N18" s="65" t="s">
        <v>205</v>
      </c>
      <c r="O18" s="64" t="s">
        <v>206</v>
      </c>
    </row>
    <row r="19" spans="1:26" s="32" customFormat="1" ht="111.75" customHeight="1" outlineLevel="1">
      <c r="B19" s="153"/>
      <c r="C19" s="174"/>
      <c r="D19" s="163"/>
      <c r="E19" s="61" t="s">
        <v>207</v>
      </c>
      <c r="F19" s="61" t="s">
        <v>208</v>
      </c>
      <c r="G19" s="64" t="s">
        <v>209</v>
      </c>
      <c r="H19" s="62">
        <v>5</v>
      </c>
      <c r="I19" s="65" t="s">
        <v>210</v>
      </c>
      <c r="J19" s="65" t="s">
        <v>141</v>
      </c>
      <c r="K19" s="65" t="s">
        <v>211</v>
      </c>
      <c r="L19" s="65" t="s">
        <v>212</v>
      </c>
      <c r="M19" s="65" t="s">
        <v>213</v>
      </c>
      <c r="N19" s="65" t="s">
        <v>214</v>
      </c>
      <c r="O19" s="64" t="s">
        <v>215</v>
      </c>
    </row>
    <row r="20" spans="1:26" s="41" customFormat="1" ht="336" customHeight="1" outlineLevel="1">
      <c r="A20" s="32"/>
      <c r="B20" s="137"/>
      <c r="C20" s="173"/>
      <c r="D20" s="166" t="s">
        <v>216</v>
      </c>
      <c r="E20" s="66" t="s">
        <v>217</v>
      </c>
      <c r="F20" s="52" t="s">
        <v>218</v>
      </c>
      <c r="G20" s="50" t="s">
        <v>219</v>
      </c>
      <c r="H20" s="67">
        <v>4</v>
      </c>
      <c r="I20" s="53" t="s">
        <v>220</v>
      </c>
      <c r="J20" s="53" t="s">
        <v>141</v>
      </c>
      <c r="K20" s="53" t="s">
        <v>221</v>
      </c>
      <c r="L20" s="53" t="s">
        <v>222</v>
      </c>
      <c r="M20" s="53" t="s">
        <v>223</v>
      </c>
      <c r="N20" s="53" t="s">
        <v>224</v>
      </c>
      <c r="O20" s="54" t="s">
        <v>225</v>
      </c>
      <c r="P20" s="32"/>
      <c r="Q20" s="32"/>
      <c r="R20" s="32"/>
      <c r="S20" s="32"/>
      <c r="T20" s="32"/>
      <c r="U20" s="32"/>
      <c r="V20" s="32"/>
      <c r="W20" s="32"/>
      <c r="X20" s="32"/>
      <c r="Y20" s="32"/>
      <c r="Z20" s="32"/>
    </row>
    <row r="21" spans="1:26" s="41" customFormat="1" ht="294" customHeight="1" outlineLevel="1">
      <c r="A21" s="32"/>
      <c r="B21" s="137"/>
      <c r="C21" s="173"/>
      <c r="D21" s="167"/>
      <c r="E21" s="66" t="s">
        <v>226</v>
      </c>
      <c r="F21" s="52" t="s">
        <v>227</v>
      </c>
      <c r="G21" s="50" t="s">
        <v>228</v>
      </c>
      <c r="H21" s="67">
        <v>4</v>
      </c>
      <c r="I21" s="53" t="s">
        <v>229</v>
      </c>
      <c r="J21" s="53" t="s">
        <v>141</v>
      </c>
      <c r="K21" s="53" t="s">
        <v>230</v>
      </c>
      <c r="L21" s="53" t="s">
        <v>231</v>
      </c>
      <c r="M21" s="53" t="s">
        <v>232</v>
      </c>
      <c r="N21" s="53" t="s">
        <v>233</v>
      </c>
      <c r="O21" s="54" t="s">
        <v>234</v>
      </c>
      <c r="P21" s="32" t="s">
        <v>103</v>
      </c>
      <c r="Q21" s="32"/>
      <c r="R21" s="32"/>
      <c r="S21" s="32"/>
      <c r="T21" s="32"/>
      <c r="U21" s="32"/>
      <c r="V21" s="32"/>
      <c r="W21" s="32"/>
      <c r="X21" s="32"/>
      <c r="Y21" s="32"/>
      <c r="Z21" s="32"/>
    </row>
    <row r="22" spans="1:26" s="41" customFormat="1" ht="294" customHeight="1" outlineLevel="1">
      <c r="A22" s="32"/>
      <c r="B22" s="137"/>
      <c r="C22" s="173"/>
      <c r="D22" s="168"/>
      <c r="E22" s="66" t="s">
        <v>235</v>
      </c>
      <c r="F22" s="52" t="s">
        <v>236</v>
      </c>
      <c r="G22" s="50" t="s">
        <v>237</v>
      </c>
      <c r="H22" s="67">
        <v>5</v>
      </c>
      <c r="I22" s="53" t="s">
        <v>238</v>
      </c>
      <c r="J22" s="53" t="s">
        <v>141</v>
      </c>
      <c r="K22" s="53" t="s">
        <v>239</v>
      </c>
      <c r="L22" s="53" t="s">
        <v>240</v>
      </c>
      <c r="M22" s="53" t="s">
        <v>241</v>
      </c>
      <c r="N22" s="53" t="s">
        <v>242</v>
      </c>
      <c r="O22" s="54" t="s">
        <v>243</v>
      </c>
      <c r="P22" s="32" t="s">
        <v>103</v>
      </c>
      <c r="Q22" s="32"/>
      <c r="R22" s="32"/>
      <c r="S22" s="32"/>
      <c r="T22" s="32"/>
      <c r="U22" s="32"/>
      <c r="V22" s="32"/>
      <c r="W22" s="32"/>
      <c r="X22" s="32"/>
      <c r="Y22" s="32"/>
      <c r="Z22" s="32"/>
    </row>
    <row r="23" spans="1:26" s="41" customFormat="1" ht="139.5" customHeight="1" outlineLevel="1">
      <c r="A23" s="32"/>
      <c r="B23" s="137"/>
      <c r="C23" s="173"/>
      <c r="D23" s="168"/>
      <c r="E23" s="66" t="s">
        <v>244</v>
      </c>
      <c r="F23" s="52" t="s">
        <v>245</v>
      </c>
      <c r="G23" s="50" t="s">
        <v>246</v>
      </c>
      <c r="H23" s="67">
        <v>4</v>
      </c>
      <c r="I23" s="53" t="s">
        <v>247</v>
      </c>
      <c r="J23" s="53" t="s">
        <v>141</v>
      </c>
      <c r="K23" s="53" t="s">
        <v>248</v>
      </c>
      <c r="L23" s="68" t="s">
        <v>249</v>
      </c>
      <c r="M23" s="53" t="s">
        <v>250</v>
      </c>
      <c r="N23" s="68" t="s">
        <v>251</v>
      </c>
      <c r="O23" s="54" t="s">
        <v>252</v>
      </c>
      <c r="P23" s="32"/>
      <c r="Q23" s="32"/>
      <c r="R23" s="32"/>
      <c r="S23" s="32"/>
      <c r="T23" s="32"/>
      <c r="U23" s="32"/>
      <c r="V23" s="32"/>
      <c r="W23" s="32"/>
      <c r="X23" s="32"/>
      <c r="Y23" s="32"/>
      <c r="Z23" s="32"/>
    </row>
    <row r="24" spans="1:26" s="32" customFormat="1" ht="195.75" customHeight="1" outlineLevel="1">
      <c r="B24" s="153"/>
      <c r="C24" s="173"/>
      <c r="D24" s="169"/>
      <c r="E24" s="69" t="s">
        <v>253</v>
      </c>
      <c r="F24" s="52" t="s">
        <v>254</v>
      </c>
      <c r="G24" s="50" t="s">
        <v>255</v>
      </c>
      <c r="H24" s="67">
        <v>4</v>
      </c>
      <c r="I24" s="70" t="s">
        <v>256</v>
      </c>
      <c r="J24" s="70" t="s">
        <v>141</v>
      </c>
      <c r="K24" s="70" t="s">
        <v>257</v>
      </c>
      <c r="L24" s="70" t="s">
        <v>258</v>
      </c>
      <c r="M24" s="70" t="s">
        <v>259</v>
      </c>
      <c r="N24" s="70" t="s">
        <v>260</v>
      </c>
      <c r="O24" s="54" t="s">
        <v>261</v>
      </c>
    </row>
    <row r="25" spans="1:26" s="41" customFormat="1" ht="84" customHeight="1" outlineLevel="1">
      <c r="A25" s="32"/>
      <c r="B25" s="137"/>
      <c r="C25" s="173"/>
      <c r="D25" s="170" t="s">
        <v>262</v>
      </c>
      <c r="E25" s="171"/>
      <c r="F25" s="56" t="s">
        <v>263</v>
      </c>
      <c r="G25" s="57" t="s">
        <v>264</v>
      </c>
      <c r="H25" s="71">
        <v>5</v>
      </c>
      <c r="I25" s="59" t="s">
        <v>265</v>
      </c>
      <c r="J25" s="59" t="s">
        <v>148</v>
      </c>
      <c r="K25" s="59" t="s">
        <v>266</v>
      </c>
      <c r="L25" s="59" t="s">
        <v>267</v>
      </c>
      <c r="M25" s="59" t="s">
        <v>268</v>
      </c>
      <c r="N25" s="59" t="s">
        <v>269</v>
      </c>
      <c r="O25" s="60" t="s">
        <v>270</v>
      </c>
      <c r="P25" s="32" t="s">
        <v>103</v>
      </c>
      <c r="Q25" s="32"/>
      <c r="R25" s="32"/>
      <c r="S25" s="32"/>
      <c r="T25" s="32"/>
      <c r="U25" s="32"/>
      <c r="V25" s="32"/>
      <c r="W25" s="32"/>
      <c r="X25" s="32"/>
      <c r="Y25" s="32"/>
      <c r="Z25" s="32"/>
    </row>
    <row r="26" spans="1:26" s="32" customFormat="1" ht="299.25" customHeight="1" outlineLevel="1">
      <c r="B26" s="51"/>
      <c r="C26" s="174"/>
      <c r="D26" s="154" t="s">
        <v>271</v>
      </c>
      <c r="E26" s="163"/>
      <c r="F26" s="33" t="s">
        <v>272</v>
      </c>
      <c r="G26" s="33" t="s">
        <v>273</v>
      </c>
      <c r="H26" s="72">
        <v>4</v>
      </c>
      <c r="I26" s="73" t="s">
        <v>274</v>
      </c>
      <c r="J26" s="73" t="s">
        <v>76</v>
      </c>
      <c r="K26" s="73" t="s">
        <v>275</v>
      </c>
      <c r="L26" s="73" t="s">
        <v>276</v>
      </c>
      <c r="M26" s="73" t="s">
        <v>277</v>
      </c>
      <c r="N26" s="73" t="s">
        <v>278</v>
      </c>
      <c r="O26" s="73" t="s">
        <v>279</v>
      </c>
    </row>
    <row r="27" spans="1:26" s="32" customFormat="1" ht="186.75" customHeight="1" outlineLevel="1">
      <c r="B27" s="51"/>
      <c r="C27" s="174"/>
      <c r="D27" s="181" t="s">
        <v>280</v>
      </c>
      <c r="E27" s="182"/>
      <c r="F27" s="45" t="s">
        <v>281</v>
      </c>
      <c r="G27" s="45" t="s">
        <v>282</v>
      </c>
      <c r="H27" s="74">
        <v>4</v>
      </c>
      <c r="I27" s="75" t="s">
        <v>283</v>
      </c>
      <c r="J27" s="75" t="s">
        <v>76</v>
      </c>
      <c r="K27" s="75" t="s">
        <v>284</v>
      </c>
      <c r="L27" s="75" t="s">
        <v>285</v>
      </c>
      <c r="M27" s="75" t="s">
        <v>286</v>
      </c>
      <c r="N27" s="75" t="s">
        <v>286</v>
      </c>
      <c r="O27" s="75" t="s">
        <v>287</v>
      </c>
      <c r="P27" s="32" t="s">
        <v>103</v>
      </c>
    </row>
    <row r="28" spans="1:26" s="32" customFormat="1" ht="69.75" customHeight="1" outlineLevel="1">
      <c r="B28" s="51"/>
      <c r="C28" s="174"/>
      <c r="D28" s="154" t="s">
        <v>288</v>
      </c>
      <c r="E28" s="163"/>
      <c r="F28" s="33" t="s">
        <v>289</v>
      </c>
      <c r="G28" s="33" t="s">
        <v>290</v>
      </c>
      <c r="H28" s="72">
        <v>4</v>
      </c>
      <c r="I28" s="73" t="s">
        <v>291</v>
      </c>
      <c r="J28" s="73" t="s">
        <v>76</v>
      </c>
      <c r="K28" s="73" t="s">
        <v>292</v>
      </c>
      <c r="L28" s="73" t="s">
        <v>293</v>
      </c>
      <c r="M28" s="73" t="s">
        <v>225</v>
      </c>
      <c r="N28" s="73" t="s">
        <v>225</v>
      </c>
      <c r="O28" s="73" t="s">
        <v>225</v>
      </c>
      <c r="P28" s="32" t="s">
        <v>103</v>
      </c>
    </row>
    <row r="29" spans="1:26" s="32" customFormat="1" ht="69.75" customHeight="1" outlineLevel="1">
      <c r="B29" s="51"/>
      <c r="C29" s="174"/>
      <c r="D29" s="146" t="s">
        <v>294</v>
      </c>
      <c r="E29" s="140"/>
      <c r="F29" s="76" t="s">
        <v>295</v>
      </c>
      <c r="G29" s="76" t="s">
        <v>296</v>
      </c>
      <c r="H29" s="77">
        <v>4</v>
      </c>
      <c r="I29" s="78" t="s">
        <v>297</v>
      </c>
      <c r="J29" s="73" t="s">
        <v>76</v>
      </c>
      <c r="K29" s="78" t="s">
        <v>298</v>
      </c>
      <c r="L29" s="78" t="s">
        <v>299</v>
      </c>
      <c r="M29" s="78" t="s">
        <v>300</v>
      </c>
      <c r="N29" s="78" t="s">
        <v>301</v>
      </c>
      <c r="O29" s="78" t="s">
        <v>301</v>
      </c>
      <c r="P29" s="32" t="s">
        <v>103</v>
      </c>
    </row>
    <row r="30" spans="1:26" s="32" customFormat="1" ht="69.75" customHeight="1" outlineLevel="1">
      <c r="B30" s="51"/>
      <c r="C30" s="174"/>
      <c r="D30" s="156" t="s">
        <v>302</v>
      </c>
      <c r="E30" s="157"/>
      <c r="F30" s="76" t="s">
        <v>303</v>
      </c>
      <c r="G30" s="76" t="s">
        <v>304</v>
      </c>
      <c r="H30" s="77">
        <v>5</v>
      </c>
      <c r="I30" s="78" t="s">
        <v>305</v>
      </c>
      <c r="J30" s="78" t="s">
        <v>76</v>
      </c>
      <c r="K30" s="78" t="s">
        <v>292</v>
      </c>
      <c r="L30" s="78" t="s">
        <v>306</v>
      </c>
      <c r="M30" s="78" t="s">
        <v>300</v>
      </c>
      <c r="N30" s="78" t="s">
        <v>307</v>
      </c>
      <c r="O30" s="78" t="s">
        <v>308</v>
      </c>
      <c r="P30" s="32" t="s">
        <v>103</v>
      </c>
    </row>
    <row r="31" spans="1:26" s="32" customFormat="1" ht="265.5" customHeight="1" outlineLevel="1">
      <c r="B31" s="51"/>
      <c r="C31" s="174"/>
      <c r="D31" s="154" t="s">
        <v>309</v>
      </c>
      <c r="E31" s="155"/>
      <c r="F31" s="33" t="s">
        <v>310</v>
      </c>
      <c r="G31" s="33" t="s">
        <v>311</v>
      </c>
      <c r="H31" s="72">
        <v>4</v>
      </c>
      <c r="I31" s="73" t="s">
        <v>312</v>
      </c>
      <c r="J31" s="73" t="s">
        <v>141</v>
      </c>
      <c r="K31" s="73" t="s">
        <v>313</v>
      </c>
      <c r="L31" s="73" t="s">
        <v>314</v>
      </c>
      <c r="M31" s="73" t="s">
        <v>315</v>
      </c>
      <c r="N31" s="73" t="s">
        <v>316</v>
      </c>
      <c r="O31" s="73" t="s">
        <v>317</v>
      </c>
    </row>
    <row r="32" spans="1:26" s="32" customFormat="1" ht="409.5" customHeight="1" outlineLevel="1">
      <c r="B32" s="51"/>
      <c r="C32" s="173"/>
      <c r="D32" s="142" t="s">
        <v>318</v>
      </c>
      <c r="E32" s="143"/>
      <c r="F32" s="79" t="s">
        <v>319</v>
      </c>
      <c r="G32" s="79" t="s">
        <v>320</v>
      </c>
      <c r="H32" s="80">
        <v>4</v>
      </c>
      <c r="I32" s="81" t="s">
        <v>321</v>
      </c>
      <c r="J32" s="75" t="s">
        <v>141</v>
      </c>
      <c r="K32" s="75" t="s">
        <v>322</v>
      </c>
      <c r="L32" s="75" t="s">
        <v>323</v>
      </c>
      <c r="M32" s="75" t="s">
        <v>324</v>
      </c>
      <c r="N32" s="75" t="s">
        <v>325</v>
      </c>
      <c r="O32" s="75" t="s">
        <v>326</v>
      </c>
    </row>
    <row r="33" spans="1:26" s="32" customFormat="1" ht="210" customHeight="1" outlineLevel="1">
      <c r="B33" s="51"/>
      <c r="C33" s="173"/>
      <c r="D33" s="158" t="s">
        <v>327</v>
      </c>
      <c r="E33" s="159"/>
      <c r="F33" s="33" t="s">
        <v>328</v>
      </c>
      <c r="G33" s="33" t="s">
        <v>329</v>
      </c>
      <c r="H33" s="82">
        <v>4</v>
      </c>
      <c r="I33" s="33" t="s">
        <v>330</v>
      </c>
      <c r="J33" s="73" t="s">
        <v>141</v>
      </c>
      <c r="K33" s="73" t="s">
        <v>331</v>
      </c>
      <c r="L33" s="73" t="s">
        <v>332</v>
      </c>
      <c r="M33" s="73" t="s">
        <v>333</v>
      </c>
      <c r="N33" s="73" t="s">
        <v>334</v>
      </c>
      <c r="O33" s="73" t="s">
        <v>335</v>
      </c>
    </row>
    <row r="34" spans="1:26" s="32" customFormat="1" ht="168" customHeight="1" outlineLevel="1">
      <c r="B34" s="51"/>
      <c r="C34" s="173"/>
      <c r="D34" s="154" t="s">
        <v>336</v>
      </c>
      <c r="E34" s="155"/>
      <c r="F34" s="45" t="s">
        <v>337</v>
      </c>
      <c r="G34" s="45" t="s">
        <v>338</v>
      </c>
      <c r="H34" s="83">
        <v>4</v>
      </c>
      <c r="I34" s="45" t="s">
        <v>339</v>
      </c>
      <c r="J34" s="73" t="s">
        <v>141</v>
      </c>
      <c r="K34" s="73" t="s">
        <v>340</v>
      </c>
      <c r="L34" s="73" t="s">
        <v>341</v>
      </c>
      <c r="M34" s="73" t="s">
        <v>341</v>
      </c>
      <c r="N34" s="73" t="s">
        <v>341</v>
      </c>
      <c r="O34" s="73" t="s">
        <v>341</v>
      </c>
    </row>
    <row r="35" spans="1:26" s="32" customFormat="1" ht="42" customHeight="1" outlineLevel="1">
      <c r="B35" s="51"/>
      <c r="C35" s="173"/>
      <c r="D35" s="146" t="s">
        <v>342</v>
      </c>
      <c r="E35" s="147"/>
      <c r="F35" s="46" t="s">
        <v>343</v>
      </c>
      <c r="G35" s="45" t="s">
        <v>344</v>
      </c>
      <c r="H35" s="83">
        <v>3</v>
      </c>
      <c r="I35" s="45" t="s">
        <v>345</v>
      </c>
      <c r="J35" s="73" t="s">
        <v>148</v>
      </c>
      <c r="K35" s="73" t="s">
        <v>346</v>
      </c>
      <c r="L35" s="73" t="s">
        <v>347</v>
      </c>
      <c r="M35" s="73" t="s">
        <v>347</v>
      </c>
      <c r="N35" s="73" t="s">
        <v>347</v>
      </c>
      <c r="O35" s="73" t="s">
        <v>347</v>
      </c>
    </row>
    <row r="36" spans="1:26" s="32" customFormat="1" ht="42" customHeight="1" outlineLevel="1">
      <c r="B36" s="51"/>
      <c r="C36" s="173"/>
      <c r="D36" s="146" t="s">
        <v>348</v>
      </c>
      <c r="E36" s="147"/>
      <c r="F36" s="46" t="s">
        <v>349</v>
      </c>
      <c r="G36" s="45" t="s">
        <v>350</v>
      </c>
      <c r="H36" s="83">
        <v>3</v>
      </c>
      <c r="I36" s="45" t="s">
        <v>345</v>
      </c>
      <c r="J36" s="73" t="s">
        <v>148</v>
      </c>
      <c r="K36" s="73" t="s">
        <v>351</v>
      </c>
      <c r="L36" s="73" t="s">
        <v>352</v>
      </c>
      <c r="M36" s="73" t="s">
        <v>352</v>
      </c>
      <c r="N36" s="73" t="s">
        <v>352</v>
      </c>
      <c r="O36" s="73" t="s">
        <v>352</v>
      </c>
    </row>
    <row r="37" spans="1:26" s="32" customFormat="1" ht="187" outlineLevel="1">
      <c r="B37" s="51"/>
      <c r="C37" s="173"/>
      <c r="D37" s="146" t="s">
        <v>353</v>
      </c>
      <c r="E37" s="147"/>
      <c r="F37" s="46" t="s">
        <v>354</v>
      </c>
      <c r="G37" s="45" t="s">
        <v>355</v>
      </c>
      <c r="H37" s="83">
        <v>3</v>
      </c>
      <c r="I37" s="45" t="s">
        <v>356</v>
      </c>
      <c r="J37" s="73" t="s">
        <v>148</v>
      </c>
      <c r="K37" s="73" t="s">
        <v>357</v>
      </c>
      <c r="L37" s="73" t="s">
        <v>358</v>
      </c>
      <c r="M37" s="73" t="s">
        <v>358</v>
      </c>
      <c r="N37" s="73" t="s">
        <v>358</v>
      </c>
      <c r="O37" s="73" t="s">
        <v>358</v>
      </c>
    </row>
    <row r="38" spans="1:26" s="41" customFormat="1" ht="153.75" customHeight="1" outlineLevel="1">
      <c r="A38" s="32"/>
      <c r="B38" s="137"/>
      <c r="C38" s="183" t="s">
        <v>359</v>
      </c>
      <c r="D38" s="154" t="s">
        <v>360</v>
      </c>
      <c r="E38" s="155"/>
      <c r="F38" s="34" t="s">
        <v>361</v>
      </c>
      <c r="G38" s="33" t="s">
        <v>362</v>
      </c>
      <c r="H38" s="84">
        <v>5</v>
      </c>
      <c r="I38" s="85" t="s">
        <v>363</v>
      </c>
      <c r="J38" s="86" t="s">
        <v>148</v>
      </c>
      <c r="K38" s="86" t="s">
        <v>364</v>
      </c>
      <c r="L38" s="86" t="s">
        <v>365</v>
      </c>
      <c r="M38" s="86" t="s">
        <v>366</v>
      </c>
      <c r="N38" s="86" t="s">
        <v>367</v>
      </c>
      <c r="O38" s="87" t="s">
        <v>368</v>
      </c>
      <c r="P38" s="32" t="s">
        <v>103</v>
      </c>
      <c r="Q38" s="32"/>
      <c r="R38" s="32"/>
      <c r="S38" s="32"/>
      <c r="T38" s="32"/>
      <c r="U38" s="32"/>
      <c r="V38" s="32"/>
      <c r="W38" s="32"/>
      <c r="X38" s="32"/>
      <c r="Y38" s="32"/>
      <c r="Z38" s="32"/>
    </row>
    <row r="39" spans="1:26" s="41" customFormat="1" ht="90.75" customHeight="1" outlineLevel="1">
      <c r="A39" s="32"/>
      <c r="B39" s="137"/>
      <c r="C39" s="173"/>
      <c r="D39" s="88" t="s">
        <v>369</v>
      </c>
      <c r="E39" s="76" t="s">
        <v>370</v>
      </c>
      <c r="F39" s="89" t="s">
        <v>371</v>
      </c>
      <c r="G39" s="76" t="s">
        <v>372</v>
      </c>
      <c r="H39" s="90">
        <v>4</v>
      </c>
      <c r="I39" s="91" t="s">
        <v>373</v>
      </c>
      <c r="J39" s="92" t="s">
        <v>148</v>
      </c>
      <c r="K39" s="92" t="s">
        <v>159</v>
      </c>
      <c r="L39" s="92" t="s">
        <v>374</v>
      </c>
      <c r="M39" s="92" t="s">
        <v>375</v>
      </c>
      <c r="N39" s="92" t="s">
        <v>376</v>
      </c>
      <c r="O39" s="76" t="s">
        <v>377</v>
      </c>
      <c r="P39" s="32" t="s">
        <v>103</v>
      </c>
      <c r="Q39" s="32"/>
      <c r="R39" s="32"/>
      <c r="S39" s="32"/>
      <c r="T39" s="32"/>
      <c r="U39" s="32"/>
      <c r="V39" s="32"/>
      <c r="W39" s="32"/>
      <c r="X39" s="32"/>
      <c r="Y39" s="32"/>
      <c r="Z39" s="32"/>
    </row>
    <row r="40" spans="1:26" s="32" customFormat="1" ht="90.75" customHeight="1" outlineLevel="1">
      <c r="B40" s="51"/>
      <c r="C40" s="174"/>
      <c r="D40" s="154" t="s">
        <v>378</v>
      </c>
      <c r="E40" s="163"/>
      <c r="F40" s="33" t="s">
        <v>379</v>
      </c>
      <c r="G40" s="33" t="s">
        <v>380</v>
      </c>
      <c r="H40" s="84">
        <v>4</v>
      </c>
      <c r="I40" s="33" t="s">
        <v>381</v>
      </c>
      <c r="J40" s="87" t="s">
        <v>76</v>
      </c>
      <c r="K40" s="87" t="s">
        <v>292</v>
      </c>
      <c r="L40" s="87" t="s">
        <v>382</v>
      </c>
      <c r="M40" s="87" t="s">
        <v>383</v>
      </c>
      <c r="N40" s="87" t="s">
        <v>384</v>
      </c>
      <c r="O40" s="33" t="s">
        <v>385</v>
      </c>
    </row>
    <row r="41" spans="1:26" s="32" customFormat="1" ht="136" outlineLevel="1">
      <c r="B41" s="51"/>
      <c r="C41" s="174"/>
      <c r="D41" s="156" t="s">
        <v>386</v>
      </c>
      <c r="E41" s="157"/>
      <c r="F41" s="93" t="s">
        <v>387</v>
      </c>
      <c r="G41" s="76" t="s">
        <v>388</v>
      </c>
      <c r="H41" s="77">
        <v>5</v>
      </c>
      <c r="I41" s="94" t="s">
        <v>389</v>
      </c>
      <c r="J41" s="76" t="s">
        <v>76</v>
      </c>
      <c r="K41" s="95" t="s">
        <v>390</v>
      </c>
      <c r="L41" s="95" t="s">
        <v>391</v>
      </c>
      <c r="M41" s="95" t="s">
        <v>392</v>
      </c>
      <c r="N41" s="95" t="s">
        <v>393</v>
      </c>
      <c r="O41" s="76" t="s">
        <v>394</v>
      </c>
    </row>
    <row r="42" spans="1:26" s="41" customFormat="1" ht="139.5" customHeight="1" outlineLevel="1">
      <c r="A42" s="32"/>
      <c r="B42" s="137"/>
      <c r="C42" s="164" t="s">
        <v>395</v>
      </c>
      <c r="D42" s="184" t="s">
        <v>396</v>
      </c>
      <c r="E42" s="163"/>
      <c r="F42" s="61" t="s">
        <v>397</v>
      </c>
      <c r="G42" s="64" t="s">
        <v>398</v>
      </c>
      <c r="H42" s="96">
        <v>4</v>
      </c>
      <c r="I42" s="63" t="s">
        <v>399</v>
      </c>
      <c r="J42" s="63" t="s">
        <v>109</v>
      </c>
      <c r="K42" s="63" t="s">
        <v>400</v>
      </c>
      <c r="L42" s="63" t="s">
        <v>401</v>
      </c>
      <c r="M42" s="63" t="s">
        <v>402</v>
      </c>
      <c r="N42" s="63" t="s">
        <v>403</v>
      </c>
      <c r="O42" s="64" t="s">
        <v>404</v>
      </c>
      <c r="P42" s="32" t="s">
        <v>103</v>
      </c>
      <c r="Q42" s="32"/>
      <c r="R42" s="32"/>
      <c r="S42" s="32"/>
      <c r="T42" s="32"/>
      <c r="U42" s="32"/>
      <c r="V42" s="32"/>
      <c r="W42" s="32"/>
      <c r="X42" s="32"/>
      <c r="Y42" s="32"/>
      <c r="Z42" s="32"/>
    </row>
    <row r="43" spans="1:26" s="41" customFormat="1" ht="153.75" customHeight="1" outlineLevel="1">
      <c r="A43" s="32"/>
      <c r="B43" s="137"/>
      <c r="C43" s="163"/>
      <c r="D43" s="184" t="s">
        <v>405</v>
      </c>
      <c r="E43" s="185"/>
      <c r="F43" s="61" t="s">
        <v>406</v>
      </c>
      <c r="G43" s="64" t="s">
        <v>407</v>
      </c>
      <c r="H43" s="96">
        <v>4</v>
      </c>
      <c r="I43" s="63" t="s">
        <v>408</v>
      </c>
      <c r="J43" s="63" t="s">
        <v>148</v>
      </c>
      <c r="K43" s="63" t="s">
        <v>409</v>
      </c>
      <c r="L43" s="63" t="s">
        <v>410</v>
      </c>
      <c r="M43" s="63" t="s">
        <v>411</v>
      </c>
      <c r="N43" s="63" t="s">
        <v>412</v>
      </c>
      <c r="O43" s="64" t="s">
        <v>413</v>
      </c>
      <c r="P43" s="32" t="s">
        <v>103</v>
      </c>
      <c r="Q43" s="32"/>
      <c r="R43" s="32"/>
      <c r="S43" s="32"/>
      <c r="T43" s="32"/>
      <c r="U43" s="32"/>
      <c r="V43" s="32"/>
      <c r="W43" s="32"/>
      <c r="X43" s="32"/>
      <c r="Y43" s="32"/>
      <c r="Z43" s="32"/>
    </row>
    <row r="44" spans="1:26" s="32" customFormat="1" ht="111.75" customHeight="1" outlineLevel="1">
      <c r="B44" s="51"/>
      <c r="C44" s="163"/>
      <c r="D44" s="184" t="s">
        <v>414</v>
      </c>
      <c r="E44" s="163"/>
      <c r="F44" s="61" t="s">
        <v>415</v>
      </c>
      <c r="G44" s="64" t="s">
        <v>416</v>
      </c>
      <c r="H44" s="96">
        <v>5</v>
      </c>
      <c r="I44" s="65" t="s">
        <v>417</v>
      </c>
      <c r="J44" s="65" t="s">
        <v>76</v>
      </c>
      <c r="K44" s="65" t="s">
        <v>275</v>
      </c>
      <c r="L44" s="65" t="s">
        <v>418</v>
      </c>
      <c r="M44" s="65" t="s">
        <v>419</v>
      </c>
      <c r="N44" s="65" t="s">
        <v>420</v>
      </c>
      <c r="O44" s="64" t="s">
        <v>225</v>
      </c>
      <c r="P44" s="32" t="s">
        <v>103</v>
      </c>
    </row>
    <row r="45" spans="1:26" s="32" customFormat="1" ht="153.75" customHeight="1" outlineLevel="1">
      <c r="B45" s="51"/>
      <c r="C45" s="163"/>
      <c r="D45" s="184" t="s">
        <v>56</v>
      </c>
      <c r="E45" s="163"/>
      <c r="F45" s="61" t="s">
        <v>421</v>
      </c>
      <c r="G45" s="64" t="s">
        <v>422</v>
      </c>
      <c r="H45" s="96">
        <v>4</v>
      </c>
      <c r="I45" s="65" t="s">
        <v>417</v>
      </c>
      <c r="J45" s="65" t="s">
        <v>76</v>
      </c>
      <c r="K45" s="65" t="s">
        <v>275</v>
      </c>
      <c r="L45" s="65" t="s">
        <v>423</v>
      </c>
      <c r="M45" s="65" t="s">
        <v>424</v>
      </c>
      <c r="N45" s="65" t="s">
        <v>425</v>
      </c>
      <c r="O45" s="64" t="s">
        <v>426</v>
      </c>
    </row>
    <row r="46" spans="1:26" s="32" customFormat="1" ht="153.75" customHeight="1" outlineLevel="1">
      <c r="B46" s="51"/>
      <c r="C46" s="163"/>
      <c r="D46" s="186" t="s">
        <v>427</v>
      </c>
      <c r="E46" s="187"/>
      <c r="F46" s="61" t="s">
        <v>428</v>
      </c>
      <c r="G46" s="64" t="s">
        <v>429</v>
      </c>
      <c r="H46" s="96">
        <v>5</v>
      </c>
      <c r="I46" s="65" t="s">
        <v>430</v>
      </c>
      <c r="J46" s="65" t="s">
        <v>76</v>
      </c>
      <c r="K46" s="65" t="s">
        <v>292</v>
      </c>
      <c r="L46" s="65" t="s">
        <v>431</v>
      </c>
      <c r="M46" s="65" t="s">
        <v>432</v>
      </c>
      <c r="N46" s="65" t="s">
        <v>432</v>
      </c>
      <c r="O46" s="64" t="s">
        <v>433</v>
      </c>
    </row>
    <row r="47" spans="1:26" s="32" customFormat="1" ht="84" customHeight="1" outlineLevel="1">
      <c r="B47" s="51"/>
      <c r="C47" s="163"/>
      <c r="D47" s="184" t="s">
        <v>434</v>
      </c>
      <c r="E47" s="163"/>
      <c r="F47" s="61" t="s">
        <v>435</v>
      </c>
      <c r="G47" s="64" t="s">
        <v>436</v>
      </c>
      <c r="H47" s="96">
        <v>4</v>
      </c>
      <c r="I47" s="65" t="s">
        <v>77</v>
      </c>
      <c r="J47" s="65" t="s">
        <v>76</v>
      </c>
      <c r="K47" s="65" t="s">
        <v>437</v>
      </c>
      <c r="L47" s="65" t="s">
        <v>438</v>
      </c>
      <c r="M47" s="65" t="s">
        <v>439</v>
      </c>
      <c r="N47" s="65" t="s">
        <v>440</v>
      </c>
      <c r="O47" s="64" t="s">
        <v>439</v>
      </c>
    </row>
    <row r="48" spans="1:26" s="32" customFormat="1" ht="69.75" customHeight="1" outlineLevel="1">
      <c r="B48" s="51"/>
      <c r="C48" s="163"/>
      <c r="D48" s="184" t="s">
        <v>441</v>
      </c>
      <c r="E48" s="163"/>
      <c r="F48" s="61" t="s">
        <v>442</v>
      </c>
      <c r="G48" s="64" t="s">
        <v>443</v>
      </c>
      <c r="H48" s="96">
        <v>4</v>
      </c>
      <c r="I48" s="65" t="s">
        <v>77</v>
      </c>
      <c r="J48" s="65" t="s">
        <v>76</v>
      </c>
      <c r="K48" s="65" t="s">
        <v>275</v>
      </c>
      <c r="L48" s="65" t="s">
        <v>444</v>
      </c>
      <c r="M48" s="65" t="s">
        <v>445</v>
      </c>
      <c r="N48" s="65" t="s">
        <v>446</v>
      </c>
      <c r="O48" s="64" t="s">
        <v>445</v>
      </c>
    </row>
    <row r="49" spans="1:26" s="32" customFormat="1" ht="221" outlineLevel="1">
      <c r="B49" s="51"/>
      <c r="C49" s="163"/>
      <c r="D49" s="184" t="s">
        <v>447</v>
      </c>
      <c r="E49" s="163"/>
      <c r="F49" s="61" t="s">
        <v>448</v>
      </c>
      <c r="G49" s="64" t="s">
        <v>449</v>
      </c>
      <c r="H49" s="96">
        <v>4</v>
      </c>
      <c r="I49" s="65" t="s">
        <v>77</v>
      </c>
      <c r="J49" s="65" t="s">
        <v>76</v>
      </c>
      <c r="K49" s="65" t="s">
        <v>450</v>
      </c>
      <c r="L49" s="65" t="s">
        <v>451</v>
      </c>
      <c r="M49" s="65" t="s">
        <v>452</v>
      </c>
      <c r="N49" s="65" t="s">
        <v>453</v>
      </c>
      <c r="O49" s="64" t="s">
        <v>454</v>
      </c>
    </row>
    <row r="50" spans="1:26" s="32" customFormat="1" ht="84" customHeight="1" outlineLevel="1">
      <c r="B50" s="51"/>
      <c r="C50" s="163"/>
      <c r="D50" s="184" t="s">
        <v>455</v>
      </c>
      <c r="E50" s="163"/>
      <c r="F50" s="61" t="s">
        <v>456</v>
      </c>
      <c r="G50" s="64" t="s">
        <v>457</v>
      </c>
      <c r="H50" s="96">
        <v>3</v>
      </c>
      <c r="I50" s="65" t="s">
        <v>77</v>
      </c>
      <c r="J50" s="65" t="s">
        <v>76</v>
      </c>
      <c r="K50" s="65" t="s">
        <v>458</v>
      </c>
      <c r="L50" s="65" t="s">
        <v>459</v>
      </c>
      <c r="M50" s="65" t="s">
        <v>459</v>
      </c>
      <c r="N50" s="65" t="s">
        <v>459</v>
      </c>
      <c r="O50" s="64" t="s">
        <v>459</v>
      </c>
    </row>
    <row r="51" spans="1:26" s="32" customFormat="1" ht="69.75" customHeight="1" outlineLevel="1">
      <c r="B51" s="51"/>
      <c r="C51" s="163"/>
      <c r="D51" s="184" t="s">
        <v>460</v>
      </c>
      <c r="E51" s="163"/>
      <c r="F51" s="61" t="s">
        <v>461</v>
      </c>
      <c r="G51" s="64" t="s">
        <v>462</v>
      </c>
      <c r="H51" s="96">
        <v>5</v>
      </c>
      <c r="I51" s="65" t="s">
        <v>463</v>
      </c>
      <c r="J51" s="65" t="s">
        <v>76</v>
      </c>
      <c r="K51" s="65" t="s">
        <v>275</v>
      </c>
      <c r="L51" s="65" t="s">
        <v>464</v>
      </c>
      <c r="M51" s="65" t="s">
        <v>465</v>
      </c>
      <c r="N51" s="65" t="s">
        <v>466</v>
      </c>
      <c r="O51" s="64" t="s">
        <v>467</v>
      </c>
    </row>
    <row r="52" spans="1:26" s="32" customFormat="1" ht="139.5" customHeight="1" outlineLevel="1">
      <c r="B52" s="51"/>
      <c r="C52" s="163"/>
      <c r="D52" s="184" t="s">
        <v>468</v>
      </c>
      <c r="E52" s="163"/>
      <c r="F52" s="61" t="s">
        <v>469</v>
      </c>
      <c r="G52" s="64" t="s">
        <v>470</v>
      </c>
      <c r="H52" s="96">
        <v>3</v>
      </c>
      <c r="I52" s="65" t="s">
        <v>430</v>
      </c>
      <c r="J52" s="65" t="s">
        <v>76</v>
      </c>
      <c r="K52" s="65" t="s">
        <v>275</v>
      </c>
      <c r="L52" s="65" t="s">
        <v>471</v>
      </c>
      <c r="M52" s="65" t="s">
        <v>472</v>
      </c>
      <c r="N52" s="65" t="s">
        <v>473</v>
      </c>
      <c r="O52" s="64" t="s">
        <v>474</v>
      </c>
    </row>
    <row r="53" spans="1:26" s="32" customFormat="1" ht="181.5" customHeight="1" outlineLevel="1">
      <c r="B53" s="51"/>
      <c r="C53" s="163"/>
      <c r="D53" s="184" t="s">
        <v>475</v>
      </c>
      <c r="E53" s="163"/>
      <c r="F53" s="61" t="s">
        <v>476</v>
      </c>
      <c r="G53" s="64" t="s">
        <v>477</v>
      </c>
      <c r="H53" s="96">
        <v>3</v>
      </c>
      <c r="I53" s="65" t="s">
        <v>430</v>
      </c>
      <c r="J53" s="65" t="s">
        <v>76</v>
      </c>
      <c r="K53" s="65" t="s">
        <v>275</v>
      </c>
      <c r="L53" s="65" t="s">
        <v>478</v>
      </c>
      <c r="M53" s="65" t="s">
        <v>479</v>
      </c>
      <c r="N53" s="65" t="s">
        <v>480</v>
      </c>
      <c r="O53" s="64" t="s">
        <v>481</v>
      </c>
    </row>
    <row r="54" spans="1:26" ht="17">
      <c r="C54" s="97"/>
      <c r="D54" s="97"/>
      <c r="E54" s="97"/>
      <c r="F54" s="97"/>
      <c r="G54" s="97"/>
      <c r="H54" s="97"/>
      <c r="I54" s="97"/>
      <c r="J54" s="98"/>
      <c r="K54" s="98"/>
      <c r="L54" s="98"/>
      <c r="M54" s="98"/>
      <c r="N54" s="98"/>
    </row>
    <row r="55" spans="1:26" s="102" customFormat="1" ht="37" thickBot="1">
      <c r="A55" s="99"/>
      <c r="B55" s="99"/>
      <c r="C55" s="100" t="s">
        <v>482</v>
      </c>
      <c r="D55" s="100"/>
      <c r="E55" s="100"/>
      <c r="F55" s="100"/>
      <c r="G55" s="100"/>
      <c r="H55" s="101"/>
      <c r="I55" s="101"/>
      <c r="J55" s="101"/>
      <c r="K55" s="101"/>
      <c r="L55" s="101"/>
      <c r="M55" s="101"/>
      <c r="N55" s="101"/>
      <c r="O55" s="101"/>
      <c r="P55" s="101"/>
      <c r="Q55" s="101"/>
      <c r="R55" s="101"/>
      <c r="S55" s="101"/>
      <c r="T55" s="101"/>
      <c r="U55" s="101"/>
      <c r="V55" s="101"/>
      <c r="W55" s="101"/>
      <c r="X55" s="101"/>
      <c r="Y55" s="101"/>
      <c r="Z55" s="101"/>
    </row>
    <row r="56" spans="1:26" s="41" customFormat="1" ht="18" customHeight="1">
      <c r="A56" s="103"/>
      <c r="B56" s="103"/>
      <c r="C56" s="104" t="s">
        <v>483</v>
      </c>
      <c r="D56" s="194" t="s">
        <v>484</v>
      </c>
      <c r="E56" s="195"/>
      <c r="F56" s="196"/>
      <c r="G56" s="105" t="s">
        <v>485</v>
      </c>
      <c r="H56" s="32"/>
      <c r="I56" s="32"/>
      <c r="J56" s="32"/>
      <c r="K56" s="32"/>
      <c r="L56" s="32"/>
      <c r="M56" s="32"/>
      <c r="N56" s="32"/>
      <c r="O56" s="32"/>
      <c r="P56" s="32"/>
      <c r="Q56" s="32"/>
      <c r="R56" s="32"/>
      <c r="S56" s="32"/>
      <c r="T56" s="32"/>
      <c r="U56" s="32"/>
      <c r="V56" s="32"/>
      <c r="W56" s="32"/>
      <c r="X56" s="32"/>
      <c r="Y56" s="32"/>
      <c r="Z56" s="32"/>
    </row>
    <row r="57" spans="1:26" s="41" customFormat="1" ht="18" customHeight="1">
      <c r="A57" s="103"/>
      <c r="B57" s="103"/>
      <c r="C57" s="106" t="s">
        <v>486</v>
      </c>
      <c r="D57" s="188" t="s">
        <v>487</v>
      </c>
      <c r="E57" s="189"/>
      <c r="F57" s="190"/>
      <c r="G57" s="107" t="s">
        <v>488</v>
      </c>
      <c r="H57" s="32"/>
      <c r="I57" s="32"/>
      <c r="J57" s="32"/>
      <c r="K57" s="32"/>
      <c r="L57" s="32"/>
      <c r="M57" s="32"/>
      <c r="N57" s="32"/>
      <c r="O57" s="32"/>
      <c r="P57" s="32"/>
      <c r="Q57" s="32"/>
      <c r="R57" s="32"/>
      <c r="S57" s="32"/>
      <c r="T57" s="32"/>
      <c r="U57" s="32"/>
      <c r="V57" s="32"/>
      <c r="W57" s="32"/>
      <c r="X57" s="32"/>
      <c r="Y57" s="32"/>
      <c r="Z57" s="32"/>
    </row>
    <row r="58" spans="1:26" s="41" customFormat="1" ht="18" customHeight="1">
      <c r="A58" s="103"/>
      <c r="B58" s="103"/>
      <c r="C58" s="106" t="s">
        <v>489</v>
      </c>
      <c r="D58" s="188" t="s">
        <v>490</v>
      </c>
      <c r="E58" s="189"/>
      <c r="F58" s="190"/>
      <c r="G58" s="107" t="s">
        <v>491</v>
      </c>
      <c r="H58" s="32"/>
      <c r="I58" s="32"/>
      <c r="J58" s="32"/>
      <c r="K58" s="32"/>
      <c r="L58" s="32"/>
      <c r="M58" s="32"/>
      <c r="N58" s="32"/>
      <c r="O58" s="32"/>
      <c r="P58" s="32"/>
      <c r="Q58" s="32"/>
      <c r="R58" s="32"/>
      <c r="S58" s="32"/>
      <c r="T58" s="32"/>
      <c r="U58" s="32"/>
      <c r="V58" s="32"/>
      <c r="W58" s="32"/>
      <c r="X58" s="32"/>
      <c r="Y58" s="32"/>
      <c r="Z58" s="32"/>
    </row>
    <row r="59" spans="1:26" s="41" customFormat="1" ht="18" customHeight="1">
      <c r="A59" s="103"/>
      <c r="B59" s="103"/>
      <c r="C59" s="106" t="s">
        <v>492</v>
      </c>
      <c r="D59" s="188" t="s">
        <v>493</v>
      </c>
      <c r="E59" s="189"/>
      <c r="F59" s="190"/>
      <c r="G59" s="107" t="s">
        <v>494</v>
      </c>
      <c r="H59" s="32"/>
      <c r="I59" s="32"/>
      <c r="J59" s="32"/>
      <c r="K59" s="32"/>
      <c r="L59" s="32"/>
      <c r="M59" s="32"/>
      <c r="N59" s="32"/>
      <c r="O59" s="32"/>
      <c r="P59" s="32"/>
      <c r="Q59" s="32"/>
      <c r="R59" s="32"/>
      <c r="S59" s="32"/>
      <c r="T59" s="32"/>
      <c r="U59" s="32"/>
      <c r="V59" s="32"/>
      <c r="W59" s="32"/>
      <c r="X59" s="32"/>
      <c r="Y59" s="32"/>
      <c r="Z59" s="32"/>
    </row>
    <row r="60" spans="1:26" s="41" customFormat="1" ht="18" customHeight="1">
      <c r="A60" s="103"/>
      <c r="B60" s="103"/>
      <c r="C60" s="106" t="s">
        <v>495</v>
      </c>
      <c r="D60" s="188" t="s">
        <v>496</v>
      </c>
      <c r="E60" s="189"/>
      <c r="F60" s="190"/>
      <c r="G60" s="107" t="s">
        <v>497</v>
      </c>
      <c r="H60" s="32"/>
      <c r="I60" s="32"/>
      <c r="J60" s="32"/>
      <c r="K60" s="32"/>
      <c r="L60" s="32"/>
      <c r="M60" s="32"/>
      <c r="N60" s="32"/>
      <c r="O60" s="32"/>
      <c r="P60" s="32"/>
      <c r="Q60" s="32"/>
      <c r="R60" s="32"/>
      <c r="S60" s="32"/>
      <c r="T60" s="32"/>
      <c r="U60" s="32"/>
      <c r="V60" s="32"/>
      <c r="W60" s="32"/>
      <c r="X60" s="32"/>
      <c r="Y60" s="32"/>
      <c r="Z60" s="32"/>
    </row>
    <row r="61" spans="1:26" s="41" customFormat="1" thickBot="1">
      <c r="A61" s="103"/>
      <c r="B61" s="103"/>
      <c r="C61" s="108" t="s">
        <v>498</v>
      </c>
      <c r="D61" s="191" t="s">
        <v>499</v>
      </c>
      <c r="E61" s="192"/>
      <c r="F61" s="193"/>
      <c r="G61" s="109" t="s">
        <v>500</v>
      </c>
      <c r="H61" s="32"/>
      <c r="I61" s="32"/>
      <c r="J61" s="32"/>
      <c r="K61" s="32"/>
      <c r="L61" s="32"/>
      <c r="M61" s="32"/>
      <c r="N61" s="32"/>
      <c r="O61" s="32"/>
      <c r="P61" s="32"/>
      <c r="Q61" s="32"/>
      <c r="R61" s="32"/>
      <c r="S61" s="32"/>
      <c r="T61" s="32"/>
      <c r="U61" s="32"/>
      <c r="V61" s="32"/>
      <c r="W61" s="32"/>
      <c r="X61" s="32"/>
      <c r="Y61" s="32"/>
      <c r="Z61" s="32"/>
    </row>
    <row r="62" spans="1:26">
      <c r="C62" s="110"/>
      <c r="D62" s="110"/>
      <c r="E62" s="110"/>
      <c r="F62" s="110"/>
      <c r="G62" s="110"/>
    </row>
    <row r="63" spans="1:26">
      <c r="C63" s="110"/>
      <c r="D63" s="110"/>
      <c r="E63" s="110"/>
      <c r="F63" s="110"/>
      <c r="G63" s="110"/>
    </row>
  </sheetData>
  <mergeCells count="72">
    <mergeCell ref="D58:F58"/>
    <mergeCell ref="D59:F59"/>
    <mergeCell ref="D60:F60"/>
    <mergeCell ref="D61:F61"/>
    <mergeCell ref="D50:E50"/>
    <mergeCell ref="D51:E51"/>
    <mergeCell ref="D52:E52"/>
    <mergeCell ref="D53:E53"/>
    <mergeCell ref="D56:F56"/>
    <mergeCell ref="D57:F57"/>
    <mergeCell ref="B42:B43"/>
    <mergeCell ref="C42:C53"/>
    <mergeCell ref="D42:E42"/>
    <mergeCell ref="D43:E43"/>
    <mergeCell ref="D44:E44"/>
    <mergeCell ref="D45:E45"/>
    <mergeCell ref="D46:E46"/>
    <mergeCell ref="D47:E47"/>
    <mergeCell ref="D48:E48"/>
    <mergeCell ref="D49:E49"/>
    <mergeCell ref="D37:E37"/>
    <mergeCell ref="B38:B39"/>
    <mergeCell ref="C38:C41"/>
    <mergeCell ref="D38:E38"/>
    <mergeCell ref="D40:E40"/>
    <mergeCell ref="D41:E41"/>
    <mergeCell ref="B13:B25"/>
    <mergeCell ref="D13:D14"/>
    <mergeCell ref="P13:P14"/>
    <mergeCell ref="D15:D19"/>
    <mergeCell ref="G15:G16"/>
    <mergeCell ref="P15:P16"/>
    <mergeCell ref="D20:D24"/>
    <mergeCell ref="D25:E25"/>
    <mergeCell ref="C11:C37"/>
    <mergeCell ref="D11:E12"/>
    <mergeCell ref="F11:F12"/>
    <mergeCell ref="G11:G12"/>
    <mergeCell ref="P11:P12"/>
    <mergeCell ref="D26:E26"/>
    <mergeCell ref="D27:E27"/>
    <mergeCell ref="D28:E28"/>
    <mergeCell ref="D35:E35"/>
    <mergeCell ref="D36:E36"/>
    <mergeCell ref="P3:P5"/>
    <mergeCell ref="D5:E5"/>
    <mergeCell ref="L5:O5"/>
    <mergeCell ref="G7:G10"/>
    <mergeCell ref="H7:H10"/>
    <mergeCell ref="P7:P10"/>
    <mergeCell ref="D34:E34"/>
    <mergeCell ref="D29:E29"/>
    <mergeCell ref="D30:E30"/>
    <mergeCell ref="D31:E31"/>
    <mergeCell ref="D32:E32"/>
    <mergeCell ref="D33:E33"/>
    <mergeCell ref="B6:B10"/>
    <mergeCell ref="C6:C10"/>
    <mergeCell ref="D6:E6"/>
    <mergeCell ref="D7:D10"/>
    <mergeCell ref="F7:F10"/>
    <mergeCell ref="C1:O1"/>
    <mergeCell ref="C2:O2"/>
    <mergeCell ref="C3:C4"/>
    <mergeCell ref="D3:E4"/>
    <mergeCell ref="F3:F4"/>
    <mergeCell ref="G3:G4"/>
    <mergeCell ref="H3:H4"/>
    <mergeCell ref="I3:I4"/>
    <mergeCell ref="J3:J4"/>
    <mergeCell ref="K3:K4"/>
    <mergeCell ref="L3:O3"/>
  </mergeCells>
  <phoneticPr fontId="8"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11</vt:i4>
      </vt:variant>
    </vt:vector>
  </HeadingPairs>
  <TitlesOfParts>
    <vt:vector size="14" baseType="lpstr">
      <vt:lpstr>个人记录表格</vt:lpstr>
      <vt:lpstr>数据标签</vt:lpstr>
      <vt:lpstr>部门25年组织绩效目标</vt:lpstr>
      <vt:lpstr>_1检测相关_常规</vt:lpstr>
      <vt:lpstr>_2检测相关_快速</vt:lpstr>
      <vt:lpstr>_3业务管理相关_业务战略总结</vt:lpstr>
      <vt:lpstr>_4业务管理相关_项目跟进</vt:lpstr>
      <vt:lpstr>_5公共_流程机制</vt:lpstr>
      <vt:lpstr>_6公共_部门公共事务支持</vt:lpstr>
      <vt:lpstr>_7公共_执业管理</vt:lpstr>
      <vt:lpstr>_8管理_仅leader使用</vt:lpstr>
      <vt:lpstr>_9其他</vt:lpstr>
      <vt:lpstr>_BSC</vt:lpstr>
      <vt:lpstr>_OKR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T174485</cp:lastModifiedBy>
  <dcterms:created xsi:type="dcterms:W3CDTF">2024-05-07T02:03:00Z</dcterms:created>
  <dcterms:modified xsi:type="dcterms:W3CDTF">2025-04-30T07:53:30Z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987F763C510E40439F34EF8F37FFCA69_13</vt:lpwstr>
  </property>
  <property fmtid="{D5CDD505-2E9C-101B-9397-08002B2CF9AE}" pid="3" name="KSOProductBuildVer">
    <vt:lpwstr>2052-12.1.0.17147</vt:lpwstr>
  </property>
</Properties>
</file>